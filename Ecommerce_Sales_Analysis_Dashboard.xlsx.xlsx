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8350" windowHeight="7510" firstSheet="1" activeTab="3"/>
  </bookViews>
  <sheets>
    <sheet name="Cleaned_Data" sheetId="1" r:id="rId1"/>
    <sheet name="Analysis" sheetId="4" r:id="rId2"/>
    <sheet name="Dashboard_KPI" sheetId="5" r:id="rId3"/>
    <sheet name="Dashboard" sheetId="8" r:id="rId4"/>
  </sheets>
  <definedNames>
    <definedName name="Cleaned_Data">Cleaned_Data!$A$1:$T$1081</definedName>
    <definedName name="_xlnm._FilterDatabase" localSheetId="0" hidden="1">Cleaned_Data!$A$1:$Y$1</definedName>
    <definedName name="EcommerceData">Cleaned_Data!$A$2:$Y$1051</definedName>
    <definedName name="Slicer_Order_Year">#N/A</definedName>
    <definedName name="Slicer_Region">#N/A</definedName>
    <definedName name="Slicer_Category">#N/A</definedName>
    <definedName name="Slicer_Payment_Method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<sst xmlns="http://schemas.openxmlformats.org/spreadsheetml/2006/main" count="13828" uniqueCount="1995">
  <si>
    <t>Order_ID</t>
  </si>
  <si>
    <t>Order_Date</t>
  </si>
  <si>
    <t>Order_Year</t>
  </si>
  <si>
    <t>Order_Month_No</t>
  </si>
  <si>
    <t>Order_Month</t>
  </si>
  <si>
    <t>Ship_Date</t>
  </si>
  <si>
    <t>Customer_ID</t>
  </si>
  <si>
    <t>Customer_Name</t>
  </si>
  <si>
    <t>Segment</t>
  </si>
  <si>
    <t>Country</t>
  </si>
  <si>
    <t>State</t>
  </si>
  <si>
    <t>City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</si>
  <si>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</si>
  <si>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</si>
  <si>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</si>
  <si>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</si>
  <si>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</si>
  <si>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</si>
  <si>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</si>
  <si>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</si>
  <si>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Discount_Category</t>
  </si>
  <si>
    <t>Profit</t>
  </si>
  <si>
    <t>Profit Margin</t>
  </si>
  <si>
    <t>Shipping_Cost</t>
  </si>
  <si>
    <t>Payment_Method</t>
  </si>
  <si>
    <t>Order_Size</t>
  </si>
  <si>
    <t>ORD-10971</t>
  </si>
  <si>
    <t>CUST-7246</t>
  </si>
  <si>
    <t>David Verma</t>
  </si>
  <si>
    <t>Home Office</t>
  </si>
  <si>
    <t>India</t>
  </si>
  <si>
    <t>Louisiana</t>
  </si>
  <si>
    <t>New Orleans</t>
  </si>
  <si>
    <t>South</t>
  </si>
  <si>
    <t>PROD-0041</t>
  </si>
  <si>
    <t>Furniture</t>
  </si>
  <si>
    <t>Beds</t>
  </si>
  <si>
    <t>IKEA MALM Bed Frame</t>
  </si>
  <si>
    <t>PayPal</t>
  </si>
  <si>
    <t>ORD-10176</t>
  </si>
  <si>
    <t>CUST-8264</t>
  </si>
  <si>
    <t>Matthew Garcia</t>
  </si>
  <si>
    <t>Corporate</t>
  </si>
  <si>
    <t>United States</t>
  </si>
  <si>
    <t>Illinois</t>
  </si>
  <si>
    <t>Naperville</t>
  </si>
  <si>
    <t>Central</t>
  </si>
  <si>
    <t>PROD-0057</t>
  </si>
  <si>
    <t>Clothing</t>
  </si>
  <si>
    <t>Women's Apparel</t>
  </si>
  <si>
    <t>Anthropologie Blouse</t>
  </si>
  <si>
    <t>UPI</t>
  </si>
  <si>
    <t>ORD-10155</t>
  </si>
  <si>
    <t>CUST-9920</t>
  </si>
  <si>
    <t>Maria Liu</t>
  </si>
  <si>
    <t>Consumer</t>
  </si>
  <si>
    <t>North Carolina</t>
  </si>
  <si>
    <t>Raleigh</t>
  </si>
  <si>
    <t>East</t>
  </si>
  <si>
    <t>PROD-0067</t>
  </si>
  <si>
    <t>Sportswear</t>
  </si>
  <si>
    <t>New Balance 990v5</t>
  </si>
  <si>
    <t>Wallet</t>
  </si>
  <si>
    <t>ORD-10806</t>
  </si>
  <si>
    <t>CUST-8800</t>
  </si>
  <si>
    <t>Maria Martinez</t>
  </si>
  <si>
    <t>PROD-0002</t>
  </si>
  <si>
    <t>Electronics</t>
  </si>
  <si>
    <t>Smartphones</t>
  </si>
  <si>
    <t>Samsung Galaxy S24</t>
  </si>
  <si>
    <t>Cash on Delivery</t>
  </si>
  <si>
    <t>ORD-10470</t>
  </si>
  <si>
    <t>CUST-9047</t>
  </si>
  <si>
    <t>Rahul Iyer</t>
  </si>
  <si>
    <t>Washington</t>
  </si>
  <si>
    <t>Spokane</t>
  </si>
  <si>
    <t>West</t>
  </si>
  <si>
    <t>PROD-0024</t>
  </si>
  <si>
    <t>Office Chairs</t>
  </si>
  <si>
    <t>Herman Miller Aeron</t>
  </si>
  <si>
    <t>Credit Card</t>
  </si>
  <si>
    <t>ORD-10101</t>
  </si>
  <si>
    <t>CUST-5114</t>
  </si>
  <si>
    <t>Sneha Gupta</t>
  </si>
  <si>
    <t>Arkansas</t>
  </si>
  <si>
    <t>Little Rock</t>
  </si>
  <si>
    <t>PROD-0013</t>
  </si>
  <si>
    <t>Accessories</t>
  </si>
  <si>
    <t>Anker 65W Charger</t>
  </si>
  <si>
    <t>ORD-10353</t>
  </si>
  <si>
    <t>CUST-3068</t>
  </si>
  <si>
    <t>Liang Iyer</t>
  </si>
  <si>
    <t>Idaho</t>
  </si>
  <si>
    <t>Meridian</t>
  </si>
  <si>
    <t>PROD-0042</t>
  </si>
  <si>
    <t>Saatva Classic Mattress</t>
  </si>
  <si>
    <t>EMI</t>
  </si>
  <si>
    <t>ORD-10571</t>
  </si>
  <si>
    <t>CUST-5557</t>
  </si>
  <si>
    <t>Aarav Smith</t>
  </si>
  <si>
    <t>Oklahoma</t>
  </si>
  <si>
    <t>Tulsa</t>
  </si>
  <si>
    <t>PROD-0019</t>
  </si>
  <si>
    <t>Tablets</t>
  </si>
  <si>
    <t>Lenovo Tab P12</t>
  </si>
  <si>
    <t>ORD-10464</t>
  </si>
  <si>
    <t>CUST-8994</t>
  </si>
  <si>
    <t>Fang Reddy</t>
  </si>
  <si>
    <t>Pennsylvania</t>
  </si>
  <si>
    <t>Harrisburg</t>
  </si>
  <si>
    <t>PROD-0045</t>
  </si>
  <si>
    <t>Storage</t>
  </si>
  <si>
    <t>IKEA ALEX Drawer Unit</t>
  </si>
  <si>
    <t>ORD-10351</t>
  </si>
  <si>
    <t>CUST-1420</t>
  </si>
  <si>
    <t>Lakshmi Ramirez</t>
  </si>
  <si>
    <t>Kentucky</t>
  </si>
  <si>
    <t>Bowling Green</t>
  </si>
  <si>
    <t>PROD-0007</t>
  </si>
  <si>
    <t>Laptops</t>
  </si>
  <si>
    <t>HP Spectre x360</t>
  </si>
  <si>
    <t>Net Banking</t>
  </si>
  <si>
    <t>ORD-10342</t>
  </si>
  <si>
    <t>CUST-6062</t>
  </si>
  <si>
    <t>Emily Liu</t>
  </si>
  <si>
    <t>Massachusetts</t>
  </si>
  <si>
    <t>Boston</t>
  </si>
  <si>
    <t>PROD-0060</t>
  </si>
  <si>
    <t>Kids' Clothing</t>
  </si>
  <si>
    <t>Nike Kids Sneakers</t>
  </si>
  <si>
    <t>ORD-10484</t>
  </si>
  <si>
    <t>CUST-9619</t>
  </si>
  <si>
    <t>Deepa Singh</t>
  </si>
  <si>
    <t>South Carolina</t>
  </si>
  <si>
    <t>Charleston</t>
  </si>
  <si>
    <t>PROD-0003</t>
  </si>
  <si>
    <t>OnePlus 12</t>
  </si>
  <si>
    <t>Debit Card</t>
  </si>
  <si>
    <t>ORD-10244</t>
  </si>
  <si>
    <t>CUST-8957</t>
  </si>
  <si>
    <t>Takeshi Watanabe</t>
  </si>
  <si>
    <t>PROD-0044</t>
  </si>
  <si>
    <t>IKEA KALLAX Shelf</t>
  </si>
  <si>
    <t>ORD-10503</t>
  </si>
  <si>
    <t>CUST-1436</t>
  </si>
  <si>
    <t>Chris Kumar</t>
  </si>
  <si>
    <t>West Virginia</t>
  </si>
  <si>
    <t>Huntington</t>
  </si>
  <si>
    <t>PROD-0066</t>
  </si>
  <si>
    <t>Champion Hoodie</t>
  </si>
  <si>
    <t>ORD-10390</t>
  </si>
  <si>
    <t>CUST-5978</t>
  </si>
  <si>
    <t>Ananya Garcia</t>
  </si>
  <si>
    <t>Florida</t>
  </si>
  <si>
    <t>Jacksonville</t>
  </si>
  <si>
    <t>PROD-0010</t>
  </si>
  <si>
    <t>Asus ZenBook 14</t>
  </si>
  <si>
    <t>ORD-10642</t>
  </si>
  <si>
    <t>CUST-3847</t>
  </si>
  <si>
    <t>Yuki Singh</t>
  </si>
  <si>
    <t>California</t>
  </si>
  <si>
    <t>Sacramento</t>
  </si>
  <si>
    <t>PROD-0037</t>
  </si>
  <si>
    <t>Sofas</t>
  </si>
  <si>
    <t>Wayfair Andover Mills Sofa</t>
  </si>
  <si>
    <t>ORD-10443</t>
  </si>
  <si>
    <t>CUST-8355</t>
  </si>
  <si>
    <t>Aditya Hernandez</t>
  </si>
  <si>
    <t>Nevada</t>
  </si>
  <si>
    <t>Reno</t>
  </si>
  <si>
    <t>PROD-0055</t>
  </si>
  <si>
    <t>Nike Air Max 270</t>
  </si>
  <si>
    <t>ORD-10949</t>
  </si>
  <si>
    <t>CUST-5901</t>
  </si>
  <si>
    <t>Carlos Suzuki</t>
  </si>
  <si>
    <t>Minnesota</t>
  </si>
  <si>
    <t>St. Paul</t>
  </si>
  <si>
    <t>ORD-10748</t>
  </si>
  <si>
    <t>CUST-5669</t>
  </si>
  <si>
    <t>Arjun Watanabe</t>
  </si>
  <si>
    <t>Kansas</t>
  </si>
  <si>
    <t>Kansas City</t>
  </si>
  <si>
    <t>PROD-0062</t>
  </si>
  <si>
    <t>Columbia Kids Jacket</t>
  </si>
  <si>
    <t>ORD-10357</t>
  </si>
  <si>
    <t>CUST-5843</t>
  </si>
  <si>
    <t>Lakshmi Watanabe</t>
  </si>
  <si>
    <t>Mississippi</t>
  </si>
  <si>
    <t>Hattiesburg</t>
  </si>
  <si>
    <t>PROD-0049</t>
  </si>
  <si>
    <t>Men's Apparel</t>
  </si>
  <si>
    <t>Nike Dri-FIT T-Shirt</t>
  </si>
  <si>
    <t>ORD-10947</t>
  </si>
  <si>
    <t>CUST-4404</t>
  </si>
  <si>
    <t>Carlos Brown</t>
  </si>
  <si>
    <t>Chicago</t>
  </si>
  <si>
    <t>ORD-10380</t>
  </si>
  <si>
    <t>CUST-4866</t>
  </si>
  <si>
    <t>Valentina Zhang</t>
  </si>
  <si>
    <t>Wisconsin</t>
  </si>
  <si>
    <t>Green Bay</t>
  </si>
  <si>
    <t>PROD-0029</t>
  </si>
  <si>
    <t>Desks</t>
  </si>
  <si>
    <t>IKEA BEKANT Standing Desk</t>
  </si>
  <si>
    <t>ORD-10744</t>
  </si>
  <si>
    <t>CUST-8260</t>
  </si>
  <si>
    <t>Yuki Nair</t>
  </si>
  <si>
    <t>Miami</t>
  </si>
  <si>
    <t>PROD-0059</t>
  </si>
  <si>
    <t>Gap Kids T-Shirt Pack</t>
  </si>
  <si>
    <t>ORD-10393</t>
  </si>
  <si>
    <t>CUST-2929</t>
  </si>
  <si>
    <t>Sanjay Miller</t>
  </si>
  <si>
    <t>Tennessee</t>
  </si>
  <si>
    <t>Knoxville</t>
  </si>
  <si>
    <t>PROD-0043</t>
  </si>
  <si>
    <t>Purple Mattress</t>
  </si>
  <si>
    <t>ORD-10950</t>
  </si>
  <si>
    <t>CUST-7304</t>
  </si>
  <si>
    <t>David Flores</t>
  </si>
  <si>
    <t>ORD-10315</t>
  </si>
  <si>
    <t>CUST-4119</t>
  </si>
  <si>
    <t>Kiran Nair</t>
  </si>
  <si>
    <t>PROD-0064</t>
  </si>
  <si>
    <t>Reebok Training Shoes</t>
  </si>
  <si>
    <t>ORD-10900</t>
  </si>
  <si>
    <t>CUST-8933</t>
  </si>
  <si>
    <t>Divya Torres</t>
  </si>
  <si>
    <t>PROD-0018</t>
  </si>
  <si>
    <t>Amazon Fire HD 10</t>
  </si>
  <si>
    <t>ORD-10935</t>
  </si>
  <si>
    <t>CUST-6442</t>
  </si>
  <si>
    <t>Chris Garcia</t>
  </si>
  <si>
    <t>Ohio</t>
  </si>
  <si>
    <t>Cincinnati</t>
  </si>
  <si>
    <t>PROD-0028</t>
  </si>
  <si>
    <t>Secretlab Titan Chair</t>
  </si>
  <si>
    <t>ORD-10762</t>
  </si>
  <si>
    <t>CUST-1653</t>
  </si>
  <si>
    <t>Ashley Chen</t>
  </si>
  <si>
    <t>Texas</t>
  </si>
  <si>
    <t>Houston</t>
  </si>
  <si>
    <t>ORD-10930</t>
  </si>
  <si>
    <t>CUST-7543</t>
  </si>
  <si>
    <t>Sarah Jones</t>
  </si>
  <si>
    <t>Montana</t>
  </si>
  <si>
    <t>Unknown City</t>
  </si>
  <si>
    <t>ORD-10991</t>
  </si>
  <si>
    <t>CUST-7843</t>
  </si>
  <si>
    <t>Manish Iyer</t>
  </si>
  <si>
    <t>Baton Rouge</t>
  </si>
  <si>
    <t>PROD-0021</t>
  </si>
  <si>
    <t>Cameras</t>
  </si>
  <si>
    <t>Sony ZV-E10</t>
  </si>
  <si>
    <t>ORD-10042</t>
  </si>
  <si>
    <t>CUST-2989</t>
  </si>
  <si>
    <t>Priya Flores</t>
  </si>
  <si>
    <t>Oregon</t>
  </si>
  <si>
    <t>Salem</t>
  </si>
  <si>
    <t>ORD-10943</t>
  </si>
  <si>
    <t>CUST-5033</t>
  </si>
  <si>
    <t>Hana Flores</t>
  </si>
  <si>
    <t>Maryland</t>
  </si>
  <si>
    <t>Baltimore</t>
  </si>
  <si>
    <t>PROD-0015</t>
  </si>
  <si>
    <t>Samsung Galaxy Watch</t>
  </si>
  <si>
    <t>ORD-10726</t>
  </si>
  <si>
    <t>CUST-5262</t>
  </si>
  <si>
    <t>David Chen</t>
  </si>
  <si>
    <t>Nampa</t>
  </si>
  <si>
    <t>ORD-10830</t>
  </si>
  <si>
    <t>CUST-9647</t>
  </si>
  <si>
    <t>Ashley Iyer</t>
  </si>
  <si>
    <t>Michigan</t>
  </si>
  <si>
    <t>Grand Rapids</t>
  </si>
  <si>
    <t>PROD-0016</t>
  </si>
  <si>
    <t>iPad Air 5th Gen</t>
  </si>
  <si>
    <t>ORD-10095</t>
  </si>
  <si>
    <t>PROD-0032</t>
  </si>
  <si>
    <t>Uplift V2 Desk</t>
  </si>
  <si>
    <t>ORD-10476</t>
  </si>
  <si>
    <t>ORD-10450</t>
  </si>
  <si>
    <t>CUST-6517</t>
  </si>
  <si>
    <t>Unknown Customer</t>
  </si>
  <si>
    <t>Wyoming</t>
  </si>
  <si>
    <t>Casper</t>
  </si>
  <si>
    <t>PROD-0031</t>
  </si>
  <si>
    <t>Amazon Basics Computer Desk</t>
  </si>
  <si>
    <t>ORD-10775</t>
  </si>
  <si>
    <t>CUST-8724</t>
  </si>
  <si>
    <t>Priya Rivera</t>
  </si>
  <si>
    <t>Wichita</t>
  </si>
  <si>
    <t>PROD-0038</t>
  </si>
  <si>
    <t>Pottery Barn Comfort Sofa</t>
  </si>
  <si>
    <t>ORD-10799</t>
  </si>
  <si>
    <t>CUST-6447</t>
  </si>
  <si>
    <t>Suresh Reddy</t>
  </si>
  <si>
    <t>Iowa</t>
  </si>
  <si>
    <t>Cedar Rapids</t>
  </si>
  <si>
    <t>ORD-10074</t>
  </si>
  <si>
    <t>CUST-7333</t>
  </si>
  <si>
    <t>Manish Miller</t>
  </si>
  <si>
    <t>Arizona</t>
  </si>
  <si>
    <t>Phoenix</t>
  </si>
  <si>
    <t>ORD-10840</t>
  </si>
  <si>
    <t>ORD-10243</t>
  </si>
  <si>
    <t>CUST-6067</t>
  </si>
  <si>
    <t>Jessica Rodriguez</t>
  </si>
  <si>
    <t>ORD-10768</t>
  </si>
  <si>
    <t>CUST-8612</t>
  </si>
  <si>
    <t>Juan Gonzalez</t>
  </si>
  <si>
    <t>Rochester</t>
  </si>
  <si>
    <t>PROD-0054</t>
  </si>
  <si>
    <t>H&amp;M Skinny Jeans</t>
  </si>
  <si>
    <t>ORD-10839</t>
  </si>
  <si>
    <t>PROD-0020</t>
  </si>
  <si>
    <t>Canon EOS R50</t>
  </si>
  <si>
    <t>ORD-10257</t>
  </si>
  <si>
    <t>CUST-1188</t>
  </si>
  <si>
    <t>Ana Iyer</t>
  </si>
  <si>
    <t>Missouri</t>
  </si>
  <si>
    <t>PROD-0048</t>
  </si>
  <si>
    <t>Levi's 511 Slim Jeans</t>
  </si>
  <si>
    <t>ORD-10543</t>
  </si>
  <si>
    <t>CUST-5835</t>
  </si>
  <si>
    <t>Isabella Wang</t>
  </si>
  <si>
    <t>Georgia</t>
  </si>
  <si>
    <t>Atlanta</t>
  </si>
  <si>
    <t>ORD-11022</t>
  </si>
  <si>
    <t>CUST-1857</t>
  </si>
  <si>
    <t>Carlos Wang</t>
  </si>
  <si>
    <t>Virginia</t>
  </si>
  <si>
    <t>Virginia Beach</t>
  </si>
  <si>
    <t>PROD-0050</t>
  </si>
  <si>
    <t>Adidas Ultraboost 22</t>
  </si>
  <si>
    <t>ORD-10070</t>
  </si>
  <si>
    <t>CUST-8381</t>
  </si>
  <si>
    <t>Kiran Wang</t>
  </si>
  <si>
    <t>Orlando</t>
  </si>
  <si>
    <t>PROD-0027</t>
  </si>
  <si>
    <t>IKEA Markus</t>
  </si>
  <si>
    <t>ORD-10579</t>
  </si>
  <si>
    <t>CUST-7744</t>
  </si>
  <si>
    <t>Pedro Martinez</t>
  </si>
  <si>
    <t>PROD-0034</t>
  </si>
  <si>
    <t>IKEA KIVIK 3-Seat Sofa</t>
  </si>
  <si>
    <t>ORD-10003</t>
  </si>
  <si>
    <t>CUST-7267</t>
  </si>
  <si>
    <t>Aiko Garcia</t>
  </si>
  <si>
    <t>Delaware</t>
  </si>
  <si>
    <t>Wilmington</t>
  </si>
  <si>
    <t>PROD-0004</t>
  </si>
  <si>
    <t>Google Pixel 8</t>
  </si>
  <si>
    <t>ORD-10313</t>
  </si>
  <si>
    <t>CUST-5479</t>
  </si>
  <si>
    <t>Chris Rodriguez</t>
  </si>
  <si>
    <t>Memphis</t>
  </si>
  <si>
    <t>PROD-0053</t>
  </si>
  <si>
    <t>Zara Floral Midi Dress</t>
  </si>
  <si>
    <t>ORD-10418</t>
  </si>
  <si>
    <t>CUST-8699</t>
  </si>
  <si>
    <t>Manish Reddy</t>
  </si>
  <si>
    <t>Henderson</t>
  </si>
  <si>
    <t>ORD-11028</t>
  </si>
  <si>
    <t>CUST-5728</t>
  </si>
  <si>
    <t>Matthew Iyer</t>
  </si>
  <si>
    <t>Fayetteville</t>
  </si>
  <si>
    <t>PROD-0030</t>
  </si>
  <si>
    <t>Flexispot E7 Pro</t>
  </si>
  <si>
    <t>ORD-10838</t>
  </si>
  <si>
    <t>CUST-1128</t>
  </si>
  <si>
    <t>Juan Perez</t>
  </si>
  <si>
    <t>ORD-10174</t>
  </si>
  <si>
    <t>CUST-3369</t>
  </si>
  <si>
    <t>David Williams</t>
  </si>
  <si>
    <t>PROD-0035</t>
  </si>
  <si>
    <t>Ashley Darcy Sofa</t>
  </si>
  <si>
    <t>ORD-10208</t>
  </si>
  <si>
    <t>CUST-8007</t>
  </si>
  <si>
    <t>Yuki Sharma</t>
  </si>
  <si>
    <t>New Jersey</t>
  </si>
  <si>
    <t>Trenton</t>
  </si>
  <si>
    <t>PROD-0009</t>
  </si>
  <si>
    <t>MacBook Air M2</t>
  </si>
  <si>
    <t>ORD-10843</t>
  </si>
  <si>
    <t>CUST-6850</t>
  </si>
  <si>
    <t>Vikram Liu</t>
  </si>
  <si>
    <t>Tacoma</t>
  </si>
  <si>
    <t>PROD-0051</t>
  </si>
  <si>
    <t>Ralph Lauren Polo Shirt</t>
  </si>
  <si>
    <t>ORD-10322</t>
  </si>
  <si>
    <t>CUST-8354</t>
  </si>
  <si>
    <t>Ana Ramirez</t>
  </si>
  <si>
    <t>ORD-11006</t>
  </si>
  <si>
    <t>CUST-7532</t>
  </si>
  <si>
    <t>Chris Nair</t>
  </si>
  <si>
    <t>Madison</t>
  </si>
  <si>
    <t>PROD-0061</t>
  </si>
  <si>
    <t>Old Navy Jeans</t>
  </si>
  <si>
    <t>ORD-10100</t>
  </si>
  <si>
    <t>PROD-0011</t>
  </si>
  <si>
    <t>Sony WH-1000XM5 Headphones</t>
  </si>
  <si>
    <t>ORD-10085</t>
  </si>
  <si>
    <t>CUST-3085</t>
  </si>
  <si>
    <t>Rahul Yamamoto</t>
  </si>
  <si>
    <t>ORD-10844</t>
  </si>
  <si>
    <t>CUST-3953</t>
  </si>
  <si>
    <t>Kavya Wang</t>
  </si>
  <si>
    <t>Nashville</t>
  </si>
  <si>
    <t>PROD-0063</t>
  </si>
  <si>
    <t>Under Armour Compression Shorts</t>
  </si>
  <si>
    <t>ORD-10036</t>
  </si>
  <si>
    <t>CUST-2049</t>
  </si>
  <si>
    <t>Emily Patel</t>
  </si>
  <si>
    <t>Cheyenne</t>
  </si>
  <si>
    <t>PROD-0022</t>
  </si>
  <si>
    <t>GoPro Hero 12</t>
  </si>
  <si>
    <t>ORD-10388</t>
  </si>
  <si>
    <t>CUST-4524</t>
  </si>
  <si>
    <t>David Yamamoto</t>
  </si>
  <si>
    <t>Oklahoma City</t>
  </si>
  <si>
    <t>PROD-0023</t>
  </si>
  <si>
    <t>Nikon Z30</t>
  </si>
  <si>
    <t>ORD-10880</t>
  </si>
  <si>
    <t>PROD-0017</t>
  </si>
  <si>
    <t>Samsung Galaxy Tab S9</t>
  </si>
  <si>
    <t>ORD-10690</t>
  </si>
  <si>
    <t>ORD-10610</t>
  </si>
  <si>
    <t>CUST-7566</t>
  </si>
  <si>
    <t>Vikram Verma</t>
  </si>
  <si>
    <t>PROD-0012</t>
  </si>
  <si>
    <t>JBL Charge 5 Speaker</t>
  </si>
  <si>
    <t>ORD-10084</t>
  </si>
  <si>
    <t>CUST-9782</t>
  </si>
  <si>
    <t>Priya Lopez</t>
  </si>
  <si>
    <t>ORD-10877</t>
  </si>
  <si>
    <t>CUST-9239</t>
  </si>
  <si>
    <t>Jun Yamamoto</t>
  </si>
  <si>
    <t>Colorado</t>
  </si>
  <si>
    <t>Aurora</t>
  </si>
  <si>
    <t>ORD-10367</t>
  </si>
  <si>
    <t>PROD-0001</t>
  </si>
  <si>
    <t>Apple iPhone 15 Pro</t>
  </si>
  <si>
    <t>ORD-10847</t>
  </si>
  <si>
    <t>CUST-9947</t>
  </si>
  <si>
    <t>Takeshi Jones</t>
  </si>
  <si>
    <t>ORD-10291</t>
  </si>
  <si>
    <t>CUST-4566</t>
  </si>
  <si>
    <t>Sneha Torres</t>
  </si>
  <si>
    <t>ORD-11018</t>
  </si>
  <si>
    <t>CUST-3600</t>
  </si>
  <si>
    <t>Sarah Zhang</t>
  </si>
  <si>
    <t>ORD-10051</t>
  </si>
  <si>
    <t>CUST-8292</t>
  </si>
  <si>
    <t>Ananya Chen</t>
  </si>
  <si>
    <t>ORD-10631</t>
  </si>
  <si>
    <t>ORD-10368</t>
  </si>
  <si>
    <t>CUST-3538</t>
  </si>
  <si>
    <t>Vikram Wilson</t>
  </si>
  <si>
    <t>PROD-0058</t>
  </si>
  <si>
    <t>Carter's Onesie Set</t>
  </si>
  <si>
    <t>ORD-10023</t>
  </si>
  <si>
    <t>CUST-5295</t>
  </si>
  <si>
    <t>Hana Li</t>
  </si>
  <si>
    <t>ORD-10425</t>
  </si>
  <si>
    <t>ORD-10219</t>
  </si>
  <si>
    <t>CUST-1803</t>
  </si>
  <si>
    <t>Takeshi Martinez</t>
  </si>
  <si>
    <t>Lansing</t>
  </si>
  <si>
    <t>ORD-10764</t>
  </si>
  <si>
    <t>CUST-2245</t>
  </si>
  <si>
    <t>Hana Garcia</t>
  </si>
  <si>
    <t>Connecticut</t>
  </si>
  <si>
    <t>Bridgeport</t>
  </si>
  <si>
    <t>PROD-0025</t>
  </si>
  <si>
    <t>Steelcase Leap V2</t>
  </si>
  <si>
    <t>ORD-10567</t>
  </si>
  <si>
    <t>CUST-8555</t>
  </si>
  <si>
    <t>Carlos Miller</t>
  </si>
  <si>
    <t>ORD-10156</t>
  </si>
  <si>
    <t>CUST-7293</t>
  </si>
  <si>
    <t>Aiko Yamamoto</t>
  </si>
  <si>
    <t>ORD-10117</t>
  </si>
  <si>
    <t>CUST-6000</t>
  </si>
  <si>
    <t>Aditya Jones</t>
  </si>
  <si>
    <t>Pittsburgh</t>
  </si>
  <si>
    <t>ORD-10837</t>
  </si>
  <si>
    <t>ORD-10719</t>
  </si>
  <si>
    <t>CUST-8508</t>
  </si>
  <si>
    <t>Aiko Ramirez</t>
  </si>
  <si>
    <t>ORD-10686</t>
  </si>
  <si>
    <t>CUST-8657</t>
  </si>
  <si>
    <t>Suresh Rivera</t>
  </si>
  <si>
    <t>Greensboro</t>
  </si>
  <si>
    <t>ORD-10251</t>
  </si>
  <si>
    <t>CUST-7565</t>
  </si>
  <si>
    <t>Wei Singh</t>
  </si>
  <si>
    <t>ORD-10852</t>
  </si>
  <si>
    <t>CUST-4044</t>
  </si>
  <si>
    <t>Vikram Flores</t>
  </si>
  <si>
    <t>PROD-0005</t>
  </si>
  <si>
    <t>Xiaomi 14</t>
  </si>
  <si>
    <t>ORD-10600</t>
  </si>
  <si>
    <t>CUST-4501</t>
  </si>
  <si>
    <t>ORD-10790</t>
  </si>
  <si>
    <t>PROD-0006</t>
  </si>
  <si>
    <t>Dell XPS 15</t>
  </si>
  <si>
    <t>ORD-10110</t>
  </si>
  <si>
    <t>ORD-10383</t>
  </si>
  <si>
    <t>CUST-1488</t>
  </si>
  <si>
    <t>Ananya Brown</t>
  </si>
  <si>
    <t>Great Falls</t>
  </si>
  <si>
    <t>ORD-10593</t>
  </si>
  <si>
    <t>CUST-3370</t>
  </si>
  <si>
    <t>Suresh Hernandez</t>
  </si>
  <si>
    <t>Columbus</t>
  </si>
  <si>
    <t>ORD-10316</t>
  </si>
  <si>
    <t>CUST-6802</t>
  </si>
  <si>
    <t>Vikram Tanaka</t>
  </si>
  <si>
    <t>Charlotte</t>
  </si>
  <si>
    <t>ORD-10607</t>
  </si>
  <si>
    <t>CUST-8972</t>
  </si>
  <si>
    <t>Jun Taylor</t>
  </si>
  <si>
    <t>ORD-10044</t>
  </si>
  <si>
    <t>ORD-10602</t>
  </si>
  <si>
    <t>ORD-10271</t>
  </si>
  <si>
    <t>ORD-10810</t>
  </si>
  <si>
    <t>CUST-6050</t>
  </si>
  <si>
    <t>Sarah Reddy</t>
  </si>
  <si>
    <t>ORD-10645</t>
  </si>
  <si>
    <t>CUST-2729</t>
  </si>
  <si>
    <t>Ashley Zhang</t>
  </si>
  <si>
    <t>Gulfport</t>
  </si>
  <si>
    <t>PROD-0008</t>
  </si>
  <si>
    <t>Lenovo ThinkPad X1</t>
  </si>
  <si>
    <t>ORD-10777</t>
  </si>
  <si>
    <t>CUST-1960</t>
  </si>
  <si>
    <t>Arjun Li</t>
  </si>
  <si>
    <t>ORD-10270</t>
  </si>
  <si>
    <t>CUST-1897</t>
  </si>
  <si>
    <t>Aarav Brown</t>
  </si>
  <si>
    <t>Detroit</t>
  </si>
  <si>
    <t>ORD-10561</t>
  </si>
  <si>
    <t>CUST-3361</t>
  </si>
  <si>
    <t>Chris Verma</t>
  </si>
  <si>
    <t>Augusta</t>
  </si>
  <si>
    <t>PROD-0039</t>
  </si>
  <si>
    <t>Casper Wave Hybrid Mattress</t>
  </si>
  <si>
    <t>ORD-10673</t>
  </si>
  <si>
    <t>CUST-8433</t>
  </si>
  <si>
    <t>Mei Flores</t>
  </si>
  <si>
    <t>Alabama</t>
  </si>
  <si>
    <t>Huntsville</t>
  </si>
  <si>
    <t>ORD-10348</t>
  </si>
  <si>
    <t>CUST-7044</t>
  </si>
  <si>
    <t>Amanda Perez</t>
  </si>
  <si>
    <t>ORD-10157</t>
  </si>
  <si>
    <t>ORD-10499</t>
  </si>
  <si>
    <t>CUST-5105</t>
  </si>
  <si>
    <t>Rahul Perez</t>
  </si>
  <si>
    <t>ORD-10457</t>
  </si>
  <si>
    <t>CUST-5708</t>
  </si>
  <si>
    <t>Aditya Gupta</t>
  </si>
  <si>
    <t>ORD-10544</t>
  </si>
  <si>
    <t>CUST-4470</t>
  </si>
  <si>
    <t>Fang Williams</t>
  </si>
  <si>
    <t>ORD-10143</t>
  </si>
  <si>
    <t>CUST-1645</t>
  </si>
  <si>
    <t>Annapolis</t>
  </si>
  <si>
    <t>ORD-10442</t>
  </si>
  <si>
    <t>CUST-4538</t>
  </si>
  <si>
    <t>Aditya Wang</t>
  </si>
  <si>
    <t>ORD-10508</t>
  </si>
  <si>
    <t>CUST-3804</t>
  </si>
  <si>
    <t>Juan Rivera</t>
  </si>
  <si>
    <t>ORD-10427</t>
  </si>
  <si>
    <t>CUST-7326</t>
  </si>
  <si>
    <t>Ananya Zhang</t>
  </si>
  <si>
    <t>San Diego</t>
  </si>
  <si>
    <t>ORD-10373</t>
  </si>
  <si>
    <t>CUST-8538</t>
  </si>
  <si>
    <t>Pedro Zhang</t>
  </si>
  <si>
    <t>PROD-0026</t>
  </si>
  <si>
    <t>Autonomous ErgoChair Pro</t>
  </si>
  <si>
    <t>ORD-10060</t>
  </si>
  <si>
    <t>CUST-1842</t>
  </si>
  <si>
    <t>Manish Flores</t>
  </si>
  <si>
    <t>ORD-10692</t>
  </si>
  <si>
    <t>CUST-5349</t>
  </si>
  <si>
    <t>Rohit Nair</t>
  </si>
  <si>
    <t>Norman</t>
  </si>
  <si>
    <t>ORD-10454</t>
  </si>
  <si>
    <t>ORD-10882</t>
  </si>
  <si>
    <t>CUST-5059</t>
  </si>
  <si>
    <t>Sofia Watanabe</t>
  </si>
  <si>
    <t>Parkersburg</t>
  </si>
  <si>
    <t>ORD-10970</t>
  </si>
  <si>
    <t>CUST-6438</t>
  </si>
  <si>
    <t>Divya Iyer</t>
  </si>
  <si>
    <t>ORD-10865</t>
  </si>
  <si>
    <t>CUST-1496</t>
  </si>
  <si>
    <t>Wei Hernandez</t>
  </si>
  <si>
    <t>Indiana</t>
  </si>
  <si>
    <t>Fort Wayne</t>
  </si>
  <si>
    <t>ORD-10883</t>
  </si>
  <si>
    <t>CUST-1444</t>
  </si>
  <si>
    <t>Ananya Suzuki</t>
  </si>
  <si>
    <t>Boise</t>
  </si>
  <si>
    <t>ORD-10483</t>
  </si>
  <si>
    <t>ORD-10573</t>
  </si>
  <si>
    <t>ORD-10182</t>
  </si>
  <si>
    <t>CUST-2163</t>
  </si>
  <si>
    <t>Sofia Kumar</t>
  </si>
  <si>
    <t>Seattle</t>
  </si>
  <si>
    <t>ORD-10188</t>
  </si>
  <si>
    <t>CUST-2527</t>
  </si>
  <si>
    <t>Ashley Nair</t>
  </si>
  <si>
    <t>ORD-10711</t>
  </si>
  <si>
    <t>ORD-10362</t>
  </si>
  <si>
    <t>CUST-1907</t>
  </si>
  <si>
    <t>Deepa Gonzalez</t>
  </si>
  <si>
    <t>Las Vegas</t>
  </si>
  <si>
    <t>ORD-10496</t>
  </si>
  <si>
    <t>PROD-0014</t>
  </si>
  <si>
    <t>Apple AirPods Pro</t>
  </si>
  <si>
    <t>ORD-10856</t>
  </si>
  <si>
    <t>CUST-1311</t>
  </si>
  <si>
    <t>Sanjay Brown</t>
  </si>
  <si>
    <t>ORD-10904</t>
  </si>
  <si>
    <t>CUST-1258</t>
  </si>
  <si>
    <t>Pooja Miller</t>
  </si>
  <si>
    <t>Springfield</t>
  </si>
  <si>
    <t>ORD-10419</t>
  </si>
  <si>
    <t>CUST-6881</t>
  </si>
  <si>
    <t>Michael Flores</t>
  </si>
  <si>
    <t>San Antonio</t>
  </si>
  <si>
    <t>ORD-10199</t>
  </si>
  <si>
    <t>ORD-10634</t>
  </si>
  <si>
    <t>CUST-7022</t>
  </si>
  <si>
    <t>Deepa Davis</t>
  </si>
  <si>
    <t>Utah</t>
  </si>
  <si>
    <t>Ogden</t>
  </si>
  <si>
    <t>ORD-10559</t>
  </si>
  <si>
    <t>CUST-7653</t>
  </si>
  <si>
    <t>Lakshmi Ito</t>
  </si>
  <si>
    <t>New York</t>
  </si>
  <si>
    <t>Buffalo</t>
  </si>
  <si>
    <t>ORD-10197</t>
  </si>
  <si>
    <t>ORD-10112</t>
  </si>
  <si>
    <t>CUST-7275</t>
  </si>
  <si>
    <t>Pedro Verma</t>
  </si>
  <si>
    <t>ORD-10127</t>
  </si>
  <si>
    <t>CUST-1815</t>
  </si>
  <si>
    <t>Ana Gupta</t>
  </si>
  <si>
    <t>ORD-10185</t>
  </si>
  <si>
    <t>CUST-5173</t>
  </si>
  <si>
    <t>Rohit Suzuki</t>
  </si>
  <si>
    <t>ORD-10613</t>
  </si>
  <si>
    <t>ORD-10988</t>
  </si>
  <si>
    <t>ORD-10518</t>
  </si>
  <si>
    <t>CUST-5673</t>
  </si>
  <si>
    <t>Ashley Perez</t>
  </si>
  <si>
    <t>Jackson</t>
  </si>
  <si>
    <t>ORD-10644</t>
  </si>
  <si>
    <t>CUST-9548</t>
  </si>
  <si>
    <t>Maria Davis</t>
  </si>
  <si>
    <t>ORD-10350</t>
  </si>
  <si>
    <t>ORD-10121</t>
  </si>
  <si>
    <t>CUST-5581</t>
  </si>
  <si>
    <t>Takeshi Davis</t>
  </si>
  <si>
    <t>PROD-0056</t>
  </si>
  <si>
    <t>Lululemon Leggings</t>
  </si>
  <si>
    <t>ORD-10542</t>
  </si>
  <si>
    <t>PROD-0033</t>
  </si>
  <si>
    <t>Jarvis Bamboo Desk</t>
  </si>
  <si>
    <t>ORD-10061</t>
  </si>
  <si>
    <t>ORD-10297</t>
  </si>
  <si>
    <t>CUST-1025</t>
  </si>
  <si>
    <t>Aiko Liu</t>
  </si>
  <si>
    <t>ORD-10866</t>
  </si>
  <si>
    <t>ORD-10656</t>
  </si>
  <si>
    <t>CUST-3868</t>
  </si>
  <si>
    <t>Valentina Ito</t>
  </si>
  <si>
    <t>ORD-10616</t>
  </si>
  <si>
    <t>PROD-0065</t>
  </si>
  <si>
    <t>Puma Running Jacket</t>
  </si>
  <si>
    <t>ORD-10180</t>
  </si>
  <si>
    <t>CUST-9313</t>
  </si>
  <si>
    <t>Kavya Verma</t>
  </si>
  <si>
    <t>Unknown</t>
  </si>
  <si>
    <t>ORD-10986</t>
  </si>
  <si>
    <t>CUST-3167</t>
  </si>
  <si>
    <t>Diego Ramirez</t>
  </si>
  <si>
    <t>ORD-11019</t>
  </si>
  <si>
    <t>CUST-8498</t>
  </si>
  <si>
    <t>Rohit Wilson</t>
  </si>
  <si>
    <t>San Francisco</t>
  </si>
  <si>
    <t>ORD-10282</t>
  </si>
  <si>
    <t>PROD-0040</t>
  </si>
  <si>
    <t>Tuft &amp; Needle Original Mattress</t>
  </si>
  <si>
    <t>ORD-10392</t>
  </si>
  <si>
    <t>CUST-6123</t>
  </si>
  <si>
    <t>Rahul Smith</t>
  </si>
  <si>
    <t>ORD-10212</t>
  </si>
  <si>
    <t>CUST-6562</t>
  </si>
  <si>
    <t>ORD-10640</t>
  </si>
  <si>
    <t>ORD-10733</t>
  </si>
  <si>
    <t>ORD-10498</t>
  </si>
  <si>
    <t>CUST-5332</t>
  </si>
  <si>
    <t>Fang Iyer</t>
  </si>
  <si>
    <t>ORD-10919</t>
  </si>
  <si>
    <t>ORD-10336</t>
  </si>
  <si>
    <t>CUST-9984</t>
  </si>
  <si>
    <t>Sofia Chen</t>
  </si>
  <si>
    <t>Newark</t>
  </si>
  <si>
    <t>ORD-10234</t>
  </si>
  <si>
    <t>CUST-5176</t>
  </si>
  <si>
    <t>Sarah Verma</t>
  </si>
  <si>
    <t>Birmingham</t>
  </si>
  <si>
    <t>ORD-10795</t>
  </si>
  <si>
    <t>ORD-10049</t>
  </si>
  <si>
    <t>CUST-4257</t>
  </si>
  <si>
    <t>Sofia Hernandez</t>
  </si>
  <si>
    <t>ORD-10725</t>
  </si>
  <si>
    <t>CUST-8702</t>
  </si>
  <si>
    <t>Rohit Li</t>
  </si>
  <si>
    <t>Evansville</t>
  </si>
  <si>
    <t>ORD-10528</t>
  </si>
  <si>
    <t>CUST-9698</t>
  </si>
  <si>
    <t>Michael Suzuki</t>
  </si>
  <si>
    <t>ORD-10332</t>
  </si>
  <si>
    <t>ORD-10728</t>
  </si>
  <si>
    <t>ORD-10492</t>
  </si>
  <si>
    <t>CUST-8651</t>
  </si>
  <si>
    <t>Diego Kumar</t>
  </si>
  <si>
    <t>ORD-10187</t>
  </si>
  <si>
    <t>CUST-6582</t>
  </si>
  <si>
    <t>Pooja Kumar</t>
  </si>
  <si>
    <t>Minneapolis</t>
  </si>
  <si>
    <t>ORD-10361</t>
  </si>
  <si>
    <t>CUST-4878</t>
  </si>
  <si>
    <t>Arjun Johnson</t>
  </si>
  <si>
    <t>ORD-10381</t>
  </si>
  <si>
    <t>ORD-10437</t>
  </si>
  <si>
    <t>ORD-10488</t>
  </si>
  <si>
    <t>CUST-8138</t>
  </si>
  <si>
    <t>Hana Tanaka</t>
  </si>
  <si>
    <t>ORD-10396</t>
  </si>
  <si>
    <t>ORD-10124</t>
  </si>
  <si>
    <t>ORD-10850</t>
  </si>
  <si>
    <t>ORD-10137</t>
  </si>
  <si>
    <t>CUST-6155</t>
  </si>
  <si>
    <t>Kavya Martinez</t>
  </si>
  <si>
    <t>Columbia</t>
  </si>
  <si>
    <t>ORD-10983</t>
  </si>
  <si>
    <t>ORD-10152</t>
  </si>
  <si>
    <t>ORD-10668</t>
  </si>
  <si>
    <t>ORD-10662</t>
  </si>
  <si>
    <t>ORD-10072</t>
  </si>
  <si>
    <t>CUST-9543</t>
  </si>
  <si>
    <t>ORD-11043</t>
  </si>
  <si>
    <t>CUST-6105</t>
  </si>
  <si>
    <t>Diego Chen</t>
  </si>
  <si>
    <t>ORD-10462</t>
  </si>
  <si>
    <t>CUST-9624</t>
  </si>
  <si>
    <t>Austin</t>
  </si>
  <si>
    <t>ORD-10737</t>
  </si>
  <si>
    <t>ORD-10660</t>
  </si>
  <si>
    <t>ORD-10944</t>
  </si>
  <si>
    <t>ORD-10804</t>
  </si>
  <si>
    <t>CUST-8025</t>
  </si>
  <si>
    <t>Frederick</t>
  </si>
  <si>
    <t>ORD-10229</t>
  </si>
  <si>
    <t>ORD-10845</t>
  </si>
  <si>
    <t>ORD-10272</t>
  </si>
  <si>
    <t>CUST-8438</t>
  </si>
  <si>
    <t>Vikram Jones</t>
  </si>
  <si>
    <t>ORD-10677</t>
  </si>
  <si>
    <t>ORD-10179</t>
  </si>
  <si>
    <t>ORD-10782</t>
  </si>
  <si>
    <t>CUST-5382</t>
  </si>
  <si>
    <t>ORD-10461</t>
  </si>
  <si>
    <t>ORD-10765</t>
  </si>
  <si>
    <t>CUST-5375</t>
  </si>
  <si>
    <t>Yuki Joshi</t>
  </si>
  <si>
    <t>ORD-10329</t>
  </si>
  <si>
    <t>ORD-10570</t>
  </si>
  <si>
    <t>ORD-10597</t>
  </si>
  <si>
    <t>ORD-10440</t>
  </si>
  <si>
    <t>CUST-7484</t>
  </si>
  <si>
    <t>Suresh Taylor</t>
  </si>
  <si>
    <t>ORD-10864</t>
  </si>
  <si>
    <t>ORD-10540</t>
  </si>
  <si>
    <t>ORD-10532</t>
  </si>
  <si>
    <t>ORD-10391</t>
  </si>
  <si>
    <t>CUST-1782</t>
  </si>
  <si>
    <t>Nisha Yamamoto</t>
  </si>
  <si>
    <t>ORD-10385</t>
  </si>
  <si>
    <t>ORD-10693</t>
  </si>
  <si>
    <t>CUST-5847</t>
  </si>
  <si>
    <t>Pedro Wilson</t>
  </si>
  <si>
    <t>ORD-10720</t>
  </si>
  <si>
    <t>ORD-10338</t>
  </si>
  <si>
    <t>CUST-7118</t>
  </si>
  <si>
    <t>Matthew Gonzalez</t>
  </si>
  <si>
    <t>ORD-10364</t>
  </si>
  <si>
    <t>CUST-1339</t>
  </si>
  <si>
    <t>Miguel Davis</t>
  </si>
  <si>
    <t>Worcester</t>
  </si>
  <si>
    <t>ORD-10395</t>
  </si>
  <si>
    <t>ORD-10868</t>
  </si>
  <si>
    <t>CUST-7274</t>
  </si>
  <si>
    <t>Aditya Yamamoto</t>
  </si>
  <si>
    <t>Norfolk</t>
  </si>
  <si>
    <t>ORD-11004</t>
  </si>
  <si>
    <t>CUST-3504</t>
  </si>
  <si>
    <t>Miguel Singh</t>
  </si>
  <si>
    <t>ORD-10636</t>
  </si>
  <si>
    <t>ORD-10113</t>
  </si>
  <si>
    <t>CUST-3287</t>
  </si>
  <si>
    <t>Nisha Perez</t>
  </si>
  <si>
    <t>Overland Park</t>
  </si>
  <si>
    <t>ORD-10223</t>
  </si>
  <si>
    <t>CUST-4872</t>
  </si>
  <si>
    <t>Arjun Yamamoto</t>
  </si>
  <si>
    <t>ORD-10832</t>
  </si>
  <si>
    <t>CUST-9410</t>
  </si>
  <si>
    <t>Meera Suzuki</t>
  </si>
  <si>
    <t>ORD-10447</t>
  </si>
  <si>
    <t>CUST-2891</t>
  </si>
  <si>
    <t>Kiran Perez</t>
  </si>
  <si>
    <t>ORD-10915</t>
  </si>
  <si>
    <t>ORD-10264</t>
  </si>
  <si>
    <t>CUST-9850</t>
  </si>
  <si>
    <t>Chris Torres</t>
  </si>
  <si>
    <t>ORD-10162</t>
  </si>
  <si>
    <t>ORD-10132</t>
  </si>
  <si>
    <t>PROD-0047</t>
  </si>
  <si>
    <t>ClosetMaid Organizer</t>
  </si>
  <si>
    <t>ORD-10302</t>
  </si>
  <si>
    <t>ORD-10557</t>
  </si>
  <si>
    <t>ORD-10908</t>
  </si>
  <si>
    <t>CUST-8204</t>
  </si>
  <si>
    <t>David Wang</t>
  </si>
  <si>
    <t>ORD-10650</t>
  </si>
  <si>
    <t>ORD-10797</t>
  </si>
  <si>
    <t>ORD-10621</t>
  </si>
  <si>
    <t>ORD-10951</t>
  </si>
  <si>
    <t>ORD-10144</t>
  </si>
  <si>
    <t>CUST-3153</t>
  </si>
  <si>
    <t>Ananya Wilson</t>
  </si>
  <si>
    <t>Milwaukee</t>
  </si>
  <si>
    <t>ORD-10252</t>
  </si>
  <si>
    <t>CUST-2169</t>
  </si>
  <si>
    <t>Sneha Smith</t>
  </si>
  <si>
    <t>ORD-10753</t>
  </si>
  <si>
    <t>CUST-3878</t>
  </si>
  <si>
    <t>Suresh Li</t>
  </si>
  <si>
    <t>ORD-10995</t>
  </si>
  <si>
    <t>ORD-10477</t>
  </si>
  <si>
    <t>ORD-11021</t>
  </si>
  <si>
    <t>CUST-4522</t>
  </si>
  <si>
    <t>Ashley Watanabe</t>
  </si>
  <si>
    <t>Provo</t>
  </si>
  <si>
    <t>ORD-10062</t>
  </si>
  <si>
    <t>CUST-8066</t>
  </si>
  <si>
    <t>Vikram Wang</t>
  </si>
  <si>
    <t>ORD-10459</t>
  </si>
  <si>
    <t>PROD-0052</t>
  </si>
  <si>
    <t>Patagonia Fleece Jacket</t>
  </si>
  <si>
    <t>ORD-10436</t>
  </si>
  <si>
    <t>ORD-10658</t>
  </si>
  <si>
    <t>PROD-0036</t>
  </si>
  <si>
    <t>West Elm Harmony Sofa</t>
  </si>
  <si>
    <t>ORD-10114</t>
  </si>
  <si>
    <t>ORD-10875</t>
  </si>
  <si>
    <t>CUST-6055</t>
  </si>
  <si>
    <t>Wei Patel</t>
  </si>
  <si>
    <t>ORD-10517</t>
  </si>
  <si>
    <t>CUST-9288</t>
  </si>
  <si>
    <t>Sanjay Joshi</t>
  </si>
  <si>
    <t>ORD-11009</t>
  </si>
  <si>
    <t>ORD-10572</t>
  </si>
  <si>
    <t>CUST-2864</t>
  </si>
  <si>
    <t>ORD-10318</t>
  </si>
  <si>
    <t>CUST-8787</t>
  </si>
  <si>
    <t>Yuki Smith</t>
  </si>
  <si>
    <t>Davenport</t>
  </si>
  <si>
    <t>ORD-10723</t>
  </si>
  <si>
    <t>ORD-10536</t>
  </si>
  <si>
    <t>CUST-2275</t>
  </si>
  <si>
    <t>James Ramirez</t>
  </si>
  <si>
    <t>Dover</t>
  </si>
  <si>
    <t>ORD-10618</t>
  </si>
  <si>
    <t>ORD-11031</t>
  </si>
  <si>
    <t>CUST-1430</t>
  </si>
  <si>
    <t>ORD-10253</t>
  </si>
  <si>
    <t>ORD-11002</t>
  </si>
  <si>
    <t>CUST-6968</t>
  </si>
  <si>
    <t>Ana Garcia</t>
  </si>
  <si>
    <t>ORD-10581</t>
  </si>
  <si>
    <t>CUST-7381</t>
  </si>
  <si>
    <t>Valentina Torres</t>
  </si>
  <si>
    <t>ORD-10614</t>
  </si>
  <si>
    <t>ORD-10017</t>
  </si>
  <si>
    <t>ORD-10784</t>
  </si>
  <si>
    <t>CUST-8123</t>
  </si>
  <si>
    <t>Arjun Ito</t>
  </si>
  <si>
    <t>ORD-10280</t>
  </si>
  <si>
    <t>ORD-10835</t>
  </si>
  <si>
    <t>ORD-10102</t>
  </si>
  <si>
    <t>CUST-3296</t>
  </si>
  <si>
    <t>Ashley Johnson</t>
  </si>
  <si>
    <t>ORD-10750</t>
  </si>
  <si>
    <t>CUST-8149</t>
  </si>
  <si>
    <t>Takeshi Lopez</t>
  </si>
  <si>
    <t>ORD-10366</t>
  </si>
  <si>
    <t>ORD-10817</t>
  </si>
  <si>
    <t>ORD-10945</t>
  </si>
  <si>
    <t>CUST-9807</t>
  </si>
  <si>
    <t>ORD-10481</t>
  </si>
  <si>
    <t>CUST-1919</t>
  </si>
  <si>
    <t>Manish Liu</t>
  </si>
  <si>
    <t>ORD-10237</t>
  </si>
  <si>
    <t>CUST-6559</t>
  </si>
  <si>
    <t>Kiran Garcia</t>
  </si>
  <si>
    <t>ORD-10608</t>
  </si>
  <si>
    <t>ORD-10153</t>
  </si>
  <si>
    <t>CUST-9494</t>
  </si>
  <si>
    <t>Sarah Rivera</t>
  </si>
  <si>
    <t>ORD-10691</t>
  </si>
  <si>
    <t>ORD-10603</t>
  </si>
  <si>
    <t>ORD-10653</t>
  </si>
  <si>
    <t>ORD-10687</t>
  </si>
  <si>
    <t>CUST-4697</t>
  </si>
  <si>
    <t>Valentina Gonzalez</t>
  </si>
  <si>
    <t>ORD-10985</t>
  </si>
  <si>
    <t>ORD-10320</t>
  </si>
  <si>
    <t>ORD-10716</t>
  </si>
  <si>
    <t>ORD-10754</t>
  </si>
  <si>
    <t>ORD-11013</t>
  </si>
  <si>
    <t>ORD-10738</t>
  </si>
  <si>
    <t>CUST-6502</t>
  </si>
  <si>
    <t>James Hernandez</t>
  </si>
  <si>
    <t>ORD-10020</t>
  </si>
  <si>
    <t>CUST-2924</t>
  </si>
  <si>
    <t>Maria Verma</t>
  </si>
  <si>
    <t>ORD-11042</t>
  </si>
  <si>
    <t>ORD-10008</t>
  </si>
  <si>
    <t>ORD-10445</t>
  </si>
  <si>
    <t>CUST-9837</t>
  </si>
  <si>
    <t>Sneha Liu</t>
  </si>
  <si>
    <t>ORD-10304</t>
  </si>
  <si>
    <t>ORD-10283</t>
  </si>
  <si>
    <t>CUST-9740</t>
  </si>
  <si>
    <t>Ananya Lopez</t>
  </si>
  <si>
    <t>Laramie</t>
  </si>
  <si>
    <t>ORD-10598</t>
  </si>
  <si>
    <t>Missoula</t>
  </si>
  <si>
    <t>ORD-10432</t>
  </si>
  <si>
    <t>ORD-10811</t>
  </si>
  <si>
    <t>ORD-10612</t>
  </si>
  <si>
    <t>ORD-10274</t>
  </si>
  <si>
    <t>CUST-6439</t>
  </si>
  <si>
    <t>Kiran Watanabe</t>
  </si>
  <si>
    <t>ORD-10769</t>
  </si>
  <si>
    <t>ORD-10999</t>
  </si>
  <si>
    <t>ORD-10522</t>
  </si>
  <si>
    <t>ORD-10519</t>
  </si>
  <si>
    <t>ORD-10770</t>
  </si>
  <si>
    <t>ORD-10688</t>
  </si>
  <si>
    <t>ORD-10406</t>
  </si>
  <si>
    <t>ORD-10546</t>
  </si>
  <si>
    <t>ORD-10841</t>
  </si>
  <si>
    <t>Valentina Rivera</t>
  </si>
  <si>
    <t>ORD-10674</t>
  </si>
  <si>
    <t>CUST-1599</t>
  </si>
  <si>
    <t>Miguel Williams</t>
  </si>
  <si>
    <t>ORD-10683</t>
  </si>
  <si>
    <t>ORD-10340</t>
  </si>
  <si>
    <t>CUST-6644</t>
  </si>
  <si>
    <t>Suresh Perez</t>
  </si>
  <si>
    <t>ORD-10010</t>
  </si>
  <si>
    <t>CUST-5930</t>
  </si>
  <si>
    <t>Jessica Perez</t>
  </si>
  <si>
    <t>New Haven</t>
  </si>
  <si>
    <t>ORD-10487</t>
  </si>
  <si>
    <t>ORD-10527</t>
  </si>
  <si>
    <t>CUST-5564</t>
  </si>
  <si>
    <t>Vikram Davis</t>
  </si>
  <si>
    <t>ORD-10087</t>
  </si>
  <si>
    <t>CUST-1096</t>
  </si>
  <si>
    <t>Michael Taylor</t>
  </si>
  <si>
    <t>ORD-10574</t>
  </si>
  <si>
    <t>ORD-10273</t>
  </si>
  <si>
    <t>ORD-10387</t>
  </si>
  <si>
    <t>CUST-2988</t>
  </si>
  <si>
    <t>Rahul Joshi</t>
  </si>
  <si>
    <t>ORD-10215</t>
  </si>
  <si>
    <t>ORD-10552</t>
  </si>
  <si>
    <t>ORD-10755</t>
  </si>
  <si>
    <t>CUST-5742</t>
  </si>
  <si>
    <t>James Iyer</t>
  </si>
  <si>
    <t>Savannah</t>
  </si>
  <si>
    <t>ORD-10859</t>
  </si>
  <si>
    <t>ORD-10024</t>
  </si>
  <si>
    <t>ORD-10455</t>
  </si>
  <si>
    <t>CUST-6493</t>
  </si>
  <si>
    <t>Meera Joshi</t>
  </si>
  <si>
    <t>ORD-10878</t>
  </si>
  <si>
    <t>ORD-10584</t>
  </si>
  <si>
    <t>CUST-7965</t>
  </si>
  <si>
    <t>Deepa Hernandez</t>
  </si>
  <si>
    <t>ORD-10474</t>
  </si>
  <si>
    <t>ORD-10993</t>
  </si>
  <si>
    <t>ORD-10774</t>
  </si>
  <si>
    <t>ORD-10202</t>
  </si>
  <si>
    <t>ORD-10222</t>
  </si>
  <si>
    <t>ORD-10788</t>
  </si>
  <si>
    <t>CUST-9270</t>
  </si>
  <si>
    <t>ORD-10523</t>
  </si>
  <si>
    <t>ORD-10422</t>
  </si>
  <si>
    <t>ORD-10307</t>
  </si>
  <si>
    <t>CUST-2646</t>
  </si>
  <si>
    <t>Matthew Smith</t>
  </si>
  <si>
    <t>ORD-10881</t>
  </si>
  <si>
    <t>ORD-10346</t>
  </si>
  <si>
    <t>ORD-10306</t>
  </si>
  <si>
    <t>ORD-10761</t>
  </si>
  <si>
    <t>ORD-10358</t>
  </si>
  <si>
    <t>ORD-11027</t>
  </si>
  <si>
    <t>CUST-7043</t>
  </si>
  <si>
    <t>Arjun Flores</t>
  </si>
  <si>
    <t>ORD-10535</t>
  </si>
  <si>
    <t>ORD-10617</t>
  </si>
  <si>
    <t>ORD-10758</t>
  </si>
  <si>
    <t>ORD-10982</t>
  </si>
  <si>
    <t>ORD-10314</t>
  </si>
  <si>
    <t>ORD-10646</t>
  </si>
  <si>
    <t>ORD-10279</t>
  </si>
  <si>
    <t>ORD-10384</t>
  </si>
  <si>
    <t>ORD-10002</t>
  </si>
  <si>
    <t>CUST-9437</t>
  </si>
  <si>
    <t>ORD-10119</t>
  </si>
  <si>
    <t>ORD-10958</t>
  </si>
  <si>
    <t>CUST-6400</t>
  </si>
  <si>
    <t>Juan Iyer</t>
  </si>
  <si>
    <t>ORD-11029</t>
  </si>
  <si>
    <t>ORD-10401</t>
  </si>
  <si>
    <t>ORD-10068</t>
  </si>
  <si>
    <t>ORD-10849</t>
  </si>
  <si>
    <t>ORD-10026</t>
  </si>
  <si>
    <t>CUST-8811</t>
  </si>
  <si>
    <t>Mei Gonzalez</t>
  </si>
  <si>
    <t>San Jose</t>
  </si>
  <si>
    <t>ORD-10960</t>
  </si>
  <si>
    <t>ORD-10858</t>
  </si>
  <si>
    <t>ORD-10789</t>
  </si>
  <si>
    <t>ORD-10299</t>
  </si>
  <si>
    <t>ORD-10218</t>
  </si>
  <si>
    <t>ORD-10604</t>
  </si>
  <si>
    <t>ORD-10181</t>
  </si>
  <si>
    <t>ORD-10829</t>
  </si>
  <si>
    <t>ORD-10303</t>
  </si>
  <si>
    <t>ORD-10040</t>
  </si>
  <si>
    <t>ORD-10639</t>
  </si>
  <si>
    <t>ORD-10916</t>
  </si>
  <si>
    <t>ORD-10922</t>
  </si>
  <si>
    <t>ORD-10664</t>
  </si>
  <si>
    <t>ORD-10284</t>
  </si>
  <si>
    <t>ORD-10472</t>
  </si>
  <si>
    <t>CUST-2684</t>
  </si>
  <si>
    <t>Michael Perez</t>
  </si>
  <si>
    <t>ORD-10371</t>
  </si>
  <si>
    <t>PROD-0046</t>
  </si>
  <si>
    <t>Rubbermaid Storage Cabinet</t>
  </si>
  <si>
    <t>ORD-10106</t>
  </si>
  <si>
    <t>ORD-10126</t>
  </si>
  <si>
    <t>ORD-10808</t>
  </si>
  <si>
    <t>ORD-10967</t>
  </si>
  <si>
    <t>ORD-10080</t>
  </si>
  <si>
    <t>ORD-10751</t>
  </si>
  <si>
    <t>ORD-10887</t>
  </si>
  <si>
    <t>ORD-10235</t>
  </si>
  <si>
    <t>ORD-10879</t>
  </si>
  <si>
    <t>ORD-10685</t>
  </si>
  <si>
    <t>ORD-10934</t>
  </si>
  <si>
    <t>CUST-6286</t>
  </si>
  <si>
    <t>Sofia Jones</t>
  </si>
  <si>
    <t>ORD-10451</t>
  </si>
  <si>
    <t>ORD-10192</t>
  </si>
  <si>
    <t>ORD-10428</t>
  </si>
  <si>
    <t>CUST-6121</t>
  </si>
  <si>
    <t>ORD-10408</t>
  </si>
  <si>
    <t>ORD-10258</t>
  </si>
  <si>
    <t>ORD-10142</t>
  </si>
  <si>
    <t>ORD-10120</t>
  </si>
  <si>
    <t>ORD-10249</t>
  </si>
  <si>
    <t>ORD-10109</t>
  </si>
  <si>
    <t>ORD-10048</t>
  </si>
  <si>
    <t>CUST-8043</t>
  </si>
  <si>
    <t>ORD-10740</t>
  </si>
  <si>
    <t>ORD-10233</t>
  </si>
  <si>
    <t>CUST-8373</t>
  </si>
  <si>
    <t>Sanjay Garcia</t>
  </si>
  <si>
    <t>ORD-10979</t>
  </si>
  <si>
    <t>ORD-10801</t>
  </si>
  <si>
    <t>CUST-1400</t>
  </si>
  <si>
    <t>Rohit Garcia</t>
  </si>
  <si>
    <t>ORD-10449</t>
  </si>
  <si>
    <t>CUST-1224</t>
  </si>
  <si>
    <t>Yuki Yamamoto</t>
  </si>
  <si>
    <t>Philadelphia</t>
  </si>
  <si>
    <t>ORD-10973</t>
  </si>
  <si>
    <t>ORD-10836</t>
  </si>
  <si>
    <t>ORD-10227</t>
  </si>
  <si>
    <t>ORD-11024</t>
  </si>
  <si>
    <t>ORD-10402</t>
  </si>
  <si>
    <t>ORD-10962</t>
  </si>
  <si>
    <t>CUST-7984</t>
  </si>
  <si>
    <t>Ana Nair</t>
  </si>
  <si>
    <t>ORD-10434</t>
  </si>
  <si>
    <t>ORD-11025</t>
  </si>
  <si>
    <t>ORD-11030</t>
  </si>
  <si>
    <t>ORD-10974</t>
  </si>
  <si>
    <t>ORD-10537</t>
  </si>
  <si>
    <t>ORD-10259</t>
  </si>
  <si>
    <t>CUST-9308</t>
  </si>
  <si>
    <t>Lakshmi Yamamoto</t>
  </si>
  <si>
    <t>ORD-10178</t>
  </si>
  <si>
    <t>CUST-4727</t>
  </si>
  <si>
    <t>Sarah Johnson</t>
  </si>
  <si>
    <t>Dallas</t>
  </si>
  <si>
    <t>ORD-10712</t>
  </si>
  <si>
    <t>ORD-10591</t>
  </si>
  <si>
    <t>ORD-10848</t>
  </si>
  <si>
    <t>ORD-10415</t>
  </si>
  <si>
    <t>ORD-11017</t>
  </si>
  <si>
    <t>CUST-3001</t>
  </si>
  <si>
    <t>Amanda Gupta</t>
  </si>
  <si>
    <t>ORD-10172</t>
  </si>
  <si>
    <t>ORD-10407</t>
  </si>
  <si>
    <t>ORD-10516</t>
  </si>
  <si>
    <t>CUST-8613</t>
  </si>
  <si>
    <t>Kenji Rivera</t>
  </si>
  <si>
    <t>ORD-10582</t>
  </si>
  <si>
    <t>ORD-10435</t>
  </si>
  <si>
    <t>CUST-8956</t>
  </si>
  <si>
    <t>Priya Li</t>
  </si>
  <si>
    <t>ORD-10891</t>
  </si>
  <si>
    <t>ORD-10736</t>
  </si>
  <si>
    <t>ORD-10093</t>
  </si>
  <si>
    <t>Mei Rodriguez</t>
  </si>
  <si>
    <t>ORD-10079</t>
  </si>
  <si>
    <t>CUST-2118</t>
  </si>
  <si>
    <t>Liang Watanabe</t>
  </si>
  <si>
    <t>ORD-10893</t>
  </si>
  <si>
    <t>ORD-10138</t>
  </si>
  <si>
    <t>ORD-10888</t>
  </si>
  <si>
    <t>ORD-10802</t>
  </si>
  <si>
    <t>ORD-10588</t>
  </si>
  <si>
    <t>ORD-10637</t>
  </si>
  <si>
    <t>ORD-10941</t>
  </si>
  <si>
    <t>ORD-10139</t>
  </si>
  <si>
    <t>ORD-10158</t>
  </si>
  <si>
    <t>ORD-10622</t>
  </si>
  <si>
    <t>CUST-2786</t>
  </si>
  <si>
    <t>Matthew Lopez</t>
  </si>
  <si>
    <t>ORD-10006</t>
  </si>
  <si>
    <t>ORD-10310</t>
  </si>
  <si>
    <t>ORD-10978</t>
  </si>
  <si>
    <t>CUST-7018</t>
  </si>
  <si>
    <t>Jun Davis</t>
  </si>
  <si>
    <t>ORD-10075</t>
  </si>
  <si>
    <t>CUST-6464</t>
  </si>
  <si>
    <t>Nisha Joshi</t>
  </si>
  <si>
    <t>ORD-10989</t>
  </si>
  <si>
    <t>CUST-3664</t>
  </si>
  <si>
    <t>Sarah Liu</t>
  </si>
  <si>
    <t>ORD-10489</t>
  </si>
  <si>
    <t>ORD-10377</t>
  </si>
  <si>
    <t>ORD-10240</t>
  </si>
  <si>
    <t>ORD-10184</t>
  </si>
  <si>
    <t>CUST-3045</t>
  </si>
  <si>
    <t>David Gupta</t>
  </si>
  <si>
    <t>ORD-10446</t>
  </si>
  <si>
    <t>ORD-10541</t>
  </si>
  <si>
    <t>ORD-10014</t>
  </si>
  <si>
    <t>ORD-10587</t>
  </si>
  <si>
    <t>ORD-10448</t>
  </si>
  <si>
    <t>ORD-10699</t>
  </si>
  <si>
    <t>ORD-10936</t>
  </si>
  <si>
    <t>ORD-10216</t>
  </si>
  <si>
    <t>ORD-10667</t>
  </si>
  <si>
    <t>ORD-10706</t>
  </si>
  <si>
    <t>ORD-10577</t>
  </si>
  <si>
    <t>CUST-2402</t>
  </si>
  <si>
    <t>Jun Zhang</t>
  </si>
  <si>
    <t>ORD-10586</t>
  </si>
  <si>
    <t>CUST-4588</t>
  </si>
  <si>
    <t>Carlos Williams</t>
  </si>
  <si>
    <t>ORD-10123</t>
  </si>
  <si>
    <t>ORD-10151</t>
  </si>
  <si>
    <t>CUST-2679</t>
  </si>
  <si>
    <t>Ana Hernandez</t>
  </si>
  <si>
    <t>ORD-10827</t>
  </si>
  <si>
    <t>ORD-10360</t>
  </si>
  <si>
    <t>ORD-10337</t>
  </si>
  <si>
    <t>ORD-10695</t>
  </si>
  <si>
    <t>ORD-10507</t>
  </si>
  <si>
    <t>ORD-10966</t>
  </si>
  <si>
    <t>ORD-10081</t>
  </si>
  <si>
    <t>ORD-10965</t>
  </si>
  <si>
    <t>ORD-10828</t>
  </si>
  <si>
    <t>CUST-1745</t>
  </si>
  <si>
    <t>Sneha Perez</t>
  </si>
  <si>
    <t>ORD-10413</t>
  </si>
  <si>
    <t>ORD-10779</t>
  </si>
  <si>
    <t>CUST-4084</t>
  </si>
  <si>
    <t>James Flores</t>
  </si>
  <si>
    <t>ORD-10872</t>
  </si>
  <si>
    <t>CUST-2680</t>
  </si>
  <si>
    <t>Aarav Ramirez</t>
  </si>
  <si>
    <t>ORD-10666</t>
  </si>
  <si>
    <t>ORD-10325</t>
  </si>
  <si>
    <t>CUST-2824</t>
  </si>
  <si>
    <t>Priya Davis</t>
  </si>
  <si>
    <t>Denver</t>
  </si>
  <si>
    <t>ORD-10345</t>
  </si>
  <si>
    <t>ORD-10959</t>
  </si>
  <si>
    <t>CUST-5757</t>
  </si>
  <si>
    <t>Lakshmi Smith</t>
  </si>
  <si>
    <t>Scottsdale</t>
  </si>
  <si>
    <t>ORD-10500</t>
  </si>
  <si>
    <t>ORD-10107</t>
  </si>
  <si>
    <t>CUST-3053</t>
  </si>
  <si>
    <t>James Singh</t>
  </si>
  <si>
    <t>Greenville</t>
  </si>
  <si>
    <t>ORD-10028</t>
  </si>
  <si>
    <t>ORD-10135</t>
  </si>
  <si>
    <t>CUST-9452</t>
  </si>
  <si>
    <t>Deepa Wilson</t>
  </si>
  <si>
    <t>ORD-10625</t>
  </si>
  <si>
    <t>ORD-10289</t>
  </si>
  <si>
    <t>ORD-10090</t>
  </si>
  <si>
    <t>CUST-6421</t>
  </si>
  <si>
    <t>Fang Ito</t>
  </si>
  <si>
    <t>ORD-10497</t>
  </si>
  <si>
    <t>CUST-7026</t>
  </si>
  <si>
    <t>ORD-10771</t>
  </si>
  <si>
    <t>ORD-10334</t>
  </si>
  <si>
    <t>CUST-3273</t>
  </si>
  <si>
    <t>Miguel Rodriguez</t>
  </si>
  <si>
    <t>ORD-10486</t>
  </si>
  <si>
    <t>ORD-10305</t>
  </si>
  <si>
    <t>ORD-10553</t>
  </si>
  <si>
    <t>ORD-10466</t>
  </si>
  <si>
    <t>CUST-5089</t>
  </si>
  <si>
    <t>Deepa Patel</t>
  </si>
  <si>
    <t>ORD-10923</t>
  </si>
  <si>
    <t>ORD-10194</t>
  </si>
  <si>
    <t>ORD-10931</t>
  </si>
  <si>
    <t>ORD-11035</t>
  </si>
  <si>
    <t>ORD-10195</t>
  </si>
  <si>
    <t>ORD-10626</t>
  </si>
  <si>
    <t>CUST-2330</t>
  </si>
  <si>
    <t>Rohit Ramirez</t>
  </si>
  <si>
    <t>ORD-10347</t>
  </si>
  <si>
    <t>CUST-1939</t>
  </si>
  <si>
    <t>ORD-10089</t>
  </si>
  <si>
    <t>CUST-9431</t>
  </si>
  <si>
    <t>Aarav Hernandez</t>
  </si>
  <si>
    <t>Louisville</t>
  </si>
  <si>
    <t>ORD-10972</t>
  </si>
  <si>
    <t>CUST-6759</t>
  </si>
  <si>
    <t>Matthew Reddy</t>
  </si>
  <si>
    <t>ORD-10884</t>
  </si>
  <si>
    <t>ORD-10374</t>
  </si>
  <si>
    <t>ORD-11047</t>
  </si>
  <si>
    <t>ORD-10073</t>
  </si>
  <si>
    <t>ORD-10643</t>
  </si>
  <si>
    <t>ORD-10217</t>
  </si>
  <si>
    <t>ORD-10815</t>
  </si>
  <si>
    <t>ORD-10794</t>
  </si>
  <si>
    <t>ORD-11037</t>
  </si>
  <si>
    <t>CUST-2868</t>
  </si>
  <si>
    <t>Jun Lopez</t>
  </si>
  <si>
    <t>Tucson</t>
  </si>
  <si>
    <t>ORD-10398</t>
  </si>
  <si>
    <t>ORD-10032</t>
  </si>
  <si>
    <t>ORD-10175</t>
  </si>
  <si>
    <t>ORD-10853</t>
  </si>
  <si>
    <t>ORD-10939</t>
  </si>
  <si>
    <t>ORD-10460</t>
  </si>
  <si>
    <t>ORD-10083</t>
  </si>
  <si>
    <t>ORD-10323</t>
  </si>
  <si>
    <t>CUST-1422</t>
  </si>
  <si>
    <t>Suresh Sharma</t>
  </si>
  <si>
    <t>ORD-10198</t>
  </si>
  <si>
    <t>ORD-10403</t>
  </si>
  <si>
    <t>ORD-10236</t>
  </si>
  <si>
    <t>CUST-7071</t>
  </si>
  <si>
    <t>Vikram Lopez</t>
  </si>
  <si>
    <t>ORD-10171</t>
  </si>
  <si>
    <t>ORD-10515</t>
  </si>
  <si>
    <t>CUST-4450</t>
  </si>
  <si>
    <t>Sofia Wang</t>
  </si>
  <si>
    <t>ORD-10130</t>
  </si>
  <si>
    <t>ORD-10823</t>
  </si>
  <si>
    <t>ORD-10679</t>
  </si>
  <si>
    <t>ORD-10609</t>
  </si>
  <si>
    <t>ORD-10684</t>
  </si>
  <si>
    <t>ORD-10141</t>
  </si>
  <si>
    <t>ORD-10205</t>
  </si>
  <si>
    <t>ORD-10869</t>
  </si>
  <si>
    <t>ORD-11039</t>
  </si>
  <si>
    <t>ORD-10053</t>
  </si>
  <si>
    <t>CUST-7809</t>
  </si>
  <si>
    <t>Liang Ito</t>
  </si>
  <si>
    <t>ORD-10421</t>
  </si>
  <si>
    <t>ORD-10932</t>
  </si>
  <si>
    <t>ORD-10624</t>
  </si>
  <si>
    <t>ORD-10382</t>
  </si>
  <si>
    <t>ORD-10807</t>
  </si>
  <si>
    <t>ORD-10290</t>
  </si>
  <si>
    <t>ORD-11044</t>
  </si>
  <si>
    <t>ORD-10917</t>
  </si>
  <si>
    <t>ORD-10792</t>
  </si>
  <si>
    <t>CUST-5460</t>
  </si>
  <si>
    <t>Mei Hernandez</t>
  </si>
  <si>
    <t>ORD-10671</t>
  </si>
  <si>
    <t>ORD-10221</t>
  </si>
  <si>
    <t>ORD-10549</t>
  </si>
  <si>
    <t>ORD-10417</t>
  </si>
  <si>
    <t>CUST-1932</t>
  </si>
  <si>
    <t>Sarah Wilson</t>
  </si>
  <si>
    <t>ORD-10997</t>
  </si>
  <si>
    <t>ORD-10069</t>
  </si>
  <si>
    <t>CUST-6277</t>
  </si>
  <si>
    <t>Takeshi Verma</t>
  </si>
  <si>
    <t>ORD-10247</t>
  </si>
  <si>
    <t>CUST-5096</t>
  </si>
  <si>
    <t>Sneha Rodriguez</t>
  </si>
  <si>
    <t>Des Moines</t>
  </si>
  <si>
    <t>ORD-10239</t>
  </si>
  <si>
    <t>ORD-10414</t>
  </si>
  <si>
    <t>ORD-10927</t>
  </si>
  <si>
    <t>ORD-10088</t>
  </si>
  <si>
    <t>ORD-10560</t>
  </si>
  <si>
    <t>ORD-10200</t>
  </si>
  <si>
    <t>ORD-10724</t>
  </si>
  <si>
    <t>ORD-10262</t>
  </si>
  <si>
    <t>ORD-10696</t>
  </si>
  <si>
    <t>CUST-6700</t>
  </si>
  <si>
    <t>Chris Wang</t>
  </si>
  <si>
    <t>ORD-10526</t>
  </si>
  <si>
    <t>ORD-10275</t>
  </si>
  <si>
    <t>CUST-1508</t>
  </si>
  <si>
    <t>Nisha Williams</t>
  </si>
  <si>
    <t>ORD-10210</t>
  </si>
  <si>
    <t>CUST-9785</t>
  </si>
  <si>
    <t>Hartford</t>
  </si>
  <si>
    <t>ORD-10594</t>
  </si>
  <si>
    <t>ORD-10502</t>
  </si>
  <si>
    <t>ORD-10633</t>
  </si>
  <si>
    <t>ORD-10746</t>
  </si>
  <si>
    <t>ORD-10975</t>
  </si>
  <si>
    <t>CUST-1525</t>
  </si>
  <si>
    <t>James Tanaka</t>
  </si>
  <si>
    <t>ORD-10556</t>
  </si>
  <si>
    <t>ORD-10697</t>
  </si>
  <si>
    <t>ORD-10043</t>
  </si>
  <si>
    <t>ORD-10969</t>
  </si>
  <si>
    <t>ORD-10238</t>
  </si>
  <si>
    <t>ORD-10558</t>
  </si>
  <si>
    <t>ORD-10294</t>
  </si>
  <si>
    <t>ORD-10037</t>
  </si>
  <si>
    <t>CUST-9702</t>
  </si>
  <si>
    <t>Chris Ramirez</t>
  </si>
  <si>
    <t>Portland</t>
  </si>
  <si>
    <t>ORD-10885</t>
  </si>
  <si>
    <t>ORD-10465</t>
  </si>
  <si>
    <t>ORD-10892</t>
  </si>
  <si>
    <t>ORD-10742</t>
  </si>
  <si>
    <t>ORD-10964</t>
  </si>
  <si>
    <t>ORD-10895</t>
  </si>
  <si>
    <t>CUST-7302</t>
  </si>
  <si>
    <t>Liang Nair</t>
  </si>
  <si>
    <t>ORD-10438</t>
  </si>
  <si>
    <t>ORD-10899</t>
  </si>
  <si>
    <t>ORD-10565</t>
  </si>
  <si>
    <t>ORD-10713</t>
  </si>
  <si>
    <t>ORD-10732</t>
  </si>
  <si>
    <t>ORD-10550</t>
  </si>
  <si>
    <t>ORD-11015</t>
  </si>
  <si>
    <t>ORD-10984</t>
  </si>
  <si>
    <t>ORD-10981</t>
  </si>
  <si>
    <t>CUST-9307</t>
  </si>
  <si>
    <t>David Ito</t>
  </si>
  <si>
    <t>ORD-10211</t>
  </si>
  <si>
    <t>ORD-10150</t>
  </si>
  <si>
    <t>CUST-9903</t>
  </si>
  <si>
    <t>ORD-10648</t>
  </si>
  <si>
    <t>CUST-1319</t>
  </si>
  <si>
    <t>Deepa Zhang</t>
  </si>
  <si>
    <t>ORD-10416</t>
  </si>
  <si>
    <t>ORD-10260</t>
  </si>
  <si>
    <t>ORD-10682</t>
  </si>
  <si>
    <t>ORD-10326</t>
  </si>
  <si>
    <t>ORD-10672</t>
  </si>
  <si>
    <t>ORD-10054</t>
  </si>
  <si>
    <t>ORD-10099</t>
  </si>
  <si>
    <t>ORD-10207</t>
  </si>
  <si>
    <t>ORD-10255</t>
  </si>
  <si>
    <t>ORD-10167</t>
  </si>
  <si>
    <t>ORD-10909</t>
  </si>
  <si>
    <t>ORD-10590</t>
  </si>
  <si>
    <t>ORD-10822</t>
  </si>
  <si>
    <t>CUST-4954</t>
  </si>
  <si>
    <t>Diego Yamamoto</t>
  </si>
  <si>
    <t>ORD-10105</t>
  </si>
  <si>
    <t>ORD-10749</t>
  </si>
  <si>
    <t>ORD-10201</t>
  </si>
  <si>
    <t>ORD-10920</t>
  </si>
  <si>
    <t>ORD-10803</t>
  </si>
  <si>
    <t>ORD-10627</t>
  </si>
  <si>
    <t>ORD-10343</t>
  </si>
  <si>
    <t>ORD-10529</t>
  </si>
  <si>
    <t>ORD-10857</t>
  </si>
  <si>
    <t>ORD-10058</t>
  </si>
  <si>
    <t>ORD-10013</t>
  </si>
  <si>
    <t>ORD-10942</t>
  </si>
  <si>
    <t>ORD-10412</t>
  </si>
  <si>
    <t>ORD-10580</t>
  </si>
  <si>
    <t>ORD-10531</t>
  </si>
  <si>
    <t>ORD-10473</t>
  </si>
  <si>
    <t>ORD-10281</t>
  </si>
  <si>
    <t>ORD-10722</t>
  </si>
  <si>
    <t>ORD-10605</t>
  </si>
  <si>
    <t>CUST-2983</t>
  </si>
  <si>
    <t>Kenji Reddy</t>
  </si>
  <si>
    <t>ORD-10629</t>
  </si>
  <si>
    <t>ORD-10623</t>
  </si>
  <si>
    <t>CUST-9022</t>
  </si>
  <si>
    <t>Meera Watanabe</t>
  </si>
  <si>
    <t>ORD-10902</t>
  </si>
  <si>
    <t>ORD-10452</t>
  </si>
  <si>
    <t>ORD-10170</t>
  </si>
  <si>
    <t>ORD-10855</t>
  </si>
  <si>
    <t>CUST-2388</t>
  </si>
  <si>
    <t>Lakshmi Perez</t>
  </si>
  <si>
    <t>ORD-10059</t>
  </si>
  <si>
    <t>ORD-10389</t>
  </si>
  <si>
    <t>ORD-10678</t>
  </si>
  <si>
    <t>CUST-4527</t>
  </si>
  <si>
    <t>Miguel Wang</t>
  </si>
  <si>
    <t>Jersey City</t>
  </si>
  <si>
    <t>ORD-10365</t>
  </si>
  <si>
    <t>CUST-6169</t>
  </si>
  <si>
    <t>ORD-10370</t>
  </si>
  <si>
    <t>ORD-10963</t>
  </si>
  <si>
    <t>ORD-10977</t>
  </si>
  <si>
    <t>ORD-10241</t>
  </si>
  <si>
    <t>CUST-9938</t>
  </si>
  <si>
    <t>Rohit Zhang</t>
  </si>
  <si>
    <t>Salt Lake City</t>
  </si>
  <si>
    <t>ORD-10226</t>
  </si>
  <si>
    <t>CUST-3165</t>
  </si>
  <si>
    <t>Fang Zhang</t>
  </si>
  <si>
    <t>Cleveland</t>
  </si>
  <si>
    <t>ORD-10039</t>
  </si>
  <si>
    <t>CUST-4997</t>
  </si>
  <si>
    <t>Meera Sharma</t>
  </si>
  <si>
    <t>ORD-10833</t>
  </si>
  <si>
    <t>ORD-10665</t>
  </si>
  <si>
    <t>ORD-10386</t>
  </si>
  <si>
    <t>ORD-10312</t>
  </si>
  <si>
    <t>ORD-11014</t>
  </si>
  <si>
    <t>ORD-10453</t>
  </si>
  <si>
    <t>ORD-10628</t>
  </si>
  <si>
    <t>ORD-10659</t>
  </si>
  <si>
    <t>ORD-10122</t>
  </si>
  <si>
    <t>ORD-10547</t>
  </si>
  <si>
    <t>ORD-10231</t>
  </si>
  <si>
    <t>ORD-10655</t>
  </si>
  <si>
    <t>ORD-10149</t>
  </si>
  <si>
    <t>ORD-10545</t>
  </si>
  <si>
    <t>ORD-11034</t>
  </si>
  <si>
    <t>ORD-10173</t>
  </si>
  <si>
    <t>ORD-10763</t>
  </si>
  <si>
    <t>ORD-10034</t>
  </si>
  <si>
    <t>ORD-10933</t>
  </si>
  <si>
    <t>ORD-10619</t>
  </si>
  <si>
    <t>ORD-10375</t>
  </si>
  <si>
    <t>ORD-10300</t>
  </si>
  <si>
    <t>ORD-10082</t>
  </si>
  <si>
    <t>ORD-10344</t>
  </si>
  <si>
    <t>ORD-10019</t>
  </si>
  <si>
    <t>ORD-10961</t>
  </si>
  <si>
    <t>ORD-10278</t>
  </si>
  <si>
    <t>ORD-10277</t>
  </si>
  <si>
    <t>ORD-10955</t>
  </si>
  <si>
    <t>ORD-10475</t>
  </si>
  <si>
    <t>ORD-10800</t>
  </si>
  <si>
    <t>ORD-10376</t>
  </si>
  <si>
    <t>ORD-10041</t>
  </si>
  <si>
    <t>ORD-10776</t>
  </si>
  <si>
    <t>CUST-9565</t>
  </si>
  <si>
    <t>James Miller</t>
  </si>
  <si>
    <t>ORD-10169</t>
  </si>
  <si>
    <t>ORD-10929</t>
  </si>
  <si>
    <t>ORD-10520</t>
  </si>
  <si>
    <t>ORD-10011</t>
  </si>
  <si>
    <t>ORD-10168</t>
  </si>
  <si>
    <t>ORD-10463</t>
  </si>
  <si>
    <t>ORD-10530</t>
  </si>
  <si>
    <t>ORD-10554</t>
  </si>
  <si>
    <t>ORD-10145</t>
  </si>
  <si>
    <t>ORD-10834</t>
  </si>
  <si>
    <t>ORD-10846</t>
  </si>
  <si>
    <t>ORD-10067</t>
  </si>
  <si>
    <t>ORD-10133</t>
  </si>
  <si>
    <t>ORD-10701</t>
  </si>
  <si>
    <t>CUST-7790</t>
  </si>
  <si>
    <t>Carlos Ramirez</t>
  </si>
  <si>
    <t>ORD-10638</t>
  </si>
  <si>
    <t>ORD-10703</t>
  </si>
  <si>
    <t>ORD-10873</t>
  </si>
  <si>
    <t>ORD-10946</t>
  </si>
  <si>
    <t>ORD-10352</t>
  </si>
  <si>
    <t>ORD-10098</t>
  </si>
  <si>
    <t>ORD-10052</t>
  </si>
  <si>
    <t>ORD-10047</t>
  </si>
  <si>
    <t>ORD-10689</t>
  </si>
  <si>
    <t>ORD-10548</t>
  </si>
  <si>
    <t>ORD-10433</t>
  </si>
  <si>
    <t>ORD-10514</t>
  </si>
  <si>
    <t>ORD-10411</t>
  </si>
  <si>
    <t>ORD-10444</t>
  </si>
  <si>
    <t>ORD-10551</t>
  </si>
  <si>
    <t>ORD-10091</t>
  </si>
  <si>
    <t>CUST-7512</t>
  </si>
  <si>
    <t>Maria Gupta</t>
  </si>
  <si>
    <t>ORD-10910</t>
  </si>
  <si>
    <t>ORD-10128</t>
  </si>
  <si>
    <t>ORD-10349</t>
  </si>
  <si>
    <t>CUST-6766</t>
  </si>
  <si>
    <t>Mei Singh</t>
  </si>
  <si>
    <t>ORD-10267</t>
  </si>
  <si>
    <t>ORD-10468</t>
  </si>
  <si>
    <t>ORD-10819</t>
  </si>
  <si>
    <t>ORD-10331</t>
  </si>
  <si>
    <t>ORD-10220</t>
  </si>
  <si>
    <t>ORD-10224</t>
  </si>
  <si>
    <t>ORD-10745</t>
  </si>
  <si>
    <t>ORD-10004</t>
  </si>
  <si>
    <t>ORD-10196</t>
  </si>
  <si>
    <t>ORD-10030</t>
  </si>
  <si>
    <t>ORD-10539</t>
  </si>
  <si>
    <t>ORD-10583</t>
  </si>
  <si>
    <t>ORD-10245</t>
  </si>
  <si>
    <t>CUST-4919</t>
  </si>
  <si>
    <t>Divya Watanabe</t>
  </si>
  <si>
    <t>ORD-10410</t>
  </si>
  <si>
    <t>ORD-10781</t>
  </si>
  <si>
    <t>ORD-10652</t>
  </si>
  <si>
    <t>ORD-10851</t>
  </si>
  <si>
    <t>ORD-10266</t>
  </si>
  <si>
    <t>ORD-10694</t>
  </si>
  <si>
    <t>ORD-10096</t>
  </si>
  <si>
    <t>ORD-10599</t>
  </si>
  <si>
    <t>ORD-10705</t>
  </si>
  <si>
    <t>ORD-10094</t>
  </si>
  <si>
    <t>ORD-10134</t>
  </si>
  <si>
    <t>ORD-10620</t>
  </si>
  <si>
    <t>ORD-10478</t>
  </si>
  <si>
    <t>ORD-10569</t>
  </si>
  <si>
    <t>ORD-10330</t>
  </si>
  <si>
    <t>ORD-10669</t>
  </si>
  <si>
    <t>ORD-10482</t>
  </si>
  <si>
    <t>ORD-10369</t>
  </si>
  <si>
    <t>ORD-10952</t>
  </si>
  <si>
    <t>ORD-10254</t>
  </si>
  <si>
    <t>CUST-5438</t>
  </si>
  <si>
    <t>Lakshmi Miller</t>
  </si>
  <si>
    <t>ORD-11046</t>
  </si>
  <si>
    <t>CUST-9486</t>
  </si>
  <si>
    <t>Amanda Kumar</t>
  </si>
  <si>
    <t>ORD-10256</t>
  </si>
  <si>
    <t>ORD-10812</t>
  </si>
  <si>
    <t>CUST-3621</t>
  </si>
  <si>
    <t>Priya Verma</t>
  </si>
  <si>
    <t>ORD-10012</t>
  </si>
  <si>
    <t>ORD-10793</t>
  </si>
  <si>
    <t>ORD-10876</t>
  </si>
  <si>
    <t>ORD-10896</t>
  </si>
  <si>
    <t>ORD-10956</t>
  </si>
  <si>
    <t>ORD-10654</t>
  </si>
  <si>
    <t>ORD-10286</t>
  </si>
  <si>
    <t>CUST-1742</t>
  </si>
  <si>
    <t>Rohit Taylor</t>
  </si>
  <si>
    <t>ORD-10248</t>
  </si>
  <si>
    <t>ORD-10901</t>
  </si>
  <si>
    <t>ORD-10818</t>
  </si>
  <si>
    <t>ORD-10675</t>
  </si>
  <si>
    <t>ORD-10890</t>
  </si>
  <si>
    <t>ORD-10796</t>
  </si>
  <si>
    <t>ORD-10029</t>
  </si>
  <si>
    <t>ORD-10731</t>
  </si>
  <si>
    <t>ORD-10333</t>
  </si>
  <si>
    <t>ORD-10163</t>
  </si>
  <si>
    <t>ORD-10757</t>
  </si>
  <si>
    <t>CUST-3956</t>
  </si>
  <si>
    <t>Fang Wilson</t>
  </si>
  <si>
    <t>ORD-10250</t>
  </si>
  <si>
    <t>ORD-10431</t>
  </si>
  <si>
    <t>ORD-10649</t>
  </si>
  <si>
    <t>ORD-10504</t>
  </si>
  <si>
    <t>ORD-10676</t>
  </si>
  <si>
    <t>ORD-10359</t>
  </si>
  <si>
    <t>ORD-10729</t>
  </si>
  <si>
    <t>ORD-10424</t>
  </si>
  <si>
    <t>ORD-10759</t>
  </si>
  <si>
    <t>CUST-8622</t>
  </si>
  <si>
    <t>Manish Hernandez</t>
  </si>
  <si>
    <t>ORD-10635</t>
  </si>
  <si>
    <t>ORD-10589</t>
  </si>
  <si>
    <t>ORD-10538</t>
  </si>
  <si>
    <t>ORD-10164</t>
  </si>
  <si>
    <t>ORD-10994</t>
  </si>
  <si>
    <t>ORD-10372</t>
  </si>
  <si>
    <t>CUST-7211</t>
  </si>
  <si>
    <t>Divya Yamamoto</t>
  </si>
  <si>
    <t>ORD-10203</t>
  </si>
  <si>
    <t>ORD-10702</t>
  </si>
  <si>
    <t>ORD-10578</t>
  </si>
  <si>
    <t>ORD-11007</t>
  </si>
  <si>
    <t>ORD-10814</t>
  </si>
  <si>
    <t>ORD-10276</t>
  </si>
  <si>
    <t>ORD-10230</t>
  </si>
  <si>
    <t>ORD-10493</t>
  </si>
  <si>
    <t>ORD-10914</t>
  </si>
  <si>
    <t>ORD-10166</t>
  </si>
  <si>
    <t>ORD-11036</t>
  </si>
  <si>
    <t>ORD-10263</t>
  </si>
  <si>
    <t>ORD-11023</t>
  </si>
  <si>
    <t>CUST-2035</t>
  </si>
  <si>
    <t>Carlos Ito</t>
  </si>
  <si>
    <t>ORD-10717</t>
  </si>
  <si>
    <t>ORD-10055</t>
  </si>
  <si>
    <t>CUST-3255</t>
  </si>
  <si>
    <t>ORD-10641</t>
  </si>
  <si>
    <t>ORD-10161</t>
  </si>
  <si>
    <t>ORD-10190</t>
  </si>
  <si>
    <t>ORD-10490</t>
  </si>
  <si>
    <t>ORD-10404</t>
  </si>
  <si>
    <t>ORD-10521</t>
  </si>
  <si>
    <t>ORD-10786</t>
  </si>
  <si>
    <t>ORD-10125</t>
  </si>
  <si>
    <t>ORD-10485</t>
  </si>
  <si>
    <t>ORD-10341</t>
  </si>
  <si>
    <t>CUST-8245</t>
  </si>
  <si>
    <t>Divya Johnson</t>
  </si>
  <si>
    <t>ORD-10996</t>
  </si>
  <si>
    <t>ORD-10050</t>
  </si>
  <si>
    <t>CUST-2160</t>
  </si>
  <si>
    <t>Mei Garcia</t>
  </si>
  <si>
    <t>ORD-10611</t>
  </si>
  <si>
    <t>ORD-10596</t>
  </si>
  <si>
    <t>ORD-10129</t>
  </si>
  <si>
    <t>ORD-10555</t>
  </si>
  <si>
    <t>ORD-10870</t>
  </si>
  <si>
    <t>ORD-10585</t>
  </si>
  <si>
    <t>ORD-10213</t>
  </si>
  <si>
    <t>ORD-11003</t>
  </si>
  <si>
    <t>ORD-10874</t>
  </si>
  <si>
    <t>CUST-3658</t>
  </si>
  <si>
    <t>Pooja Rivera</t>
  </si>
  <si>
    <t>ORD-11016</t>
  </si>
  <si>
    <t>ORD-10033</t>
  </si>
  <si>
    <t>ORD-10317</t>
  </si>
  <si>
    <t>ORD-10209</t>
  </si>
  <si>
    <t>ORD-10335</t>
  </si>
  <si>
    <t>ORD-10913</t>
  </si>
  <si>
    <t>ORD-10630</t>
  </si>
  <si>
    <t>ORD-10661</t>
  </si>
  <si>
    <t>ORD-10576</t>
  </si>
  <si>
    <t>ORD-10206</t>
  </si>
  <si>
    <t>ORD-10261</t>
  </si>
  <si>
    <t>ORD-10813</t>
  </si>
  <si>
    <t>ORD-10735</t>
  </si>
  <si>
    <t>ORD-10228</t>
  </si>
  <si>
    <t>ORD-10022</t>
  </si>
  <si>
    <t>ORD-10183</t>
  </si>
  <si>
    <t>ORD-10647</t>
  </si>
  <si>
    <t>ORD-10097</t>
  </si>
  <si>
    <t>ORD-10912</t>
  </si>
  <si>
    <t>ORD-10429</t>
  </si>
  <si>
    <t>ORD-10511</t>
  </si>
  <si>
    <t>ORD-10907</t>
  </si>
  <si>
    <t>ORD-10147</t>
  </si>
  <si>
    <t>ORD-10071</t>
  </si>
  <si>
    <t>ORD-11005</t>
  </si>
  <si>
    <t>ORD-10707</t>
  </si>
  <si>
    <t>ORD-10681</t>
  </si>
  <si>
    <t>ORD-10743</t>
  </si>
  <si>
    <t>ORD-10491</t>
  </si>
  <si>
    <t>CUST-9317</t>
  </si>
  <si>
    <t>Kiran Taylor</t>
  </si>
  <si>
    <t>ORD-10809</t>
  </si>
  <si>
    <t>ORD-10327</t>
  </si>
  <si>
    <t>ORD-10906</t>
  </si>
  <si>
    <t>ORD-10295</t>
  </si>
  <si>
    <t>ORD-10862</t>
  </si>
  <si>
    <t>ORD-10524</t>
  </si>
  <si>
    <t>ORD-10980</t>
  </si>
  <si>
    <t>ORD-10940</t>
  </si>
  <si>
    <t>CUST-3513</t>
  </si>
  <si>
    <t>Ana Watanabe</t>
  </si>
  <si>
    <t>St. Louis</t>
  </si>
  <si>
    <t>ORD-10078</t>
  </si>
  <si>
    <t>ORD-10704</t>
  </si>
  <si>
    <t>ORD-10601</t>
  </si>
  <si>
    <t>ORD-10007</t>
  </si>
  <si>
    <t>ORD-10773</t>
  </si>
  <si>
    <t>ORD-10509</t>
  </si>
  <si>
    <t>ORD-10467</t>
  </si>
  <si>
    <t>ORD-10730</t>
  </si>
  <si>
    <t>ORD-10798</t>
  </si>
  <si>
    <t>ORD-10513</t>
  </si>
  <si>
    <t>ORD-10191</t>
  </si>
  <si>
    <t>ORD-10898</t>
  </si>
  <si>
    <t>ORD-10046</t>
  </si>
  <si>
    <t>CUST-4150</t>
  </si>
  <si>
    <t>Sofia Singh</t>
  </si>
  <si>
    <t>ORD-10288</t>
  </si>
  <si>
    <t>ORD-10937</t>
  </si>
  <si>
    <t>ORD-11000</t>
  </si>
  <si>
    <t>ORD-10319</t>
  </si>
  <si>
    <t>ORD-10116</t>
  </si>
  <si>
    <t>ORD-10480</t>
  </si>
  <si>
    <t>ORD-10525</t>
  </si>
  <si>
    <t>ORD-10298</t>
  </si>
  <si>
    <t>ORD-10016</t>
  </si>
  <si>
    <t>ORD-10700</t>
  </si>
  <si>
    <t>ORD-10471</t>
  </si>
  <si>
    <t>ORD-11041</t>
  </si>
  <si>
    <t>ORD-10924</t>
  </si>
  <si>
    <t>ORD-10146</t>
  </si>
  <si>
    <t>ORD-10204</t>
  </si>
  <si>
    <t>ORD-10379</t>
  </si>
  <si>
    <t>ORD-10242</t>
  </si>
  <si>
    <t>CUST-4814</t>
  </si>
  <si>
    <t>Kiran Li</t>
  </si>
  <si>
    <t>ORD-10456</t>
  </si>
  <si>
    <t>ORD-10767</t>
  </si>
  <si>
    <t>ORD-10328</t>
  </si>
  <si>
    <t>ORD-10533</t>
  </si>
  <si>
    <t>ORD-10871</t>
  </si>
  <si>
    <t>ORD-10787</t>
  </si>
  <si>
    <t>ORD-10886</t>
  </si>
  <si>
    <t>ORD-10285</t>
  </si>
  <si>
    <t>ORD-10938</t>
  </si>
  <si>
    <t>ORD-10905</t>
  </si>
  <si>
    <t>ORD-10698</t>
  </si>
  <si>
    <t>ORD-10501</t>
  </si>
  <si>
    <t>ORD-10321</t>
  </si>
  <si>
    <t>ORD-11040</t>
  </si>
  <si>
    <t>ORD-10378</t>
  </si>
  <si>
    <t>ORD-10018</t>
  </si>
  <si>
    <t>ORD-11011</t>
  </si>
  <si>
    <t>ORD-10115</t>
  </si>
  <si>
    <t>ORD-10232</t>
  </si>
  <si>
    <t>ORD-10177</t>
  </si>
  <si>
    <t>ORD-10715</t>
  </si>
  <si>
    <t>ORD-10189</t>
  </si>
  <si>
    <t>ORD-10065</t>
  </si>
  <si>
    <t>ORD-10632</t>
  </si>
  <si>
    <t>ORD-10005</t>
  </si>
  <si>
    <t>ORD-10568</t>
  </si>
  <si>
    <t>ORD-10268</t>
  </si>
  <si>
    <t>ORD-10103</t>
  </si>
  <si>
    <t>ORD-10186</t>
  </si>
  <si>
    <t>ORD-10063</t>
  </si>
  <si>
    <t>ORD-10160</t>
  </si>
  <si>
    <t>ORD-10159</t>
  </si>
  <si>
    <t>ORD-11026</t>
  </si>
  <si>
    <t>CUST-9017</t>
  </si>
  <si>
    <t>ORD-10355</t>
  </si>
  <si>
    <t>ORD-10752</t>
  </si>
  <si>
    <t>ORD-10324</t>
  </si>
  <si>
    <t>ORD-10399</t>
  </si>
  <si>
    <t>ORD-10104</t>
  </si>
  <si>
    <t>ORD-10780</t>
  </si>
  <si>
    <t>ORD-10426</t>
  </si>
  <si>
    <t>ORD-11001</t>
  </si>
  <si>
    <t>ORD-10670</t>
  </si>
  <si>
    <t>ORD-10214</t>
  </si>
  <si>
    <t>ORD-10953</t>
  </si>
  <si>
    <t>ORD-10575</t>
  </si>
  <si>
    <t>ORD-11048</t>
  </si>
  <si>
    <t>ORD-10131</t>
  </si>
  <si>
    <t>ORD-10651</t>
  </si>
  <si>
    <t>ORD-10760</t>
  </si>
  <si>
    <t>ORD-10015</t>
  </si>
  <si>
    <t>ORD-10140</t>
  </si>
  <si>
    <t>ORD-10992</t>
  </si>
  <si>
    <t>ORD-10680</t>
  </si>
  <si>
    <t>ORD-10021</t>
  </si>
  <si>
    <t>ORD-10308</t>
  </si>
  <si>
    <t>ORD-10423</t>
  </si>
  <si>
    <t>ORD-10606</t>
  </si>
  <si>
    <t>ORD-10889</t>
  </si>
  <si>
    <t>ORD-10721</t>
  </si>
  <si>
    <t>ORD-10816</t>
  </si>
  <si>
    <t>ORD-10791</t>
  </si>
  <si>
    <t>ORD-11008</t>
  </si>
  <si>
    <t>ORD-10394</t>
  </si>
  <si>
    <t>ORD-10727</t>
  </si>
  <si>
    <t>ORD-10826</t>
  </si>
  <si>
    <t>ORD-10031</t>
  </si>
  <si>
    <t>ORD-10269</t>
  </si>
  <si>
    <t>ORD-10025</t>
  </si>
  <si>
    <t>ORD-10441</t>
  </si>
  <si>
    <t>ORD-10894</t>
  </si>
  <si>
    <t>ORD-10495</t>
  </si>
  <si>
    <t>ORD-11020</t>
  </si>
  <si>
    <t>ORD-10592</t>
  </si>
  <si>
    <t>ORD-10741</t>
  </si>
  <si>
    <t>ORD-10510</t>
  </si>
  <si>
    <t>ORD-10076</t>
  </si>
  <si>
    <t>ORD-10225</t>
  </si>
  <si>
    <t>ORD-10783</t>
  </si>
  <si>
    <t>ORD-10000</t>
  </si>
  <si>
    <t>ORD-10494</t>
  </si>
  <si>
    <t>CUST-6170</t>
  </si>
  <si>
    <t>Lakshmi Lopez</t>
  </si>
  <si>
    <t>ORD-10136</t>
  </si>
  <si>
    <t>ORD-11012</t>
  </si>
  <si>
    <t>ORD-10301</t>
  </si>
  <si>
    <t>ORD-10292</t>
  </si>
  <si>
    <t>ORD-10820</t>
  </si>
  <si>
    <t>ORD-10778</t>
  </si>
  <si>
    <t>ORD-10842</t>
  </si>
  <si>
    <t>ORD-10772</t>
  </si>
  <si>
    <t>ORD-10056</t>
  </si>
  <si>
    <t>ORD-10309</t>
  </si>
  <si>
    <t>ORD-10863</t>
  </si>
  <si>
    <t>ORD-10339</t>
  </si>
  <si>
    <t>ORD-10534</t>
  </si>
  <si>
    <t>ORD-10903</t>
  </si>
  <si>
    <t>ORD-10077</t>
  </si>
  <si>
    <t>ORD-10027</t>
  </si>
  <si>
    <t>ORD-10825</t>
  </si>
  <si>
    <t>ORD-10469</t>
  </si>
  <si>
    <t>ORD-10708</t>
  </si>
  <si>
    <t>ORD-10400</t>
  </si>
  <si>
    <t>ORD-10409</t>
  </si>
  <si>
    <t>ORD-10439</t>
  </si>
  <si>
    <t>ORD-10710</t>
  </si>
  <si>
    <t>ORD-10976</t>
  </si>
  <si>
    <t>ORD-10430</t>
  </si>
  <si>
    <t>ORD-11049</t>
  </si>
  <si>
    <t>ORD-10038</t>
  </si>
  <si>
    <t>ORD-10311</t>
  </si>
  <si>
    <t>ORD-10111</t>
  </si>
  <si>
    <t>ORD-10458</t>
  </si>
  <si>
    <t>ORD-10363</t>
  </si>
  <si>
    <t>ORD-10948</t>
  </si>
  <si>
    <t>ORD-10734</t>
  </si>
  <si>
    <t>ORD-10928</t>
  </si>
  <si>
    <t>ORD-10785</t>
  </si>
  <si>
    <t>ORD-10293</t>
  </si>
  <si>
    <t>ORD-10957</t>
  </si>
  <si>
    <t>ORD-10921</t>
  </si>
  <si>
    <t>ORD-10563</t>
  </si>
  <si>
    <t>ORD-10246</t>
  </si>
  <si>
    <t>ORD-10990</t>
  </si>
  <si>
    <t>ORD-10512</t>
  </si>
  <si>
    <t>ORD-10562</t>
  </si>
  <si>
    <t>ORD-11045</t>
  </si>
  <si>
    <t>ORD-10057</t>
  </si>
  <si>
    <t>ORD-10009</t>
  </si>
  <si>
    <t>ORD-10766</t>
  </si>
  <si>
    <t>ORD-10709</t>
  </si>
  <si>
    <t>ORD-10287</t>
  </si>
  <si>
    <t>ORD-10747</t>
  </si>
  <si>
    <t>ORD-10296</t>
  </si>
  <si>
    <t>CUST-8451</t>
  </si>
  <si>
    <t>ORD-10854</t>
  </si>
  <si>
    <t>ORD-10397</t>
  </si>
  <si>
    <t>ORD-10064</t>
  </si>
  <si>
    <t>ORD-10831</t>
  </si>
  <si>
    <t>ORD-10897</t>
  </si>
  <si>
    <t>ORD-10918</t>
  </si>
  <si>
    <t>ORD-10954</t>
  </si>
  <si>
    <t>ORD-10805</t>
  </si>
  <si>
    <t>ORD-10998</t>
  </si>
  <si>
    <t>ORD-10118</t>
  </si>
  <si>
    <t>ORD-10867</t>
  </si>
  <si>
    <t>ORD-10595</t>
  </si>
  <si>
    <t>ORD-10987</t>
  </si>
  <si>
    <t>ORD-10193</t>
  </si>
  <si>
    <t>ORD-10505</t>
  </si>
  <si>
    <t>ORD-10860</t>
  </si>
  <si>
    <t>ORD-10045</t>
  </si>
  <si>
    <t>ORD-10615</t>
  </si>
  <si>
    <t>ORD-10821</t>
  </si>
  <si>
    <t>ORD-10354</t>
  </si>
  <si>
    <t>ORD-10861</t>
  </si>
  <si>
    <t>ORD-10663</t>
  </si>
  <si>
    <t>ORD-10108</t>
  </si>
  <si>
    <t>ORD-10479</t>
  </si>
  <si>
    <t>ORD-10756</t>
  </si>
  <si>
    <t>ORD-10165</t>
  </si>
  <si>
    <t>ORD-10657</t>
  </si>
  <si>
    <t>ORD-10968</t>
  </si>
  <si>
    <t>ORD-11038</t>
  </si>
  <si>
    <t>ORD-10405</t>
  </si>
  <si>
    <t>ORD-10001</t>
  </si>
  <si>
    <t>ORD-10154</t>
  </si>
  <si>
    <t>ORD-10066</t>
  </si>
  <si>
    <t>ORD-10739</t>
  </si>
  <si>
    <t>ORD-10824</t>
  </si>
  <si>
    <t>ORD-10925</t>
  </si>
  <si>
    <t>ORD-10506</t>
  </si>
  <si>
    <t>ORD-10564</t>
  </si>
  <si>
    <t>ORD-11032</t>
  </si>
  <si>
    <t>ORD-10566</t>
  </si>
  <si>
    <t>ORD-10420</t>
  </si>
  <si>
    <t>ORD-10926</t>
  </si>
  <si>
    <t>ORD-11010</t>
  </si>
  <si>
    <t>ORD-10718</t>
  </si>
  <si>
    <t>ORD-10148</t>
  </si>
  <si>
    <t>ORD-11033</t>
  </si>
  <si>
    <t>ORD-10086</t>
  </si>
  <si>
    <t>ORD-10092</t>
  </si>
  <si>
    <t>ORD-10911</t>
  </si>
  <si>
    <t>ORD-10356</t>
  </si>
  <si>
    <t>ORD-10714</t>
  </si>
  <si>
    <t>ORD-10035</t>
  </si>
  <si>
    <t>CUST-1771</t>
  </si>
  <si>
    <t>Deepa Verma</t>
  </si>
  <si>
    <t>ORD-10265</t>
  </si>
  <si>
    <t>KPI Values:</t>
  </si>
  <si>
    <t>Sales By Region</t>
  </si>
  <si>
    <t>Profit By Category</t>
  </si>
  <si>
    <t>Total Sales</t>
  </si>
  <si>
    <t>Sum of Sales</t>
  </si>
  <si>
    <t>Sum of Profit</t>
  </si>
  <si>
    <t>Count of Order_ID</t>
  </si>
  <si>
    <t>Profits</t>
  </si>
  <si>
    <t>October</t>
  </si>
  <si>
    <t>Large</t>
  </si>
  <si>
    <t>Total Orders</t>
  </si>
  <si>
    <t>April</t>
  </si>
  <si>
    <t>Medium</t>
  </si>
  <si>
    <t>Monthly Sales Trend</t>
  </si>
  <si>
    <t>Top 10 Products By Sales</t>
  </si>
  <si>
    <t>Top 10 Customers By Revenue</t>
  </si>
  <si>
    <t>Sales vs Profit Analysis</t>
  </si>
  <si>
    <t>Quantity Sold</t>
  </si>
  <si>
    <t>August</t>
  </si>
  <si>
    <t>Small</t>
  </si>
  <si>
    <t>Margin%</t>
  </si>
  <si>
    <t>Avg Order Value</t>
  </si>
  <si>
    <t>Grand Total</t>
  </si>
  <si>
    <t>May</t>
  </si>
  <si>
    <t>January</t>
  </si>
  <si>
    <t>Average Profit Margin</t>
  </si>
  <si>
    <t>December</t>
  </si>
  <si>
    <t>February</t>
  </si>
  <si>
    <t>June</t>
  </si>
  <si>
    <t>March</t>
  </si>
  <si>
    <t>Earliest Date(first order)</t>
  </si>
  <si>
    <t>Latest Date(last order)</t>
  </si>
  <si>
    <t>July</t>
  </si>
  <si>
    <t>November</t>
  </si>
  <si>
    <t>September</t>
  </si>
  <si>
    <t>KPI</t>
  </si>
  <si>
    <t>Values</t>
  </si>
  <si>
    <t>Total Profit</t>
  </si>
  <si>
    <t>Total Quantity Sold</t>
  </si>
  <si>
    <t>Average Order Value</t>
  </si>
  <si>
    <t>Overall Profit Margin</t>
  </si>
  <si>
    <t>Year</t>
  </si>
  <si>
    <t>Sales Growth %</t>
  </si>
  <si>
    <t>N/A</t>
  </si>
  <si>
    <t>E-Commerce Sales Performance Dashboard</t>
  </si>
  <si>
    <t>Total Quantity sold</t>
  </si>
  <si>
    <t>• Central region generated the highest sales.</t>
  </si>
  <si>
    <t>• Furniture is the most profitable category.</t>
  </si>
  <si>
    <t>• October recorded the highest monthly sales.</t>
  </si>
  <si>
    <t>• 2024 achieved the highest yearly growth.</t>
  </si>
  <si>
    <t>• Clothing category needs profitability improvement.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</si>
</sst>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_);[Red]\(&quot;₹&quot;#,##0\)"/>
    <numFmt numFmtId="181" formatCode="&quot;₹&quot;#,##0.00_);[Red]\(&quot;₹&quot;#,##0.00\)"/>
    <numFmt numFmtId="182" formatCode="m/d/yyyy;@"/>
    <numFmt numFmtId="183" formatCode="dd/mm/yyyy"/>
  </numFmts>
  <fonts count="28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8" borderId="14" applyNumberFormat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0" xfId="0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3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4" xfId="0" applyBorder="1">
      <alignment vertical="center"/>
    </xf>
    <xf numFmtId="181" fontId="0" fillId="0" borderId="5" xfId="0" applyNumberForma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Border="1">
      <alignment vertical="center"/>
    </xf>
    <xf numFmtId="10" fontId="0" fillId="0" borderId="7" xfId="0" applyNumberFormat="1" applyFill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0" fillId="0" borderId="0" xfId="0" applyNumberFormat="1">
      <alignment vertical="center"/>
    </xf>
    <xf numFmtId="0" fontId="0" fillId="0" borderId="8" xfId="0" applyBorder="1">
      <alignment vertic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5" borderId="8" xfId="0" applyFont="1" applyFill="1" applyBorder="1">
      <alignment vertical="center"/>
    </xf>
    <xf numFmtId="9" fontId="0" fillId="0" borderId="0" xfId="3">
      <alignment vertical="center"/>
    </xf>
    <xf numFmtId="10" fontId="0" fillId="0" borderId="0" xfId="0" applyNumberFormat="1" applyFill="1" applyAlignment="1">
      <alignment vertical="center"/>
    </xf>
    <xf numFmtId="182" fontId="0" fillId="0" borderId="0" xfId="0" applyNumberFormat="1" applyFill="1" applyAlignment="1">
      <alignment vertical="center"/>
    </xf>
    <xf numFmtId="9" fontId="0" fillId="0" borderId="8" xfId="3" applyBorder="1">
      <alignment vertical="center"/>
    </xf>
    <xf numFmtId="0" fontId="8" fillId="0" borderId="9" xfId="0" applyFont="1" applyFill="1" applyBorder="1">
      <alignment vertical="center"/>
    </xf>
    <xf numFmtId="183" fontId="0" fillId="0" borderId="0" xfId="0" applyNumberFormat="1" applyFill="1" applyAlignment="1">
      <alignment vertical="center"/>
    </xf>
    <xf numFmtId="182" fontId="0" fillId="0" borderId="0" xfId="0" applyNumberFormat="1">
      <alignment vertical="center"/>
    </xf>
    <xf numFmtId="0" fontId="0" fillId="0" borderId="0" xfId="0" applyNumberFormat="1" applyAlignment="1">
      <alignment vertical="center" wrapText="1"/>
    </xf>
    <xf numFmtId="0" fontId="0" fillId="0" borderId="9" xfId="0" applyNumberFormat="1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numFmt numFmtId="182" formatCode="m/d/yyyy;@"/>
    </dxf>
    <dxf>
      <numFmt numFmtId="0" formatCode="General"/>
    </dxf>
    <dxf>
      <numFmt numFmtId="0" formatCode="General"/>
    </dxf>
    <dxf>
      <numFmt numFmtId="0" formatCode="General"/>
    </dxf>
    <dxf>
      <numFmt numFmtId="182" formatCode="m/d/yyyy;@"/>
    </dxf>
    <dxf>
      <numFmt numFmtId="0" formatCode="General"/>
    </dxf>
    <dxf>
      <numFmt numFmtId="10" formatCode="0.00%"/>
    </dxf>
    <dxf>
      <numFmt numFmtId="0" formatCode="General"/>
    </dxf>
    <dxf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ED6D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[Cleaned_Data.xlsx]Analysis!Sales By Region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2000">
                <a:solidFill>
                  <a:schemeClr val="tx1"/>
                </a:solidFill>
              </a:rPr>
              <a:t>Sales By Region</a:t>
            </a:r>
            <a:endParaRPr sz="2000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76378451071909"/>
          <c:y val="0.145408994494771"/>
          <c:w val="0.918392532236374"/>
          <c:h val="0.7524489532627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Analysis!$H$4:$H$8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Analysis!$I$4:$I$8</c:f>
              <c:numCache>
                <c:formatCode>General</c:formatCode>
                <c:ptCount val="4"/>
                <c:pt idx="0">
                  <c:v>386682.7</c:v>
                </c:pt>
                <c:pt idx="1">
                  <c:v>335343.75</c:v>
                </c:pt>
                <c:pt idx="2">
                  <c:v>294541.75</c:v>
                </c:pt>
                <c:pt idx="3">
                  <c:v>282615.9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236744993"/>
        <c:axId val="830559570"/>
      </c:barChart>
      <c:catAx>
        <c:axId val="2367449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559570"/>
        <c:crosses val="autoZero"/>
        <c:auto val="1"/>
        <c:lblAlgn val="ctr"/>
        <c:lblOffset val="100"/>
        <c:noMultiLvlLbl val="0"/>
      </c:catAx>
      <c:valAx>
        <c:axId val="83055957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744993"/>
        <c:crosses val="autoZero"/>
        <c:crossBetween val="between"/>
      </c:valAx>
      <c:spPr>
        <a:solidFill>
          <a:srgbClr val="92D050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971920-175f-441d-82c4-e9056f1f1f8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[Cleaned_Data.xlsx]Analysis!Profit By Category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>
                <a:solidFill>
                  <a:schemeClr val="tx1"/>
                </a:solidFill>
              </a:rPr>
              <a:t>Profit by Category</a:t>
            </a:r>
            <a:endParaRPr sz="1800" b="1">
              <a:solidFill>
                <a:schemeClr val="tx1"/>
              </a:solidFill>
            </a:endParaRPr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Analysis!$K$4:$K$7</c:f>
              <c:strCache>
                <c:ptCount val="3"/>
                <c:pt idx="0">
                  <c:v>Furniture</c:v>
                </c:pt>
                <c:pt idx="1">
                  <c:v>Electronics</c:v>
                </c:pt>
                <c:pt idx="2">
                  <c:v>Clothing</c:v>
                </c:pt>
              </c:strCache>
            </c:strRef>
          </c:cat>
          <c:val>
            <c:numRef>
              <c:f>Analysis!$L$4:$L$7</c:f>
              <c:numCache>
                <c:formatCode>General</c:formatCode>
                <c:ptCount val="3"/>
                <c:pt idx="0">
                  <c:v>80616.2899999999</c:v>
                </c:pt>
                <c:pt idx="1">
                  <c:v>66372.1</c:v>
                </c:pt>
                <c:pt idx="2">
                  <c:v>5794.91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25251478"/>
        <c:axId val="301744443"/>
      </c:barChart>
      <c:catAx>
        <c:axId val="5252514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1744443"/>
        <c:crosses val="autoZero"/>
        <c:auto val="1"/>
        <c:lblAlgn val="ctr"/>
        <c:lblOffset val="100"/>
        <c:noMultiLvlLbl val="0"/>
      </c:catAx>
      <c:valAx>
        <c:axId val="3017444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525147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c1224ca-fb5e-42b8-9c83-b60179fb7227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[Cleaned_Data.xlsx]Analysis!Monthly Sales Trend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2000" b="1"/>
              <a:t>Monthly Sales Trend</a:t>
            </a:r>
            <a:endParaRPr sz="2000" b="1"/>
          </a:p>
        </c:rich>
      </c:tx>
      <c:layout/>
      <c:overlay val="0"/>
      <c:spPr>
        <a:solidFill>
          <a:schemeClr val="accent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Analysis!$AI$6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Analysis!$AH$7:$AH$19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Analysis!$AI$7:$AI$19</c:f>
              <c:numCache>
                <c:formatCode>General</c:formatCode>
                <c:ptCount val="12"/>
                <c:pt idx="0">
                  <c:v>104978.9</c:v>
                </c:pt>
                <c:pt idx="1">
                  <c:v>90883.95</c:v>
                </c:pt>
                <c:pt idx="2">
                  <c:v>87649.1</c:v>
                </c:pt>
                <c:pt idx="3">
                  <c:v>122712.15</c:v>
                </c:pt>
                <c:pt idx="4">
                  <c:v>118114.85</c:v>
                </c:pt>
                <c:pt idx="5">
                  <c:v>111851.7</c:v>
                </c:pt>
                <c:pt idx="6">
                  <c:v>97147.65</c:v>
                </c:pt>
                <c:pt idx="7">
                  <c:v>120664.6</c:v>
                </c:pt>
                <c:pt idx="8">
                  <c:v>91455.7</c:v>
                </c:pt>
                <c:pt idx="9">
                  <c:v>145740.45</c:v>
                </c:pt>
                <c:pt idx="10">
                  <c:v>94743.95</c:v>
                </c:pt>
                <c:pt idx="11">
                  <c:v>113241.1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487684584"/>
        <c:axId val="169498228"/>
      </c:lineChart>
      <c:catAx>
        <c:axId val="487684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9498228"/>
        <c:crosses val="autoZero"/>
        <c:auto val="1"/>
        <c:lblAlgn val="ctr"/>
        <c:lblOffset val="100"/>
        <c:noMultiLvlLbl val="0"/>
      </c:catAx>
      <c:valAx>
        <c:axId val="1694982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684584"/>
        <c:crosses val="autoZero"/>
        <c:crossBetween val="between"/>
      </c:valAx>
      <c:spPr>
        <a:solidFill>
          <a:srgbClr val="FFFF00"/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632e51-8197-4a40-942d-7df3650dede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[Cleaned_Data.xlsx]Analysis!Top 10 Products By Sales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Products by Sales</a:t>
            </a:r>
          </a:p>
        </c:rich>
      </c:tx>
      <c:layout>
        <c:manualLayout>
          <c:xMode val="edge"/>
          <c:yMode val="edge"/>
          <c:x val="0.318764328568206"/>
          <c:y val="0.096133841666166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Analysis!$AL$6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Analysis!$AK$7:$AK$17</c:f>
              <c:strCache>
                <c:ptCount val="10"/>
                <c:pt idx="0">
                  <c:v>Saatva Classic Mattress</c:v>
                </c:pt>
                <c:pt idx="1">
                  <c:v>Pottery Barn Comfort Sofa</c:v>
                </c:pt>
                <c:pt idx="2">
                  <c:v>HP Spectre x360</c:v>
                </c:pt>
                <c:pt idx="3">
                  <c:v>Casper Wave Hybrid Mattress</c:v>
                </c:pt>
                <c:pt idx="4">
                  <c:v>Steelcase Leap V2</c:v>
                </c:pt>
                <c:pt idx="5">
                  <c:v>Asus ZenBook 14</c:v>
                </c:pt>
                <c:pt idx="6">
                  <c:v>Nikon Z30</c:v>
                </c:pt>
                <c:pt idx="7">
                  <c:v>Herman Miller Aeron</c:v>
                </c:pt>
                <c:pt idx="8">
                  <c:v>Purple Mattress</c:v>
                </c:pt>
                <c:pt idx="9">
                  <c:v>West Elm Harmony Sofa</c:v>
                </c:pt>
              </c:strCache>
            </c:strRef>
          </c:cat>
          <c:val>
            <c:numRef>
              <c:f>Analysis!$AL$7:$AL$17</c:f>
              <c:numCache>
                <c:formatCode>General</c:formatCode>
                <c:ptCount val="10"/>
                <c:pt idx="0">
                  <c:v>83733</c:v>
                </c:pt>
                <c:pt idx="1">
                  <c:v>70795.5</c:v>
                </c:pt>
                <c:pt idx="2">
                  <c:v>70681.05</c:v>
                </c:pt>
                <c:pt idx="3">
                  <c:v>69344.5</c:v>
                </c:pt>
                <c:pt idx="4">
                  <c:v>46880.9</c:v>
                </c:pt>
                <c:pt idx="5">
                  <c:v>45251.7</c:v>
                </c:pt>
                <c:pt idx="6">
                  <c:v>44683.2</c:v>
                </c:pt>
                <c:pt idx="7">
                  <c:v>44012.25</c:v>
                </c:pt>
                <c:pt idx="8">
                  <c:v>40398.9</c:v>
                </c:pt>
                <c:pt idx="9">
                  <c:v>34926.7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95216182"/>
        <c:axId val="535107704"/>
      </c:barChart>
      <c:catAx>
        <c:axId val="495216182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5107704"/>
        <c:crosses val="autoZero"/>
        <c:auto val="1"/>
        <c:lblAlgn val="ctr"/>
        <c:lblOffset val="100"/>
        <c:noMultiLvlLbl val="0"/>
      </c:catAx>
      <c:valAx>
        <c:axId val="53510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21618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94b931-a475-40c8-9d2f-107716109f7b}"/>
      </c:ext>
    </c:extLst>
  </c:chart>
  <c:spPr>
    <a:solidFill>
      <a:schemeClr val="accent4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[Cleaned_Data.xlsx]Analysis!Top 10 Customers By Revenue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Customers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Analysis!$AO$6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Analysis!$AN$7:$AN$17</c:f>
              <c:strCache>
                <c:ptCount val="10"/>
                <c:pt idx="0">
                  <c:v>Lakshmi Ramirez</c:v>
                </c:pt>
                <c:pt idx="1">
                  <c:v>Matthew Garcia</c:v>
                </c:pt>
                <c:pt idx="2">
                  <c:v>Hana Flores</c:v>
                </c:pt>
                <c:pt idx="3">
                  <c:v>Aiko Garcia</c:v>
                </c:pt>
                <c:pt idx="4">
                  <c:v>Lakshmi Watanabe</c:v>
                </c:pt>
                <c:pt idx="5">
                  <c:v>Vikram Wang</c:v>
                </c:pt>
                <c:pt idx="6">
                  <c:v>Ana Ramirez</c:v>
                </c:pt>
                <c:pt idx="7">
                  <c:v>Fang Reddy</c:v>
                </c:pt>
                <c:pt idx="8">
                  <c:v>Aarav Smith</c:v>
                </c:pt>
                <c:pt idx="9">
                  <c:v>Valentina Torres</c:v>
                </c:pt>
              </c:strCache>
            </c:strRef>
          </c:cat>
          <c:val>
            <c:numRef>
              <c:f>Analysis!$AO$7:$AO$17</c:f>
              <c:numCache>
                <c:formatCode>General</c:formatCode>
                <c:ptCount val="10"/>
                <c:pt idx="0">
                  <c:v>20179.1</c:v>
                </c:pt>
                <c:pt idx="1">
                  <c:v>18706.35</c:v>
                </c:pt>
                <c:pt idx="2">
                  <c:v>17842.2</c:v>
                </c:pt>
                <c:pt idx="3">
                  <c:v>17202.55</c:v>
                </c:pt>
                <c:pt idx="4">
                  <c:v>16770.3</c:v>
                </c:pt>
                <c:pt idx="5">
                  <c:v>16087.4</c:v>
                </c:pt>
                <c:pt idx="6">
                  <c:v>15205.95</c:v>
                </c:pt>
                <c:pt idx="7">
                  <c:v>14706</c:v>
                </c:pt>
                <c:pt idx="8">
                  <c:v>14654.45</c:v>
                </c:pt>
                <c:pt idx="9">
                  <c:v>14343.15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0"/>
        <c:axId val="323179365"/>
        <c:axId val="516384628"/>
      </c:barChart>
      <c:catAx>
        <c:axId val="32317936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384628"/>
        <c:crosses val="autoZero"/>
        <c:auto val="1"/>
        <c:lblAlgn val="ctr"/>
        <c:lblOffset val="100"/>
        <c:noMultiLvlLbl val="0"/>
      </c:catAx>
      <c:valAx>
        <c:axId val="516384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179365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8ccd3b-3333-4d47-8e20-152ba14ef4b6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[Cleaned_Data.xlsx]Analysis!Sales vs Profit Analysis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vs Profit by Category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Analysis!$AR$6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Analysis!$AQ$7:$AQ$10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Analysis!$AR$7:$AR$10</c:f>
              <c:numCache>
                <c:formatCode>General</c:formatCode>
                <c:ptCount val="3"/>
                <c:pt idx="0">
                  <c:v>5794.91</c:v>
                </c:pt>
                <c:pt idx="1">
                  <c:v>66372.1</c:v>
                </c:pt>
                <c:pt idx="2">
                  <c:v>80616.2899999999</c:v>
                </c:pt>
              </c:numCache>
            </c:numRef>
          </c:val>
        </c:ser>
        <c:ser>
          <c:idx val="1"/>
          <c:order val="1"/>
          <c:tx>
            <c:strRef>
              <c:f>Analysis!$AS$6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Analysis!$AQ$7:$AQ$10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Analysis!$AS$7:$AS$10</c:f>
              <c:numCache>
                <c:formatCode>General</c:formatCode>
                <c:ptCount val="3"/>
                <c:pt idx="0">
                  <c:v>77093.15</c:v>
                </c:pt>
                <c:pt idx="1">
                  <c:v>549586.25</c:v>
                </c:pt>
                <c:pt idx="2">
                  <c:v>672504.7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50926175"/>
        <c:axId val="302081827"/>
      </c:barChart>
      <c:catAx>
        <c:axId val="5092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081827"/>
        <c:crosses val="autoZero"/>
        <c:auto val="1"/>
        <c:lblAlgn val="ctr"/>
        <c:lblOffset val="100"/>
        <c:noMultiLvlLbl val="0"/>
      </c:catAx>
      <c:valAx>
        <c:axId val="3020818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926175"/>
        <c:crosses val="autoZero"/>
        <c:crossBetween val="between"/>
      </c:valAx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572fbd7-5558-40c5-b8af-85ef9fa2d9a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27940</xdr:colOff>
      <xdr:row>9</xdr:row>
      <xdr:rowOff>115570</xdr:rowOff>
    </xdr:from>
    <xdr:to>
      <xdr:col>8</xdr:col>
      <xdr:colOff>461010</xdr:colOff>
      <xdr:row>37</xdr:row>
      <xdr:rowOff>0</xdr:rowOff>
    </xdr:to>
    <xdr:graphicFrame>
      <xdr:nvGraphicFramePr>
        <xdr:cNvPr id="2" name="Chart 1"/>
        <xdr:cNvGraphicFramePr/>
      </xdr:nvGraphicFramePr>
      <xdr:xfrm>
        <a:off x="637540" y="2598420"/>
        <a:ext cx="8078470" cy="5040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830580</xdr:colOff>
      <xdr:row>10</xdr:row>
      <xdr:rowOff>22225</xdr:rowOff>
    </xdr:from>
    <xdr:to>
      <xdr:col>16</xdr:col>
      <xdr:colOff>167640</xdr:colOff>
      <xdr:row>37</xdr:row>
      <xdr:rowOff>84455</xdr:rowOff>
    </xdr:to>
    <xdr:graphicFrame>
      <xdr:nvGraphicFramePr>
        <xdr:cNvPr id="3" name="Chart 2"/>
        <xdr:cNvGraphicFramePr/>
      </xdr:nvGraphicFramePr>
      <xdr:xfrm>
        <a:off x="9085580" y="2689225"/>
        <a:ext cx="8074660" cy="503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699770</xdr:colOff>
      <xdr:row>10</xdr:row>
      <xdr:rowOff>143510</xdr:rowOff>
    </xdr:from>
    <xdr:to>
      <xdr:col>29</xdr:col>
      <xdr:colOff>853440</xdr:colOff>
      <xdr:row>38</xdr:row>
      <xdr:rowOff>27940</xdr:rowOff>
    </xdr:to>
    <xdr:graphicFrame>
      <xdr:nvGraphicFramePr>
        <xdr:cNvPr id="4" name="Chart 3"/>
        <xdr:cNvGraphicFramePr/>
      </xdr:nvGraphicFramePr>
      <xdr:xfrm>
        <a:off x="17692370" y="2810510"/>
        <a:ext cx="14352270" cy="5040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69215</xdr:colOff>
      <xdr:row>41</xdr:row>
      <xdr:rowOff>120015</xdr:rowOff>
    </xdr:from>
    <xdr:to>
      <xdr:col>8</xdr:col>
      <xdr:colOff>502285</xdr:colOff>
      <xdr:row>69</xdr:row>
      <xdr:rowOff>4445</xdr:rowOff>
    </xdr:to>
    <xdr:graphicFrame>
      <xdr:nvGraphicFramePr>
        <xdr:cNvPr id="5" name="Chart 4"/>
        <xdr:cNvGraphicFramePr/>
      </xdr:nvGraphicFramePr>
      <xdr:xfrm>
        <a:off x="678815" y="8495665"/>
        <a:ext cx="8078470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744855</xdr:colOff>
      <xdr:row>40</xdr:row>
      <xdr:rowOff>174625</xdr:rowOff>
    </xdr:from>
    <xdr:to>
      <xdr:col>16</xdr:col>
      <xdr:colOff>86360</xdr:colOff>
      <xdr:row>68</xdr:row>
      <xdr:rowOff>59055</xdr:rowOff>
    </xdr:to>
    <xdr:graphicFrame>
      <xdr:nvGraphicFramePr>
        <xdr:cNvPr id="6" name="Chart 5"/>
        <xdr:cNvGraphicFramePr/>
      </xdr:nvGraphicFramePr>
      <xdr:xfrm>
        <a:off x="8999855" y="8366125"/>
        <a:ext cx="8079105" cy="5300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708025</xdr:colOff>
      <xdr:row>41</xdr:row>
      <xdr:rowOff>17780</xdr:rowOff>
    </xdr:from>
    <xdr:to>
      <xdr:col>29</xdr:col>
      <xdr:colOff>866140</xdr:colOff>
      <xdr:row>68</xdr:row>
      <xdr:rowOff>80010</xdr:rowOff>
    </xdr:to>
    <xdr:graphicFrame>
      <xdr:nvGraphicFramePr>
        <xdr:cNvPr id="7" name="Chart 6"/>
        <xdr:cNvGraphicFramePr/>
      </xdr:nvGraphicFramePr>
      <xdr:xfrm>
        <a:off x="17700625" y="8393430"/>
        <a:ext cx="14356715" cy="529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29</xdr:col>
      <xdr:colOff>1087120</xdr:colOff>
      <xdr:row>25</xdr:row>
      <xdr:rowOff>46990</xdr:rowOff>
    </xdr:from>
    <xdr:to>
      <xdr:col>32</xdr:col>
      <xdr:colOff>137160</xdr:colOff>
      <xdr:row>38</xdr:row>
      <xdr:rowOff>13970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78320" y="5476240"/>
              <a:ext cx="1844040" cy="2360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397510</xdr:colOff>
      <xdr:row>10</xdr:row>
      <xdr:rowOff>78105</xdr:rowOff>
    </xdr:from>
    <xdr:to>
      <xdr:col>35</xdr:col>
      <xdr:colOff>405130</xdr:colOff>
      <xdr:row>23</xdr:row>
      <xdr:rowOff>94615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82710" y="2745105"/>
              <a:ext cx="1836420" cy="2410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50800</xdr:colOff>
      <xdr:row>10</xdr:row>
      <xdr:rowOff>73660</xdr:rowOff>
    </xdr:from>
    <xdr:to>
      <xdr:col>32</xdr:col>
      <xdr:colOff>181610</xdr:colOff>
      <xdr:row>23</xdr:row>
      <xdr:rowOff>76835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Order_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34200" y="2740660"/>
              <a:ext cx="1832610" cy="2397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305435</xdr:colOff>
      <xdr:row>25</xdr:row>
      <xdr:rowOff>30480</xdr:rowOff>
    </xdr:from>
    <xdr:to>
      <xdr:col>35</xdr:col>
      <xdr:colOff>309245</xdr:colOff>
      <xdr:row>38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ayment_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635" y="5459730"/>
              <a:ext cx="1832610" cy="2410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6.3360416667" refreshedBy="dell" recordCount="1050">
  <cacheSource type="worksheet">
    <worksheetSource name="Ecommerce_Data"/>
  </cacheSource>
  <cacheFields count="26">
    <cacheField name="Order_ID" numFmtId="0">
      <sharedItems count="1050">
        <s v="ORD-10971"/>
        <s v="ORD-10176"/>
        <s v="ORD-10155"/>
        <s v="ORD-10806"/>
        <s v="ORD-10470"/>
        <s v="ORD-10101"/>
        <s v="ORD-10353"/>
        <s v="ORD-10571"/>
        <s v="ORD-10464"/>
        <s v="ORD-10351"/>
        <s v="ORD-10342"/>
        <s v="ORD-10484"/>
        <s v="ORD-10244"/>
        <s v="ORD-10503"/>
        <s v="ORD-10390"/>
        <s v="ORD-10642"/>
        <s v="ORD-10443"/>
        <s v="ORD-10949"/>
        <s v="ORD-10748"/>
        <s v="ORD-10357"/>
        <s v="ORD-10947"/>
        <s v="ORD-10380"/>
        <s v="ORD-10744"/>
        <s v="ORD-10393"/>
        <s v="ORD-10950"/>
        <s v="ORD-10315"/>
        <s v="ORD-10900"/>
        <s v="ORD-10935"/>
        <s v="ORD-10762"/>
        <s v="ORD-10930"/>
        <s v="ORD-10991"/>
        <s v="ORD-10042"/>
        <s v="ORD-10943"/>
        <s v="ORD-10726"/>
        <s v="ORD-10830"/>
        <s v="ORD-10095"/>
        <s v="ORD-10476"/>
        <s v="ORD-10450"/>
        <s v="ORD-10775"/>
        <s v="ORD-10799"/>
        <s v="ORD-10074"/>
        <s v="ORD-10840"/>
        <s v="ORD-10243"/>
        <s v="ORD-10768"/>
        <s v="ORD-10839"/>
        <s v="ORD-10257"/>
        <s v="ORD-10543"/>
        <s v="ORD-11022"/>
        <s v="ORD-10070"/>
        <s v="ORD-10579"/>
        <s v="ORD-10003"/>
        <s v="ORD-10313"/>
        <s v="ORD-10418"/>
        <s v="ORD-11028"/>
        <s v="ORD-10838"/>
        <s v="ORD-10174"/>
        <s v="ORD-10208"/>
        <s v="ORD-10843"/>
        <s v="ORD-10322"/>
        <s v="ORD-11006"/>
        <s v="ORD-10100"/>
        <s v="ORD-10085"/>
        <s v="ORD-10844"/>
        <s v="ORD-10036"/>
        <s v="ORD-10388"/>
        <s v="ORD-10880"/>
        <s v="ORD-10690"/>
        <s v="ORD-10610"/>
        <s v="ORD-10084"/>
        <s v="ORD-10877"/>
        <s v="ORD-10367"/>
        <s v="ORD-10847"/>
        <s v="ORD-10291"/>
        <s v="ORD-11018"/>
        <s v="ORD-10051"/>
        <s v="ORD-10631"/>
        <s v="ORD-10368"/>
        <s v="ORD-10023"/>
        <s v="ORD-10425"/>
        <s v="ORD-10219"/>
        <s v="ORD-10764"/>
        <s v="ORD-10567"/>
        <s v="ORD-10156"/>
        <s v="ORD-10117"/>
        <s v="ORD-10837"/>
        <s v="ORD-10719"/>
        <s v="ORD-10686"/>
        <s v="ORD-10251"/>
        <s v="ORD-10852"/>
        <s v="ORD-10600"/>
        <s v="ORD-10790"/>
        <s v="ORD-10110"/>
        <s v="ORD-10383"/>
        <s v="ORD-10593"/>
        <s v="ORD-10316"/>
        <s v="ORD-10607"/>
        <s v="ORD-10044"/>
        <s v="ORD-10602"/>
        <s v="ORD-10271"/>
        <s v="ORD-10810"/>
        <s v="ORD-10645"/>
        <s v="ORD-10777"/>
        <s v="ORD-10270"/>
        <s v="ORD-10561"/>
        <s v="ORD-10673"/>
        <s v="ORD-10348"/>
        <s v="ORD-10157"/>
        <s v="ORD-10499"/>
        <s v="ORD-10457"/>
        <s v="ORD-10544"/>
        <s v="ORD-10143"/>
        <s v="ORD-10442"/>
        <s v="ORD-10508"/>
        <s v="ORD-10427"/>
        <s v="ORD-10373"/>
        <s v="ORD-10060"/>
        <s v="ORD-10692"/>
        <s v="ORD-10454"/>
        <s v="ORD-10882"/>
        <s v="ORD-10970"/>
        <s v="ORD-10865"/>
        <s v="ORD-10883"/>
        <s v="ORD-10483"/>
        <s v="ORD-10573"/>
        <s v="ORD-10182"/>
        <s v="ORD-10188"/>
        <s v="ORD-10711"/>
        <s v="ORD-10362"/>
        <s v="ORD-10496"/>
        <s v="ORD-10856"/>
        <s v="ORD-10904"/>
        <s v="ORD-10419"/>
        <s v="ORD-10199"/>
        <s v="ORD-10634"/>
        <s v="ORD-10559"/>
        <s v="ORD-10197"/>
        <s v="ORD-10112"/>
        <s v="ORD-10127"/>
        <s v="ORD-10185"/>
        <s v="ORD-10613"/>
        <s v="ORD-10988"/>
        <s v="ORD-10518"/>
        <s v="ORD-10644"/>
        <s v="ORD-10350"/>
        <s v="ORD-10121"/>
        <s v="ORD-10542"/>
        <s v="ORD-10061"/>
        <s v="ORD-10297"/>
        <s v="ORD-10866"/>
        <s v="ORD-10656"/>
        <s v="ORD-10616"/>
        <s v="ORD-10180"/>
        <s v="ORD-10986"/>
        <s v="ORD-11019"/>
        <s v="ORD-10282"/>
        <s v="ORD-10392"/>
        <s v="ORD-10212"/>
        <s v="ORD-10640"/>
        <s v="ORD-10733"/>
        <s v="ORD-10498"/>
        <s v="ORD-10919"/>
        <s v="ORD-10336"/>
        <s v="ORD-10234"/>
        <s v="ORD-10795"/>
        <s v="ORD-10049"/>
        <s v="ORD-10725"/>
        <s v="ORD-10528"/>
        <s v="ORD-10332"/>
        <s v="ORD-10728"/>
        <s v="ORD-10492"/>
        <s v="ORD-10187"/>
        <s v="ORD-10361"/>
        <s v="ORD-10381"/>
        <s v="ORD-10437"/>
        <s v="ORD-10488"/>
        <s v="ORD-10396"/>
        <s v="ORD-10124"/>
        <s v="ORD-10850"/>
        <s v="ORD-10137"/>
        <s v="ORD-10983"/>
        <s v="ORD-10152"/>
        <s v="ORD-10668"/>
        <s v="ORD-10662"/>
        <s v="ORD-10072"/>
        <s v="ORD-11043"/>
        <s v="ORD-10462"/>
        <s v="ORD-10737"/>
        <s v="ORD-10660"/>
        <s v="ORD-10944"/>
        <s v="ORD-10804"/>
        <s v="ORD-10229"/>
        <s v="ORD-10845"/>
        <s v="ORD-10272"/>
        <s v="ORD-10677"/>
        <s v="ORD-10179"/>
        <s v="ORD-10782"/>
        <s v="ORD-10461"/>
        <s v="ORD-10765"/>
        <s v="ORD-10329"/>
        <s v="ORD-10570"/>
        <s v="ORD-10597"/>
        <s v="ORD-10440"/>
        <s v="ORD-10864"/>
        <s v="ORD-10540"/>
        <s v="ORD-10532"/>
        <s v="ORD-10391"/>
        <s v="ORD-10385"/>
        <s v="ORD-10693"/>
        <s v="ORD-10720"/>
        <s v="ORD-10338"/>
        <s v="ORD-10364"/>
        <s v="ORD-10395"/>
        <s v="ORD-10868"/>
        <s v="ORD-11004"/>
        <s v="ORD-10636"/>
        <s v="ORD-10113"/>
        <s v="ORD-10223"/>
        <s v="ORD-10832"/>
        <s v="ORD-10447"/>
        <s v="ORD-10915"/>
        <s v="ORD-10264"/>
        <s v="ORD-10162"/>
        <s v="ORD-10132"/>
        <s v="ORD-10302"/>
        <s v="ORD-10557"/>
        <s v="ORD-10908"/>
        <s v="ORD-10650"/>
        <s v="ORD-10797"/>
        <s v="ORD-10621"/>
        <s v="ORD-10951"/>
        <s v="ORD-10144"/>
        <s v="ORD-10252"/>
        <s v="ORD-10753"/>
        <s v="ORD-10995"/>
        <s v="ORD-10477"/>
        <s v="ORD-11021"/>
        <s v="ORD-10062"/>
        <s v="ORD-10459"/>
        <s v="ORD-10436"/>
        <s v="ORD-10658"/>
        <s v="ORD-10114"/>
        <s v="ORD-10875"/>
        <s v="ORD-10517"/>
        <s v="ORD-11009"/>
        <s v="ORD-10572"/>
        <s v="ORD-10318"/>
        <s v="ORD-10723"/>
        <s v="ORD-10536"/>
        <s v="ORD-10618"/>
        <s v="ORD-11031"/>
        <s v="ORD-10253"/>
        <s v="ORD-11002"/>
        <s v="ORD-10581"/>
        <s v="ORD-10614"/>
        <s v="ORD-10017"/>
        <s v="ORD-10784"/>
        <s v="ORD-10280"/>
        <s v="ORD-10835"/>
        <s v="ORD-10102"/>
        <s v="ORD-10750"/>
        <s v="ORD-10366"/>
        <s v="ORD-10817"/>
        <s v="ORD-10945"/>
        <s v="ORD-10481"/>
        <s v="ORD-10237"/>
        <s v="ORD-10608"/>
        <s v="ORD-10153"/>
        <s v="ORD-10691"/>
        <s v="ORD-10603"/>
        <s v="ORD-10653"/>
        <s v="ORD-10687"/>
        <s v="ORD-10985"/>
        <s v="ORD-10320"/>
        <s v="ORD-10716"/>
        <s v="ORD-10754"/>
        <s v="ORD-11013"/>
        <s v="ORD-10738"/>
        <s v="ORD-10020"/>
        <s v="ORD-11042"/>
        <s v="ORD-10008"/>
        <s v="ORD-10445"/>
        <s v="ORD-10304"/>
        <s v="ORD-10283"/>
        <s v="ORD-10598"/>
        <s v="ORD-10432"/>
        <s v="ORD-10811"/>
        <s v="ORD-10612"/>
        <s v="ORD-10274"/>
        <s v="ORD-10769"/>
        <s v="ORD-10999"/>
        <s v="ORD-10522"/>
        <s v="ORD-10519"/>
        <s v="ORD-10770"/>
        <s v="ORD-10688"/>
        <s v="ORD-10406"/>
        <s v="ORD-10546"/>
        <s v="ORD-10841"/>
        <s v="ORD-10674"/>
        <s v="ORD-10683"/>
        <s v="ORD-10340"/>
        <s v="ORD-10010"/>
        <s v="ORD-10487"/>
        <s v="ORD-10527"/>
        <s v="ORD-10087"/>
        <s v="ORD-10574"/>
        <s v="ORD-10273"/>
        <s v="ORD-10387"/>
        <s v="ORD-10215"/>
        <s v="ORD-10552"/>
        <s v="ORD-10755"/>
        <s v="ORD-10859"/>
        <s v="ORD-10024"/>
        <s v="ORD-10455"/>
        <s v="ORD-10878"/>
        <s v="ORD-10584"/>
        <s v="ORD-10474"/>
        <s v="ORD-10993"/>
        <s v="ORD-10774"/>
        <s v="ORD-10202"/>
        <s v="ORD-10222"/>
        <s v="ORD-10788"/>
        <s v="ORD-10523"/>
        <s v="ORD-10422"/>
        <s v="ORD-10307"/>
        <s v="ORD-10881"/>
        <s v="ORD-10346"/>
        <s v="ORD-10306"/>
        <s v="ORD-10761"/>
        <s v="ORD-10358"/>
        <s v="ORD-11027"/>
        <s v="ORD-10535"/>
        <s v="ORD-10617"/>
        <s v="ORD-10758"/>
        <s v="ORD-10982"/>
        <s v="ORD-10314"/>
        <s v="ORD-10646"/>
        <s v="ORD-10279"/>
        <s v="ORD-10384"/>
        <s v="ORD-10002"/>
        <s v="ORD-10119"/>
        <s v="ORD-10958"/>
        <s v="ORD-11029"/>
        <s v="ORD-10401"/>
        <s v="ORD-10068"/>
        <s v="ORD-10849"/>
        <s v="ORD-10026"/>
        <s v="ORD-10960"/>
        <s v="ORD-10858"/>
        <s v="ORD-10789"/>
        <s v="ORD-10299"/>
        <s v="ORD-10218"/>
        <s v="ORD-10604"/>
        <s v="ORD-10181"/>
        <s v="ORD-10829"/>
        <s v="ORD-10303"/>
        <s v="ORD-10040"/>
        <s v="ORD-10639"/>
        <s v="ORD-10916"/>
        <s v="ORD-10922"/>
        <s v="ORD-10664"/>
        <s v="ORD-10284"/>
        <s v="ORD-10472"/>
        <s v="ORD-10371"/>
        <s v="ORD-10106"/>
        <s v="ORD-10126"/>
        <s v="ORD-10808"/>
        <s v="ORD-10967"/>
        <s v="ORD-10080"/>
        <s v="ORD-10751"/>
        <s v="ORD-10887"/>
        <s v="ORD-10235"/>
        <s v="ORD-10879"/>
        <s v="ORD-10685"/>
        <s v="ORD-10934"/>
        <s v="ORD-10451"/>
        <s v="ORD-10192"/>
        <s v="ORD-10428"/>
        <s v="ORD-10408"/>
        <s v="ORD-10258"/>
        <s v="ORD-10142"/>
        <s v="ORD-10120"/>
        <s v="ORD-10249"/>
        <s v="ORD-10109"/>
        <s v="ORD-10048"/>
        <s v="ORD-10740"/>
        <s v="ORD-10233"/>
        <s v="ORD-10979"/>
        <s v="ORD-10801"/>
        <s v="ORD-10449"/>
        <s v="ORD-10973"/>
        <s v="ORD-10836"/>
        <s v="ORD-10227"/>
        <s v="ORD-11024"/>
        <s v="ORD-10402"/>
        <s v="ORD-10962"/>
        <s v="ORD-10434"/>
        <s v="ORD-11025"/>
        <s v="ORD-11030"/>
        <s v="ORD-10974"/>
        <s v="ORD-10537"/>
        <s v="ORD-10259"/>
        <s v="ORD-10178"/>
        <s v="ORD-10712"/>
        <s v="ORD-10591"/>
        <s v="ORD-10848"/>
        <s v="ORD-10415"/>
        <s v="ORD-11017"/>
        <s v="ORD-10172"/>
        <s v="ORD-10407"/>
        <s v="ORD-10516"/>
        <s v="ORD-10582"/>
        <s v="ORD-10435"/>
        <s v="ORD-10891"/>
        <s v="ORD-10736"/>
        <s v="ORD-10093"/>
        <s v="ORD-10079"/>
        <s v="ORD-10893"/>
        <s v="ORD-10138"/>
        <s v="ORD-10888"/>
        <s v="ORD-10802"/>
        <s v="ORD-10588"/>
        <s v="ORD-10637"/>
        <s v="ORD-10941"/>
        <s v="ORD-10139"/>
        <s v="ORD-10158"/>
        <s v="ORD-10622"/>
        <s v="ORD-10006"/>
        <s v="ORD-10310"/>
        <s v="ORD-10978"/>
        <s v="ORD-10075"/>
        <s v="ORD-10989"/>
        <s v="ORD-10489"/>
        <s v="ORD-10377"/>
        <s v="ORD-10240"/>
        <s v="ORD-10184"/>
        <s v="ORD-10446"/>
        <s v="ORD-10541"/>
        <s v="ORD-10014"/>
        <s v="ORD-10587"/>
        <s v="ORD-10448"/>
        <s v="ORD-10699"/>
        <s v="ORD-10936"/>
        <s v="ORD-10216"/>
        <s v="ORD-10667"/>
        <s v="ORD-10706"/>
        <s v="ORD-10577"/>
        <s v="ORD-10586"/>
        <s v="ORD-10123"/>
        <s v="ORD-10151"/>
        <s v="ORD-10827"/>
        <s v="ORD-10360"/>
        <s v="ORD-10337"/>
        <s v="ORD-10695"/>
        <s v="ORD-10507"/>
        <s v="ORD-10966"/>
        <s v="ORD-10081"/>
        <s v="ORD-10965"/>
        <s v="ORD-10828"/>
        <s v="ORD-10413"/>
        <s v="ORD-10779"/>
        <s v="ORD-10872"/>
        <s v="ORD-10666"/>
        <s v="ORD-10325"/>
        <s v="ORD-10345"/>
        <s v="ORD-10959"/>
        <s v="ORD-10500"/>
        <s v="ORD-10107"/>
        <s v="ORD-10028"/>
        <s v="ORD-10135"/>
        <s v="ORD-10625"/>
        <s v="ORD-10289"/>
        <s v="ORD-10090"/>
        <s v="ORD-10497"/>
        <s v="ORD-10771"/>
        <s v="ORD-10334"/>
        <s v="ORD-10486"/>
        <s v="ORD-10305"/>
        <s v="ORD-10553"/>
        <s v="ORD-10466"/>
        <s v="ORD-10923"/>
        <s v="ORD-10194"/>
        <s v="ORD-10931"/>
        <s v="ORD-11035"/>
        <s v="ORD-10195"/>
        <s v="ORD-10626"/>
        <s v="ORD-10347"/>
        <s v="ORD-10089"/>
        <s v="ORD-10972"/>
        <s v="ORD-10884"/>
        <s v="ORD-10374"/>
        <s v="ORD-11047"/>
        <s v="ORD-10073"/>
        <s v="ORD-10643"/>
        <s v="ORD-10217"/>
        <s v="ORD-10815"/>
        <s v="ORD-10794"/>
        <s v="ORD-11037"/>
        <s v="ORD-10398"/>
        <s v="ORD-10032"/>
        <s v="ORD-10175"/>
        <s v="ORD-10853"/>
        <s v="ORD-10939"/>
        <s v="ORD-10460"/>
        <s v="ORD-10083"/>
        <s v="ORD-10323"/>
        <s v="ORD-10198"/>
        <s v="ORD-10403"/>
        <s v="ORD-10236"/>
        <s v="ORD-10171"/>
        <s v="ORD-10515"/>
        <s v="ORD-10130"/>
        <s v="ORD-10823"/>
        <s v="ORD-10679"/>
        <s v="ORD-10609"/>
        <s v="ORD-10684"/>
        <s v="ORD-10141"/>
        <s v="ORD-10205"/>
        <s v="ORD-10869"/>
        <s v="ORD-11039"/>
        <s v="ORD-10053"/>
        <s v="ORD-10421"/>
        <s v="ORD-10932"/>
        <s v="ORD-10624"/>
        <s v="ORD-10382"/>
        <s v="ORD-10807"/>
        <s v="ORD-10290"/>
        <s v="ORD-11044"/>
        <s v="ORD-10917"/>
        <s v="ORD-10792"/>
        <s v="ORD-10671"/>
        <s v="ORD-10221"/>
        <s v="ORD-10549"/>
        <s v="ORD-10417"/>
        <s v="ORD-10997"/>
        <s v="ORD-10069"/>
        <s v="ORD-10247"/>
        <s v="ORD-10239"/>
        <s v="ORD-10414"/>
        <s v="ORD-10927"/>
        <s v="ORD-10088"/>
        <s v="ORD-10560"/>
        <s v="ORD-10200"/>
        <s v="ORD-10724"/>
        <s v="ORD-10262"/>
        <s v="ORD-10696"/>
        <s v="ORD-10526"/>
        <s v="ORD-10275"/>
        <s v="ORD-10210"/>
        <s v="ORD-10594"/>
        <s v="ORD-10502"/>
        <s v="ORD-10633"/>
        <s v="ORD-10746"/>
        <s v="ORD-10975"/>
        <s v="ORD-10556"/>
        <s v="ORD-10697"/>
        <s v="ORD-10043"/>
        <s v="ORD-10969"/>
        <s v="ORD-10238"/>
        <s v="ORD-10558"/>
        <s v="ORD-10294"/>
        <s v="ORD-10037"/>
        <s v="ORD-10885"/>
        <s v="ORD-10465"/>
        <s v="ORD-10892"/>
        <s v="ORD-10742"/>
        <s v="ORD-10964"/>
        <s v="ORD-10895"/>
        <s v="ORD-10438"/>
        <s v="ORD-10899"/>
        <s v="ORD-10565"/>
        <s v="ORD-10713"/>
        <s v="ORD-10732"/>
        <s v="ORD-10550"/>
        <s v="ORD-11015"/>
        <s v="ORD-10984"/>
        <s v="ORD-10981"/>
        <s v="ORD-10211"/>
        <s v="ORD-10150"/>
        <s v="ORD-10648"/>
        <s v="ORD-10416"/>
        <s v="ORD-10260"/>
        <s v="ORD-10682"/>
        <s v="ORD-10326"/>
        <s v="ORD-10672"/>
        <s v="ORD-10054"/>
        <s v="ORD-10099"/>
        <s v="ORD-10207"/>
        <s v="ORD-10255"/>
        <s v="ORD-10167"/>
        <s v="ORD-10909"/>
        <s v="ORD-10590"/>
        <s v="ORD-10822"/>
        <s v="ORD-10105"/>
        <s v="ORD-10749"/>
        <s v="ORD-10201"/>
        <s v="ORD-10920"/>
        <s v="ORD-10803"/>
        <s v="ORD-10627"/>
        <s v="ORD-10343"/>
        <s v="ORD-10529"/>
        <s v="ORD-10857"/>
        <s v="ORD-10058"/>
        <s v="ORD-10013"/>
        <s v="ORD-10942"/>
        <s v="ORD-10412"/>
        <s v="ORD-10580"/>
        <s v="ORD-10531"/>
        <s v="ORD-10473"/>
        <s v="ORD-10281"/>
        <s v="ORD-10722"/>
        <s v="ORD-10605"/>
        <s v="ORD-10629"/>
        <s v="ORD-10623"/>
        <s v="ORD-10902"/>
        <s v="ORD-10452"/>
        <s v="ORD-10170"/>
        <s v="ORD-10855"/>
        <s v="ORD-10059"/>
        <s v="ORD-10389"/>
        <s v="ORD-10678"/>
        <s v="ORD-10365"/>
        <s v="ORD-10370"/>
        <s v="ORD-10963"/>
        <s v="ORD-10977"/>
        <s v="ORD-10241"/>
        <s v="ORD-10226"/>
        <s v="ORD-10039"/>
        <s v="ORD-10833"/>
        <s v="ORD-10665"/>
        <s v="ORD-10386"/>
        <s v="ORD-10312"/>
        <s v="ORD-11014"/>
        <s v="ORD-10453"/>
        <s v="ORD-10628"/>
        <s v="ORD-10659"/>
        <s v="ORD-10122"/>
        <s v="ORD-10547"/>
        <s v="ORD-10231"/>
        <s v="ORD-10655"/>
        <s v="ORD-10149"/>
        <s v="ORD-10545"/>
        <s v="ORD-11034"/>
        <s v="ORD-10173"/>
        <s v="ORD-10763"/>
        <s v="ORD-10034"/>
        <s v="ORD-10933"/>
        <s v="ORD-10619"/>
        <s v="ORD-10375"/>
        <s v="ORD-10300"/>
        <s v="ORD-10082"/>
        <s v="ORD-10344"/>
        <s v="ORD-10019"/>
        <s v="ORD-10961"/>
        <s v="ORD-10278"/>
        <s v="ORD-10277"/>
        <s v="ORD-10955"/>
        <s v="ORD-10475"/>
        <s v="ORD-10800"/>
        <s v="ORD-10376"/>
        <s v="ORD-10041"/>
        <s v="ORD-10776"/>
        <s v="ORD-10169"/>
        <s v="ORD-10929"/>
        <s v="ORD-10520"/>
        <s v="ORD-10011"/>
        <s v="ORD-10168"/>
        <s v="ORD-10463"/>
        <s v="ORD-10530"/>
        <s v="ORD-10554"/>
        <s v="ORD-10145"/>
        <s v="ORD-10834"/>
        <s v="ORD-10846"/>
        <s v="ORD-10067"/>
        <s v="ORD-10133"/>
        <s v="ORD-10701"/>
        <s v="ORD-10638"/>
        <s v="ORD-10703"/>
        <s v="ORD-10873"/>
        <s v="ORD-10946"/>
        <s v="ORD-10352"/>
        <s v="ORD-10098"/>
        <s v="ORD-10052"/>
        <s v="ORD-10047"/>
        <s v="ORD-10689"/>
        <s v="ORD-10548"/>
        <s v="ORD-10433"/>
        <s v="ORD-10514"/>
        <s v="ORD-10411"/>
        <s v="ORD-10444"/>
        <s v="ORD-10551"/>
        <s v="ORD-10091"/>
        <s v="ORD-10910"/>
        <s v="ORD-10128"/>
        <s v="ORD-10349"/>
        <s v="ORD-10267"/>
        <s v="ORD-10468"/>
        <s v="ORD-10819"/>
        <s v="ORD-10331"/>
        <s v="ORD-10220"/>
        <s v="ORD-10224"/>
        <s v="ORD-10745"/>
        <s v="ORD-10004"/>
        <s v="ORD-10196"/>
        <s v="ORD-10030"/>
        <s v="ORD-10539"/>
        <s v="ORD-10583"/>
        <s v="ORD-10245"/>
        <s v="ORD-10410"/>
        <s v="ORD-10781"/>
        <s v="ORD-10652"/>
        <s v="ORD-10851"/>
        <s v="ORD-10266"/>
        <s v="ORD-10694"/>
        <s v="ORD-10096"/>
        <s v="ORD-10599"/>
        <s v="ORD-10705"/>
        <s v="ORD-10094"/>
        <s v="ORD-10134"/>
        <s v="ORD-10620"/>
        <s v="ORD-10478"/>
        <s v="ORD-10569"/>
        <s v="ORD-10330"/>
        <s v="ORD-10669"/>
        <s v="ORD-10482"/>
        <s v="ORD-10369"/>
        <s v="ORD-10952"/>
        <s v="ORD-10254"/>
        <s v="ORD-11046"/>
        <s v="ORD-10256"/>
        <s v="ORD-10812"/>
        <s v="ORD-10012"/>
        <s v="ORD-10793"/>
        <s v="ORD-10876"/>
        <s v="ORD-10896"/>
        <s v="ORD-10956"/>
        <s v="ORD-10654"/>
        <s v="ORD-10286"/>
        <s v="ORD-10248"/>
        <s v="ORD-10901"/>
        <s v="ORD-10818"/>
        <s v="ORD-10675"/>
        <s v="ORD-10890"/>
        <s v="ORD-10796"/>
        <s v="ORD-10029"/>
        <s v="ORD-10731"/>
        <s v="ORD-10333"/>
        <s v="ORD-10163"/>
        <s v="ORD-10757"/>
        <s v="ORD-10250"/>
        <s v="ORD-10431"/>
        <s v="ORD-10649"/>
        <s v="ORD-10504"/>
        <s v="ORD-10676"/>
        <s v="ORD-10359"/>
        <s v="ORD-10729"/>
        <s v="ORD-10424"/>
        <s v="ORD-10759"/>
        <s v="ORD-10635"/>
        <s v="ORD-10589"/>
        <s v="ORD-10538"/>
        <s v="ORD-10164"/>
        <s v="ORD-10994"/>
        <s v="ORD-10372"/>
        <s v="ORD-10203"/>
        <s v="ORD-10702"/>
        <s v="ORD-10578"/>
        <s v="ORD-11007"/>
        <s v="ORD-10814"/>
        <s v="ORD-10276"/>
        <s v="ORD-10230"/>
        <s v="ORD-10493"/>
        <s v="ORD-10914"/>
        <s v="ORD-10166"/>
        <s v="ORD-11036"/>
        <s v="ORD-10263"/>
        <s v="ORD-11023"/>
        <s v="ORD-10717"/>
        <s v="ORD-10055"/>
        <s v="ORD-10641"/>
        <s v="ORD-10161"/>
        <s v="ORD-10190"/>
        <s v="ORD-10490"/>
        <s v="ORD-10404"/>
        <s v="ORD-10521"/>
        <s v="ORD-10786"/>
        <s v="ORD-10125"/>
        <s v="ORD-10485"/>
        <s v="ORD-10341"/>
        <s v="ORD-10996"/>
        <s v="ORD-10050"/>
        <s v="ORD-10611"/>
        <s v="ORD-10596"/>
        <s v="ORD-10129"/>
        <s v="ORD-10555"/>
        <s v="ORD-10870"/>
        <s v="ORD-10585"/>
        <s v="ORD-10213"/>
        <s v="ORD-11003"/>
        <s v="ORD-10874"/>
        <s v="ORD-11016"/>
        <s v="ORD-10033"/>
        <s v="ORD-10317"/>
        <s v="ORD-10209"/>
        <s v="ORD-10335"/>
        <s v="ORD-10913"/>
        <s v="ORD-10630"/>
        <s v="ORD-10661"/>
        <s v="ORD-10576"/>
        <s v="ORD-10206"/>
        <s v="ORD-10261"/>
        <s v="ORD-10813"/>
        <s v="ORD-10735"/>
        <s v="ORD-10228"/>
        <s v="ORD-10022"/>
        <s v="ORD-10183"/>
        <s v="ORD-10647"/>
        <s v="ORD-10097"/>
        <s v="ORD-10912"/>
        <s v="ORD-10429"/>
        <s v="ORD-10511"/>
        <s v="ORD-10907"/>
        <s v="ORD-10147"/>
        <s v="ORD-10071"/>
        <s v="ORD-11005"/>
        <s v="ORD-10707"/>
        <s v="ORD-10681"/>
        <s v="ORD-10743"/>
        <s v="ORD-10491"/>
        <s v="ORD-10809"/>
        <s v="ORD-10327"/>
        <s v="ORD-10906"/>
        <s v="ORD-10295"/>
        <s v="ORD-10862"/>
        <s v="ORD-10524"/>
        <s v="ORD-10980"/>
        <s v="ORD-10940"/>
        <s v="ORD-10078"/>
        <s v="ORD-10704"/>
        <s v="ORD-10601"/>
        <s v="ORD-10007"/>
        <s v="ORD-10773"/>
        <s v="ORD-10509"/>
        <s v="ORD-10467"/>
        <s v="ORD-10730"/>
        <s v="ORD-10798"/>
        <s v="ORD-10513"/>
        <s v="ORD-10191"/>
        <s v="ORD-10898"/>
        <s v="ORD-10046"/>
        <s v="ORD-10288"/>
        <s v="ORD-10937"/>
        <s v="ORD-11000"/>
        <s v="ORD-10319"/>
        <s v="ORD-10116"/>
        <s v="ORD-10480"/>
        <s v="ORD-10525"/>
        <s v="ORD-10298"/>
        <s v="ORD-10016"/>
        <s v="ORD-10700"/>
        <s v="ORD-10471"/>
        <s v="ORD-11041"/>
        <s v="ORD-10924"/>
        <s v="ORD-10146"/>
        <s v="ORD-10204"/>
        <s v="ORD-10379"/>
        <s v="ORD-10242"/>
        <s v="ORD-10456"/>
        <s v="ORD-10767"/>
        <s v="ORD-10328"/>
        <s v="ORD-10533"/>
        <s v="ORD-10871"/>
        <s v="ORD-10787"/>
        <s v="ORD-10886"/>
        <s v="ORD-10285"/>
        <s v="ORD-10938"/>
        <s v="ORD-10905"/>
        <s v="ORD-10698"/>
        <s v="ORD-10501"/>
        <s v="ORD-10321"/>
        <s v="ORD-11040"/>
        <s v="ORD-10378"/>
        <s v="ORD-10018"/>
        <s v="ORD-11011"/>
        <s v="ORD-10115"/>
        <s v="ORD-10232"/>
        <s v="ORD-10177"/>
        <s v="ORD-10715"/>
        <s v="ORD-10189"/>
        <s v="ORD-10065"/>
        <s v="ORD-10632"/>
        <s v="ORD-10005"/>
        <s v="ORD-10568"/>
        <s v="ORD-10268"/>
        <s v="ORD-10103"/>
        <s v="ORD-10186"/>
        <s v="ORD-10063"/>
        <s v="ORD-10160"/>
        <s v="ORD-10159"/>
        <s v="ORD-11026"/>
        <s v="ORD-10355"/>
        <s v="ORD-10752"/>
        <s v="ORD-10324"/>
        <s v="ORD-10399"/>
        <s v="ORD-10104"/>
        <s v="ORD-10780"/>
        <s v="ORD-10426"/>
        <s v="ORD-11001"/>
        <s v="ORD-10670"/>
        <s v="ORD-10214"/>
        <s v="ORD-10953"/>
        <s v="ORD-10575"/>
        <s v="ORD-11048"/>
        <s v="ORD-10131"/>
        <s v="ORD-10651"/>
        <s v="ORD-10760"/>
        <s v="ORD-10015"/>
        <s v="ORD-10140"/>
        <s v="ORD-10992"/>
        <s v="ORD-10680"/>
        <s v="ORD-10021"/>
        <s v="ORD-10308"/>
        <s v="ORD-10423"/>
        <s v="ORD-10606"/>
        <s v="ORD-10889"/>
        <s v="ORD-10721"/>
        <s v="ORD-10816"/>
        <s v="ORD-10791"/>
        <s v="ORD-11008"/>
        <s v="ORD-10394"/>
        <s v="ORD-10727"/>
        <s v="ORD-10826"/>
        <s v="ORD-10031"/>
        <s v="ORD-10269"/>
        <s v="ORD-10025"/>
        <s v="ORD-10441"/>
        <s v="ORD-10894"/>
        <s v="ORD-10495"/>
        <s v="ORD-11020"/>
        <s v="ORD-10592"/>
        <s v="ORD-10741"/>
        <s v="ORD-10510"/>
        <s v="ORD-10076"/>
        <s v="ORD-10225"/>
        <s v="ORD-10783"/>
        <s v="ORD-10000"/>
        <s v="ORD-10494"/>
        <s v="ORD-10136"/>
        <s v="ORD-11012"/>
        <s v="ORD-10301"/>
        <s v="ORD-10292"/>
        <s v="ORD-10820"/>
        <s v="ORD-10778"/>
        <s v="ORD-10842"/>
        <s v="ORD-10772"/>
        <s v="ORD-10056"/>
        <s v="ORD-10309"/>
        <s v="ORD-10863"/>
        <s v="ORD-10339"/>
        <s v="ORD-10534"/>
        <s v="ORD-10903"/>
        <s v="ORD-10077"/>
        <s v="ORD-10027"/>
        <s v="ORD-10825"/>
        <s v="ORD-10469"/>
        <s v="ORD-10708"/>
        <s v="ORD-10400"/>
        <s v="ORD-10409"/>
        <s v="ORD-10439"/>
        <s v="ORD-10710"/>
        <s v="ORD-10976"/>
        <s v="ORD-10430"/>
        <s v="ORD-11049"/>
        <s v="ORD-10038"/>
        <s v="ORD-10311"/>
        <s v="ORD-10111"/>
        <s v="ORD-10458"/>
        <s v="ORD-10363"/>
        <s v="ORD-10948"/>
        <s v="ORD-10734"/>
        <s v="ORD-10928"/>
        <s v="ORD-10785"/>
        <s v="ORD-10293"/>
        <s v="ORD-10957"/>
        <s v="ORD-10921"/>
        <s v="ORD-10563"/>
        <s v="ORD-10246"/>
        <s v="ORD-10990"/>
        <s v="ORD-10512"/>
        <s v="ORD-10562"/>
        <s v="ORD-11045"/>
        <s v="ORD-10057"/>
        <s v="ORD-10009"/>
        <s v="ORD-10766"/>
        <s v="ORD-10709"/>
        <s v="ORD-10287"/>
        <s v="ORD-10747"/>
        <s v="ORD-10296"/>
        <s v="ORD-10854"/>
        <s v="ORD-10397"/>
        <s v="ORD-10064"/>
        <s v="ORD-10831"/>
        <s v="ORD-10897"/>
        <s v="ORD-10918"/>
        <s v="ORD-10954"/>
        <s v="ORD-10805"/>
        <s v="ORD-10998"/>
        <s v="ORD-10118"/>
        <s v="ORD-10867"/>
        <s v="ORD-10595"/>
        <s v="ORD-10987"/>
        <s v="ORD-10193"/>
        <s v="ORD-10505"/>
        <s v="ORD-10860"/>
        <s v="ORD-10045"/>
        <s v="ORD-10615"/>
        <s v="ORD-10821"/>
        <s v="ORD-10354"/>
        <s v="ORD-10861"/>
        <s v="ORD-10663"/>
        <s v="ORD-10108"/>
        <s v="ORD-10479"/>
        <s v="ORD-10756"/>
        <s v="ORD-10165"/>
        <s v="ORD-10657"/>
        <s v="ORD-10968"/>
        <s v="ORD-11038"/>
        <s v="ORD-10405"/>
        <s v="ORD-10001"/>
        <s v="ORD-10154"/>
        <s v="ORD-10066"/>
        <s v="ORD-10739"/>
        <s v="ORD-10824"/>
        <s v="ORD-10925"/>
        <s v="ORD-10506"/>
        <s v="ORD-10564"/>
        <s v="ORD-11032"/>
        <s v="ORD-10566"/>
        <s v="ORD-10420"/>
        <s v="ORD-10926"/>
        <s v="ORD-11010"/>
        <s v="ORD-10718"/>
        <s v="ORD-10148"/>
        <s v="ORD-11033"/>
        <s v="ORD-10086"/>
        <s v="ORD-10092"/>
        <s v="ORD-10911"/>
        <s v="ORD-10356"/>
        <s v="ORD-10714"/>
        <s v="ORD-10035"/>
        <s v="ORD-10265"/>
      </sharedItems>
    </cacheField>
    <cacheField name="Order_Date" numFmtId="182">
      <sharedItems containsSemiMixedTypes="0" containsString="0" containsNonDate="0" containsDate="1" minDate="2020-01-01T00:00:00" maxDate="2024-12-30T00:00:00" count="799">
        <d v="2024-03-30T00:00:00"/>
        <d v="2023-07-31T00:00:00"/>
        <d v="2021-04-10T00:00:00"/>
        <d v="2020-08-28T00:00:00"/>
        <d v="2022-04-08T00:00:00"/>
        <d v="2024-12-09T00:00:00"/>
        <d v="2020-10-08T00:00:00"/>
        <d v="2024-10-03T00:00:00"/>
        <d v="2022-08-28T00:00:00"/>
        <d v="2020-02-23T00:00:00"/>
        <d v="2024-11-05T00:00:00"/>
        <d v="2022-01-09T00:00:00"/>
        <d v="2023-09-19T00:00:00"/>
        <d v="2022-11-13T00:00:00"/>
        <d v="2021-06-12T00:00:00"/>
        <d v="2021-02-24T00:00:00"/>
        <d v="2020-04-18T00:00:00"/>
        <d v="2024-10-01T00:00:00"/>
        <d v="2024-11-07T00:00:00"/>
        <d v="2021-08-19T00:00:00"/>
        <d v="2024-06-25T00:00:00"/>
        <d v="2022-02-05T00:00:00"/>
        <d v="2024-01-03T00:00:00"/>
        <d v="2022-04-26T00:00:00"/>
        <d v="2021-03-22T00:00:00"/>
        <d v="2022-12-09T00:00:00"/>
        <d v="2021-05-24T00:00:00"/>
        <d v="2022-01-23T00:00:00"/>
        <d v="2021-02-14T00:00:00"/>
        <d v="2020-01-28T00:00:00"/>
        <d v="2024-11-24T00:00:00"/>
        <d v="2022-02-25T00:00:00"/>
        <d v="2024-07-27T00:00:00"/>
        <d v="2021-07-24T00:00:00"/>
        <d v="2024-08-16T00:00:00"/>
        <d v="2024-11-25T00:00:00"/>
        <d v="2021-03-26T00:00:00"/>
        <d v="2022-12-19T00:00:00"/>
        <d v="2024-07-18T00:00:00"/>
        <d v="2024-04-30T00:00:00"/>
        <d v="2022-04-20T00:00:00"/>
        <d v="2022-01-19T00:00:00"/>
        <d v="2021-07-29T00:00:00"/>
        <d v="2022-01-28T00:00:00"/>
        <d v="2022-09-14T00:00:00"/>
        <d v="2023-12-31T00:00:00"/>
        <d v="2020-07-18T00:00:00"/>
        <d v="2023-10-10T00:00:00"/>
        <d v="2024-04-26T00:00:00"/>
        <d v="2022-02-03T00:00:00"/>
        <d v="2022-12-23T00:00:00"/>
        <d v="2021-11-22T00:00:00"/>
        <d v="2021-09-27T00:00:00"/>
        <d v="2022-05-10T00:00:00"/>
        <d v="2020-11-03T00:00:00"/>
        <d v="2020-10-14T00:00:00"/>
        <d v="2022-10-27T00:00:00"/>
        <d v="2023-01-31T00:00:00"/>
        <d v="2022-08-05T00:00:00"/>
        <d v="2024-10-27T00:00:00"/>
        <d v="2022-04-17T00:00:00"/>
        <d v="2021-02-04T00:00:00"/>
        <d v="2021-04-24T00:00:00"/>
        <d v="2023-06-16T00:00:00"/>
        <d v="2021-06-30T00:00:00"/>
        <d v="2020-04-20T00:00:00"/>
        <d v="2022-04-25T00:00:00"/>
        <d v="2021-10-06T00:00:00"/>
        <d v="2020-08-02T00:00:00"/>
        <d v="2022-05-03T00:00:00"/>
        <d v="2023-02-12T00:00:00"/>
        <d v="2020-07-29T00:00:00"/>
        <d v="2020-01-12T00:00:00"/>
        <d v="2024-07-23T00:00:00"/>
        <d v="2020-06-24T00:00:00"/>
        <d v="2020-07-09T00:00:00"/>
        <d v="2021-06-19T00:00:00"/>
        <d v="2020-05-24T00:00:00"/>
        <d v="2024-03-03T00:00:00"/>
        <d v="2022-03-19T00:00:00"/>
        <d v="2024-07-05T00:00:00"/>
        <d v="2020-06-10T00:00:00"/>
        <d v="2021-04-02T00:00:00"/>
        <d v="2021-06-22T00:00:00"/>
        <d v="2023-03-25T00:00:00"/>
        <d v="2020-05-18T00:00:00"/>
        <d v="2022-09-13T00:00:00"/>
        <d v="2024-11-10T00:00:00"/>
        <d v="2021-09-16T00:00:00"/>
        <d v="2022-05-23T00:00:00"/>
        <d v="2023-12-01T00:00:00"/>
        <d v="2024-11-20T00:00:00"/>
        <d v="2023-10-09T00:00:00"/>
        <d v="2020-07-16T00:00:00"/>
        <d v="2024-10-31T00:00:00"/>
        <d v="2022-02-18T00:00:00"/>
        <d v="2022-10-30T00:00:00"/>
        <d v="2023-05-22T00:00:00"/>
        <d v="2020-07-26T00:00:00"/>
        <d v="2024-01-25T00:00:00"/>
        <d v="2020-12-24T00:00:00"/>
        <d v="2024-06-29T00:00:00"/>
        <d v="2024-04-18T00:00:00"/>
        <d v="2023-04-04T00:00:00"/>
        <d v="2021-03-09T00:00:00"/>
        <d v="2021-01-21T00:00:00"/>
        <d v="2023-01-15T00:00:00"/>
        <d v="2021-12-26T00:00:00"/>
        <d v="2020-08-01T00:00:00"/>
        <d v="2021-04-27T00:00:00"/>
        <d v="2022-10-03T00:00:00"/>
        <d v="2023-01-11T00:00:00"/>
        <d v="2021-12-17T00:00:00"/>
        <d v="2024-06-22T00:00:00"/>
        <d v="2023-01-29T00:00:00"/>
        <d v="2020-09-28T00:00:00"/>
        <d v="2020-04-10T00:00:00"/>
        <d v="2021-04-20T00:00:00"/>
        <d v="2023-05-17T00:00:00"/>
        <d v="2023-05-29T00:00:00"/>
        <d v="2024-09-27T00:00:00"/>
        <d v="2020-08-27T00:00:00"/>
        <d v="2021-03-04T00:00:00"/>
        <d v="2023-06-30T00:00:00"/>
        <d v="2023-06-04T00:00:00"/>
        <d v="2021-11-17T00:00:00"/>
        <d v="2022-05-18T00:00:00"/>
        <d v="2022-12-04T00:00:00"/>
        <d v="2020-07-31T00:00:00"/>
        <d v="2024-11-01T00:00:00"/>
        <d v="2023-06-22T00:00:00"/>
        <d v="2024-03-29T00:00:00"/>
        <d v="2024-09-07T00:00:00"/>
        <d v="2022-11-25T00:00:00"/>
        <d v="2021-06-16T00:00:00"/>
        <d v="2020-12-08T00:00:00"/>
        <d v="2024-04-11T00:00:00"/>
        <d v="2024-05-15T00:00:00"/>
        <d v="2024-07-04T00:00:00"/>
        <d v="2024-12-18T00:00:00"/>
        <d v="2024-12-07T00:00:00"/>
        <d v="2022-10-04T00:00:00"/>
        <d v="2022-07-12T00:00:00"/>
        <d v="2020-07-06T00:00:00"/>
        <d v="2024-04-17T00:00:00"/>
        <d v="2021-10-12T00:00:00"/>
        <d v="2021-04-11T00:00:00"/>
        <d v="2024-09-21T00:00:00"/>
        <d v="2023-10-14T00:00:00"/>
        <d v="2020-03-09T00:00:00"/>
        <d v="2023-03-16T00:00:00"/>
        <d v="2022-04-10T00:00:00"/>
        <d v="2022-03-25T00:00:00"/>
        <d v="2023-11-19T00:00:00"/>
        <d v="2020-08-26T00:00:00"/>
        <d v="2021-08-03T00:00:00"/>
        <d v="2021-12-06T00:00:00"/>
        <d v="2020-09-09T00:00:00"/>
        <d v="2020-01-03T00:00:00"/>
        <d v="2020-05-19T00:00:00"/>
        <d v="2024-07-17T00:00:00"/>
        <d v="2021-06-04T00:00:00"/>
        <d v="2022-06-03T00:00:00"/>
        <d v="2024-11-08T00:00:00"/>
        <d v="2024-05-21T00:00:00"/>
        <d v="2024-02-12T00:00:00"/>
        <d v="2020-06-23T00:00:00"/>
        <d v="2021-11-27T00:00:00"/>
        <d v="2024-09-09T00:00:00"/>
        <d v="2024-08-03T00:00:00"/>
        <d v="2020-08-10T00:00:00"/>
        <d v="2020-08-11T00:00:00"/>
        <d v="2023-03-17T00:00:00"/>
        <d v="2023-02-28T00:00:00"/>
        <d v="2022-08-27T00:00:00"/>
        <d v="2023-04-18T00:00:00"/>
        <d v="2023-04-17T00:00:00"/>
        <d v="2024-04-23T00:00:00"/>
        <d v="2022-09-27T00:00:00"/>
        <d v="2021-01-20T00:00:00"/>
        <d v="2020-01-11T00:00:00"/>
        <d v="2022-12-26T00:00:00"/>
        <d v="2024-10-08T00:00:00"/>
        <d v="2020-03-18T00:00:00"/>
        <d v="2022-11-05T00:00:00"/>
        <d v="2023-04-16T00:00:00"/>
        <d v="2020-12-28T00:00:00"/>
        <d v="2023-04-03T00:00:00"/>
        <d v="2024-12-05T00:00:00"/>
        <d v="2022-09-22T00:00:00"/>
        <d v="2024-05-16T00:00:00"/>
        <d v="2023-04-13T00:00:00"/>
        <d v="2023-12-13T00:00:00"/>
        <d v="2023-11-21T00:00:00"/>
        <d v="2023-11-10T00:00:00"/>
        <d v="2024-12-06T00:00:00"/>
        <d v="2020-08-19T00:00:00"/>
        <d v="2021-07-14T00:00:00"/>
        <d v="2021-06-14T00:00:00"/>
        <d v="2024-11-14T00:00:00"/>
        <d v="2024-10-17T00:00:00"/>
        <d v="2023-04-27T00:00:00"/>
        <d v="2022-08-03T00:00:00"/>
        <d v="2022-09-24T00:00:00"/>
        <d v="2022-06-29T00:00:00"/>
        <d v="2022-12-08T00:00:00"/>
        <d v="2024-11-12T00:00:00"/>
        <d v="2022-02-08T00:00:00"/>
        <d v="2021-09-12T00:00:00"/>
        <d v="2022-03-07T00:00:00"/>
        <d v="2020-05-04T00:00:00"/>
        <d v="2020-01-31T00:00:00"/>
        <d v="2020-09-03T00:00:00"/>
        <d v="2022-11-23T00:00:00"/>
        <d v="2021-10-21T00:00:00"/>
        <d v="2022-01-08T00:00:00"/>
        <d v="2022-07-03T00:00:00"/>
        <d v="2023-03-20T00:00:00"/>
        <d v="2020-06-06T00:00:00"/>
        <d v="2021-06-25T00:00:00"/>
        <d v="2024-02-01T00:00:00"/>
        <d v="2023-12-16T00:00:00"/>
        <d v="2022-07-08T00:00:00"/>
        <d v="2023-12-23T00:00:00"/>
        <d v="2020-05-09T00:00:00"/>
        <d v="2024-05-22T00:00:00"/>
        <d v="2021-11-20T00:00:00"/>
        <d v="2021-07-16T00:00:00"/>
        <d v="2021-04-19T00:00:00"/>
        <d v="2024-01-10T00:00:00"/>
        <d v="2021-10-09T00:00:00"/>
        <d v="2024-11-23T00:00:00"/>
        <d v="2021-07-13T00:00:00"/>
        <d v="2023-12-09T00:00:00"/>
        <d v="2022-11-24T00:00:00"/>
        <d v="2023-02-10T00:00:00"/>
        <d v="2022-01-10T00:00:00"/>
        <d v="2021-10-19T00:00:00"/>
        <d v="2020-09-29T00:00:00"/>
        <d v="2021-10-28T00:00:00"/>
        <d v="2021-12-27T00:00:00"/>
        <d v="2023-08-24T00:00:00"/>
        <d v="2020-10-30T00:00:00"/>
        <d v="2022-10-21T00:00:00"/>
        <d v="2023-09-01T00:00:00"/>
        <d v="2024-01-26T00:00:00"/>
        <d v="2020-07-22T00:00:00"/>
        <d v="2021-01-13T00:00:00"/>
        <d v="2024-11-16T00:00:00"/>
        <d v="2021-04-21T00:00:00"/>
        <d v="2021-08-27T00:00:00"/>
        <d v="2021-09-24T00:00:00"/>
        <d v="2023-11-08T00:00:00"/>
        <d v="2024-08-31T00:00:00"/>
        <d v="2024-10-09T00:00:00"/>
        <d v="2020-11-28T00:00:00"/>
        <d v="2021-10-13T00:00:00"/>
        <d v="2024-08-09T00:00:00"/>
        <d v="2020-12-26T00:00:00"/>
        <d v="2024-09-19T00:00:00"/>
        <d v="2020-10-25T00:00:00"/>
        <d v="2022-01-26T00:00:00"/>
        <d v="2020-03-16T00:00:00"/>
        <d v="2022-10-24T00:00:00"/>
        <d v="2020-05-14T00:00:00"/>
        <d v="2020-06-04T00:00:00"/>
        <d v="2023-06-05T00:00:00"/>
        <d v="2023-04-30T00:00:00"/>
        <d v="2022-04-11T00:00:00"/>
        <d v="2021-01-04T00:00:00"/>
        <d v="2020-11-06T00:00:00"/>
        <d v="2023-11-15T00:00:00"/>
        <d v="2021-10-11T00:00:00"/>
        <d v="2023-02-06T00:00:00"/>
        <d v="2020-05-29T00:00:00"/>
        <d v="2020-12-21T00:00:00"/>
        <d v="2023-11-24T00:00:00"/>
        <d v="2021-10-27T00:00:00"/>
        <d v="2020-11-29T00:00:00"/>
        <d v="2024-02-18T00:00:00"/>
        <d v="2023-01-30T00:00:00"/>
        <d v="2021-12-05T00:00:00"/>
        <d v="2022-04-24T00:00:00"/>
        <d v="2020-02-29T00:00:00"/>
        <d v="2021-08-08T00:00:00"/>
        <d v="2024-08-29T00:00:00"/>
        <d v="2022-11-15T00:00:00"/>
        <d v="2023-11-14T00:00:00"/>
        <d v="2023-12-11T00:00:00"/>
        <d v="2020-08-04T00:00:00"/>
        <d v="2024-05-31T00:00:00"/>
        <d v="2023-10-18T00:00:00"/>
        <d v="2020-06-05T00:00:00"/>
        <d v="2021-11-15T00:00:00"/>
        <d v="2023-08-10T00:00:00"/>
        <d v="2020-04-14T00:00:00"/>
        <d v="2022-01-24T00:00:00"/>
        <d v="2022-05-14T00:00:00"/>
        <d v="2020-11-27T00:00:00"/>
        <d v="2024-11-03T00:00:00"/>
        <d v="2021-03-10T00:00:00"/>
        <d v="2021-04-06T00:00:00"/>
        <d v="2020-11-20T00:00:00"/>
        <d v="2022-11-19T00:00:00"/>
        <d v="2020-04-21T00:00:00"/>
        <d v="2024-04-19T00:00:00"/>
        <d v="2023-07-10T00:00:00"/>
        <d v="2024-08-27T00:00:00"/>
        <d v="2022-09-16T00:00:00"/>
        <d v="2024-12-02T00:00:00"/>
        <d v="2024-02-11T00:00:00"/>
        <d v="2022-01-27T00:00:00"/>
        <d v="2023-02-07T00:00:00"/>
        <d v="2024-05-01T00:00:00"/>
        <d v="2022-02-19T00:00:00"/>
        <d v="2024-12-14T00:00:00"/>
        <d v="2023-01-21T00:00:00"/>
        <d v="2020-11-21T00:00:00"/>
        <d v="2023-12-12T00:00:00"/>
        <d v="2021-08-23T00:00:00"/>
        <d v="2024-02-02T00:00:00"/>
        <d v="2024-04-14T00:00:00"/>
        <d v="2024-05-25T00:00:00"/>
        <d v="2023-07-14T00:00:00"/>
        <d v="2024-05-14T00:00:00"/>
        <d v="2024-04-22T00:00:00"/>
        <d v="2020-06-13T00:00:00"/>
        <d v="2020-01-19T00:00:00"/>
        <d v="2024-05-27T00:00:00"/>
        <d v="2020-10-12T00:00:00"/>
        <d v="2020-09-22T00:00:00"/>
        <d v="2024-12-25T00:00:00"/>
        <d v="2023-03-11T00:00:00"/>
        <d v="2023-04-26T00:00:00"/>
        <d v="2020-08-21T00:00:00"/>
        <d v="2022-05-06T00:00:00"/>
        <d v="2020-12-07T00:00:00"/>
        <d v="2022-05-16T00:00:00"/>
        <d v="2020-07-13T00:00:00"/>
        <d v="2023-01-27T00:00:00"/>
        <d v="2023-10-28T00:00:00"/>
        <d v="2022-07-18T00:00:00"/>
        <d v="2021-04-14T00:00:00"/>
        <d v="2020-09-17T00:00:00"/>
        <d v="2023-01-14T00:00:00"/>
        <d v="2020-06-20T00:00:00"/>
        <d v="2024-12-26T00:00:00"/>
        <d v="2022-10-01T00:00:00"/>
        <d v="2024-03-09T00:00:00"/>
        <d v="2022-02-09T00:00:00"/>
        <d v="2021-01-07T00:00:00"/>
        <d v="2020-03-06T00:00:00"/>
        <d v="2021-06-15T00:00:00"/>
        <d v="2023-09-22T00:00:00"/>
        <d v="2021-10-18T00:00:00"/>
        <d v="2020-10-29T00:00:00"/>
        <d v="2024-11-22T00:00:00"/>
        <d v="2021-04-16T00:00:00"/>
        <d v="2023-07-25T00:00:00"/>
        <d v="2022-01-14T00:00:00"/>
        <d v="2023-05-10T00:00:00"/>
        <d v="2024-10-25T00:00:00"/>
        <d v="2022-05-11T00:00:00"/>
        <d v="2020-08-14T00:00:00"/>
        <d v="2021-04-23T00:00:00"/>
        <d v="2023-06-17T00:00:00"/>
        <d v="2021-05-17T00:00:00"/>
        <d v="2021-03-14T00:00:00"/>
        <d v="2024-08-04T00:00:00"/>
        <d v="2024-08-07T00:00:00"/>
        <d v="2022-11-28T00:00:00"/>
        <d v="2022-02-07T00:00:00"/>
        <d v="2021-02-25T00:00:00"/>
        <d v="2021-02-26T00:00:00"/>
        <d v="2020-04-25T00:00:00"/>
        <d v="2021-06-24T00:00:00"/>
        <d v="2024-06-30T00:00:00"/>
        <d v="2023-07-02T00:00:00"/>
        <d v="2023-08-27T00:00:00"/>
        <d v="2021-04-17T00:00:00"/>
        <d v="2021-11-28T00:00:00"/>
        <d v="2023-07-04T00:00:00"/>
        <d v="2021-09-05T00:00:00"/>
        <d v="2024-06-08T00:00:00"/>
        <d v="2020-03-19T00:00:00"/>
        <d v="2020-08-25T00:00:00"/>
        <d v="2021-12-23T00:00:00"/>
        <d v="2023-12-24T00:00:00"/>
        <d v="2023-03-28T00:00:00"/>
        <d v="2020-02-06T00:00:00"/>
        <d v="2021-02-11T00:00:00"/>
        <d v="2024-01-28T00:00:00"/>
        <d v="2024-01-17T00:00:00"/>
        <d v="2020-12-30T00:00:00"/>
        <d v="2022-10-26T00:00:00"/>
        <d v="2023-02-14T00:00:00"/>
        <d v="2020-05-05T00:00:00"/>
        <d v="2024-08-14T00:00:00"/>
        <d v="2024-10-13T00:00:00"/>
        <d v="2024-12-12T00:00:00"/>
        <d v="2021-02-12T00:00:00"/>
        <d v="2022-05-25T00:00:00"/>
        <d v="2022-07-10T00:00:00"/>
        <d v="2021-12-21T00:00:00"/>
        <d v="2023-12-27T00:00:00"/>
        <d v="2021-12-15T00:00:00"/>
        <d v="2024-01-22T00:00:00"/>
        <d v="2020-12-17T00:00:00"/>
        <d v="2023-05-05T00:00:00"/>
        <d v="2022-03-22T00:00:00"/>
        <d v="2022-07-17T00:00:00"/>
        <d v="2021-10-04T00:00:00"/>
        <d v="2024-07-24T00:00:00"/>
        <d v="2022-10-12T00:00:00"/>
        <d v="2021-03-30T00:00:00"/>
        <d v="2022-03-20T00:00:00"/>
        <d v="2022-12-30T00:00:00"/>
        <d v="2022-08-01T00:00:00"/>
        <d v="2020-08-05T00:00:00"/>
        <d v="2021-09-14T00:00:00"/>
        <d v="2023-10-22T00:00:00"/>
        <d v="2022-08-08T00:00:00"/>
        <d v="2021-12-09T00:00:00"/>
        <d v="2022-06-18T00:00:00"/>
        <d v="2023-08-05T00:00:00"/>
        <d v="2021-05-07T00:00:00"/>
        <d v="2020-03-14T00:00:00"/>
        <d v="2022-08-10T00:00:00"/>
        <d v="2020-07-20T00:00:00"/>
        <d v="2021-08-18T00:00:00"/>
        <d v="2022-01-04T00:00:00"/>
        <d v="2023-07-09T00:00:00"/>
        <d v="2022-03-31T00:00:00"/>
        <d v="2023-03-13T00:00:00"/>
        <d v="2022-03-15T00:00:00"/>
        <d v="2021-08-28T00:00:00"/>
        <d v="2022-06-27T00:00:00"/>
        <d v="2022-02-24T00:00:00"/>
        <d v="2024-09-26T00:00:00"/>
        <d v="2020-06-22T00:00:00"/>
        <d v="2024-10-11T00:00:00"/>
        <d v="2023-12-30T00:00:00"/>
        <d v="2022-10-14T00:00:00"/>
        <d v="2020-12-10T00:00:00"/>
        <d v="2022-07-20T00:00:00"/>
        <d v="2020-04-30T00:00:00"/>
        <d v="2022-01-25T00:00:00"/>
        <d v="2023-08-22T00:00:00"/>
        <d v="2022-04-06T00:00:00"/>
        <d v="2022-08-20T00:00:00"/>
        <d v="2020-01-02T00:00:00"/>
        <d v="2023-11-01T00:00:00"/>
        <d v="2020-08-15T00:00:00"/>
        <d v="2020-03-13T00:00:00"/>
        <d v="2023-10-08T00:00:00"/>
        <d v="2024-01-23T00:00:00"/>
        <d v="2020-05-31T00:00:00"/>
        <d v="2022-04-27T00:00:00"/>
        <d v="2024-08-12T00:00:00"/>
        <d v="2020-05-08T00:00:00"/>
        <d v="2023-07-08T00:00:00"/>
        <d v="2022-07-26T00:00:00"/>
        <d v="2021-01-10T00:00:00"/>
        <d v="2021-07-07T00:00:00"/>
        <d v="2022-07-15T00:00:00"/>
        <d v="2023-08-21T00:00:00"/>
        <d v="2022-05-27T00:00:00"/>
        <d v="2020-04-15T00:00:00"/>
        <d v="2022-05-20T00:00:00"/>
        <d v="2023-10-17T00:00:00"/>
        <d v="2023-09-03T00:00:00"/>
        <d v="2021-10-17T00:00:00"/>
        <d v="2022-10-29T00:00:00"/>
        <d v="2022-07-19T00:00:00"/>
        <d v="2024-04-15T00:00:00"/>
        <d v="2023-06-18T00:00:00"/>
        <d v="2021-11-14T00:00:00"/>
        <d v="2023-03-15T00:00:00"/>
        <d v="2021-05-06T00:00:00"/>
        <d v="2020-11-12T00:00:00"/>
        <d v="2024-02-27T00:00:00"/>
        <d v="2023-01-28T00:00:00"/>
        <d v="2024-09-05T00:00:00"/>
        <d v="2021-07-22T00:00:00"/>
        <d v="2022-10-09T00:00:00"/>
        <d v="2022-12-01T00:00:00"/>
        <d v="2021-01-14T00:00:00"/>
        <d v="2020-12-19T00:00:00"/>
        <d v="2021-12-31T00:00:00"/>
        <d v="2020-12-06T00:00:00"/>
        <d v="2023-12-25T00:00:00"/>
        <d v="2020-04-11T00:00:00"/>
        <d v="2021-08-25T00:00:00"/>
        <d v="2023-10-21T00:00:00"/>
        <d v="2020-01-15T00:00:00"/>
        <d v="2023-07-03T00:00:00"/>
        <d v="2020-02-14T00:00:00"/>
        <d v="2023-09-27T00:00:00"/>
        <d v="2023-12-10T00:00:00"/>
        <d v="2023-07-01T00:00:00"/>
        <d v="2023-03-07T00:00:00"/>
        <d v="2024-07-08T00:00:00"/>
        <d v="2023-09-17T00:00:00"/>
        <d v="2023-10-23T00:00:00"/>
        <d v="2022-09-19T00:00:00"/>
        <d v="2023-10-30T00:00:00"/>
        <d v="2020-07-19T00:00:00"/>
        <d v="2022-03-06T00:00:00"/>
        <d v="2020-04-22T00:00:00"/>
        <d v="2024-06-21T00:00:00"/>
        <d v="2021-11-05T00:00:00"/>
        <d v="2021-09-08T00:00:00"/>
        <d v="2021-03-31T00:00:00"/>
        <d v="2020-02-11T00:00:00"/>
        <d v="2020-01-21T00:00:00"/>
        <d v="2024-07-22T00:00:00"/>
        <d v="2022-06-21T00:00:00"/>
        <d v="2022-04-19T00:00:00"/>
        <d v="2021-06-17T00:00:00"/>
        <d v="2024-01-29T00:00:00"/>
        <d v="2021-06-09T00:00:00"/>
        <d v="2024-03-25T00:00:00"/>
        <d v="2020-06-16T00:00:00"/>
        <d v="2021-08-04T00:00:00"/>
        <d v="2023-11-28T00:00:00"/>
        <d v="2022-03-16T00:00:00"/>
        <d v="2021-11-16T00:00:00"/>
        <d v="2022-08-29T00:00:00"/>
        <d v="2020-07-14T00:00:00"/>
        <d v="2024-03-11T00:00:00"/>
        <d v="2024-03-28T00:00:00"/>
        <d v="2022-06-23T00:00:00"/>
        <d v="2023-02-19T00:00:00"/>
        <d v="2023-11-02T00:00:00"/>
        <d v="2020-10-13T00:00:00"/>
        <d v="2024-07-15T00:00:00"/>
        <d v="2022-09-02T00:00:00"/>
        <d v="2021-02-01T00:00:00"/>
        <d v="2020-10-06T00:00:00"/>
        <d v="2021-09-17T00:00:00"/>
        <d v="2021-05-21T00:00:00"/>
        <d v="2022-06-30T00:00:00"/>
        <d v="2023-06-25T00:00:00"/>
        <d v="2023-08-07T00:00:00"/>
        <d v="2024-09-30T00:00:00"/>
        <d v="2023-11-29T00:00:00"/>
        <d v="2023-10-16T00:00:00"/>
        <d v="2022-07-02T00:00:00"/>
        <d v="2020-08-17T00:00:00"/>
        <d v="2023-09-09T00:00:00"/>
        <d v="2022-03-01T00:00:00"/>
        <d v="2024-03-22T00:00:00"/>
        <d v="2022-05-31T00:00:00"/>
        <d v="2022-09-09T00:00:00"/>
        <d v="2023-10-26T00:00:00"/>
        <d v="2021-12-03T00:00:00"/>
        <d v="2022-12-27T00:00:00"/>
        <d v="2020-06-02T00:00:00"/>
        <d v="2022-08-07T00:00:00"/>
        <d v="2020-06-11T00:00:00"/>
        <d v="2020-06-17T00:00:00"/>
        <d v="2024-04-12T00:00:00"/>
        <d v="2022-12-02T00:00:00"/>
        <d v="2021-10-08T00:00:00"/>
        <d v="2023-10-20T00:00:00"/>
        <d v="2021-10-10T00:00:00"/>
        <d v="2021-07-17T00:00:00"/>
        <d v="2023-08-13T00:00:00"/>
        <d v="2024-11-13T00:00:00"/>
        <d v="2024-10-23T00:00:00"/>
        <d v="2020-09-05T00:00:00"/>
        <d v="2021-05-04T00:00:00"/>
        <d v="2021-05-02T00:00:00"/>
        <d v="2023-10-29T00:00:00"/>
        <d v="2023-11-30T00:00:00"/>
        <d v="2021-12-16T00:00:00"/>
        <d v="2023-05-21T00:00:00"/>
        <d v="2020-04-02T00:00:00"/>
        <d v="2024-12-04T00:00:00"/>
        <d v="2020-05-03T00:00:00"/>
        <d v="2022-10-31T00:00:00"/>
        <d v="2024-02-16T00:00:00"/>
        <d v="2020-02-25T00:00:00"/>
        <d v="2021-01-31T00:00:00"/>
        <d v="2020-01-22T00:00:00"/>
        <d v="2022-03-26T00:00:00"/>
        <d v="2022-01-30T00:00:00"/>
        <d v="2022-12-11T00:00:00"/>
        <d v="2020-01-06T00:00:00"/>
        <d v="2021-10-15T00:00:00"/>
        <d v="2020-03-04T00:00:00"/>
        <d v="2023-07-22T00:00:00"/>
        <d v="2022-12-12T00:00:00"/>
        <d v="2023-05-11T00:00:00"/>
        <d v="2022-08-22T00:00:00"/>
        <d v="2024-11-11T00:00:00"/>
        <d v="2024-10-26T00:00:00"/>
        <d v="2024-04-28T00:00:00"/>
        <d v="2024-04-04T00:00:00"/>
        <d v="2023-11-04T00:00:00"/>
        <d v="2023-02-21T00:00:00"/>
        <d v="2023-08-31T00:00:00"/>
        <d v="2022-10-25T00:00:00"/>
        <d v="2020-08-22T00:00:00"/>
        <d v="2021-06-05T00:00:00"/>
        <d v="2022-03-28T00:00:00"/>
        <d v="2022-10-11T00:00:00"/>
        <d v="2024-01-14T00:00:00"/>
        <d v="2023-09-07T00:00:00"/>
        <d v="2023-11-26T00:00:00"/>
        <d v="2020-10-23T00:00:00"/>
        <d v="2020-10-21T00:00:00"/>
        <d v="2023-06-19T00:00:00"/>
        <d v="2023-12-07T00:00:00"/>
        <d v="2023-08-15T00:00:00"/>
        <d v="2021-07-23T00:00:00"/>
        <d v="2023-12-17T00:00:00"/>
        <d v="2022-08-21T00:00:00"/>
        <d v="2022-01-12T00:00:00"/>
        <d v="2020-11-15T00:00:00"/>
        <d v="2022-03-05T00:00:00"/>
        <d v="2024-09-28T00:00:00"/>
        <d v="2021-01-29T00:00:00"/>
        <d v="2023-05-15T00:00:00"/>
        <d v="2023-06-01T00:00:00"/>
        <d v="2021-07-06T00:00:00"/>
        <d v="2020-06-09T00:00:00"/>
        <d v="2024-08-06T00:00:00"/>
        <d v="2022-07-14T00:00:00"/>
        <d v="2021-02-15T00:00:00"/>
        <d v="2020-02-02T00:00:00"/>
        <d v="2022-10-06T00:00:00"/>
        <d v="2022-06-20T00:00:00"/>
        <d v="2023-06-08T00:00:00"/>
        <d v="2022-06-25T00:00:00"/>
        <d v="2023-12-28T00:00:00"/>
        <d v="2024-03-12T00:00:00"/>
        <d v="2023-02-16T00:00:00"/>
        <d v="2022-02-15T00:00:00"/>
        <d v="2021-01-27T00:00:00"/>
        <d v="2024-08-15T00:00:00"/>
        <d v="2021-10-24T00:00:00"/>
        <d v="2023-09-29T00:00:00"/>
        <d v="2024-02-20T00:00:00"/>
        <d v="2020-09-21T00:00:00"/>
        <d v="2021-11-29T00:00:00"/>
        <d v="2024-10-16T00:00:00"/>
        <d v="2024-08-21T00:00:00"/>
        <d v="2020-05-10T00:00:00"/>
        <d v="2022-05-28T00:00:00"/>
        <d v="2020-10-17T00:00:00"/>
        <d v="2024-04-06T00:00:00"/>
        <d v="2024-04-16T00:00:00"/>
        <d v="2023-05-02T00:00:00"/>
        <d v="2023-04-07T00:00:00"/>
        <d v="2021-10-22T00:00:00"/>
        <d v="2023-07-07T00:00:00"/>
        <d v="2021-03-27T00:00:00"/>
        <d v="2022-07-23T00:00:00"/>
        <d v="2024-06-12T00:00:00"/>
        <d v="2022-04-22T00:00:00"/>
        <d v="2020-10-10T00:00:00"/>
        <d v="2023-08-12T00:00:00"/>
        <d v="2020-09-26T00:00:00"/>
        <d v="2022-10-28T00:00:00"/>
        <d v="2021-01-16T00:00:00"/>
        <d v="2024-03-13T00:00:00"/>
        <d v="2022-05-05T00:00:00"/>
        <d v="2022-05-24T00:00:00"/>
        <d v="2023-09-28T00:00:00"/>
        <d v="2023-01-07T00:00:00"/>
        <d v="2021-02-10T00:00:00"/>
        <d v="2023-07-17T00:00:00"/>
        <d v="2022-06-17T00:00:00"/>
        <d v="2021-09-29T00:00:00"/>
        <d v="2024-08-10T00:00:00"/>
        <d v="2022-10-08T00:00:00"/>
        <d v="2022-04-13T00:00:00"/>
        <d v="2023-10-27T00:00:00"/>
        <d v="2024-02-15T00:00:00"/>
        <d v="2021-02-20T00:00:00"/>
        <d v="2024-08-24T00:00:00"/>
        <d v="2024-06-28T00:00:00"/>
        <d v="2023-03-31T00:00:00"/>
        <d v="2022-06-08T00:00:00"/>
        <d v="2024-01-09T00:00:00"/>
        <d v="2023-02-02T00:00:00"/>
        <d v="2021-08-12T00:00:00"/>
        <d v="2021-03-17T00:00:00"/>
        <d v="2023-09-08T00:00:00"/>
        <d v="2024-03-14T00:00:00"/>
        <d v="2022-06-13T00:00:00"/>
        <d v="2024-09-08T00:00:00"/>
        <d v="2023-03-24T00:00:00"/>
        <d v="2021-05-15T00:00:00"/>
        <d v="2023-05-27T00:00:00"/>
        <d v="2024-02-26T00:00:00"/>
        <d v="2021-08-24T00:00:00"/>
        <d v="2020-09-10T00:00:00"/>
        <d v="2022-06-09T00:00:00"/>
        <d v="2023-06-09T00:00:00"/>
        <d v="2023-04-15T00:00:00"/>
        <d v="2022-09-30T00:00:00"/>
        <d v="2023-05-09T00:00:00"/>
        <d v="2024-05-29T00:00:00"/>
        <d v="2023-03-05T00:00:00"/>
        <d v="2024-02-14T00:00:00"/>
        <d v="2021-05-23T00:00:00"/>
        <d v="2024-02-25T00:00:00"/>
        <d v="2024-06-15T00:00:00"/>
        <d v="2023-12-05T00:00:00"/>
        <d v="2023-01-16T00:00:00"/>
        <d v="2024-09-02T00:00:00"/>
        <d v="2023-03-22T00:00:00"/>
        <d v="2023-08-23T00:00:00"/>
        <d v="2020-04-13T00:00:00"/>
        <d v="2022-02-04T00:00:00"/>
        <d v="2020-02-19T00:00:00"/>
        <d v="2021-05-26T00:00:00"/>
        <d v="2020-09-02T00:00:00"/>
        <d v="2024-08-26T00:00:00"/>
        <d v="2022-06-01T00:00:00"/>
        <d v="2020-05-27T00:00:00"/>
        <d v="2020-06-19T00:00:00"/>
        <d v="2024-11-15T00:00:00"/>
        <d v="2021-12-12T00:00:00"/>
        <d v="2022-05-01T00:00:00"/>
        <d v="2023-11-17T00:00:00"/>
        <d v="2021-09-02T00:00:00"/>
        <d v="2022-02-12T00:00:00"/>
        <d v="2023-02-04T00:00:00"/>
        <d v="2020-04-09T00:00:00"/>
        <d v="2024-08-05T00:00:00"/>
        <d v="2024-09-14T00:00:00"/>
        <d v="2022-12-31T00:00:00"/>
        <d v="2024-12-30T00:00:00"/>
        <d v="2021-07-28T00:00:00"/>
        <d v="2024-10-07T00:00:00"/>
        <d v="2022-10-20T00:00:00"/>
        <d v="2022-01-02T00:00:00"/>
        <d v="2022-12-14T00:00:00"/>
        <d v="2021-11-02T00:00:00"/>
        <d v="2020-03-22T00:00:00"/>
        <d v="2023-12-19T00:00:00"/>
        <d v="2020-03-01T00:00:00"/>
        <d v="2024-05-11T00:00:00"/>
        <d v="2023-07-15T00:00:00"/>
        <d v="2024-02-28T00:00:00"/>
        <d v="2023-11-12T00:00:00"/>
        <d v="2023-09-26T00:00:00"/>
        <d v="2021-08-14T00:00:00"/>
        <d v="2023-06-14T00:00:00"/>
        <d v="2024-11-21T00:00:00"/>
        <d v="2024-07-12T00:00:00"/>
        <d v="2020-05-11T00:00:00"/>
        <d v="2021-12-28T00:00:00"/>
        <d v="2020-03-28T00:00:00"/>
        <d v="2024-09-12T00:00:00"/>
        <d v="2021-05-22T00:00:00"/>
        <d v="2020-04-07T00:00:00"/>
        <d v="2021-09-10T00:00:00"/>
        <d v="2023-03-06T00:00:00"/>
        <d v="2020-09-15T00:00:00"/>
        <d v="2024-06-04T00:00:00"/>
        <d v="2022-02-14T00:00:00"/>
        <d v="2020-01-01T00:00:00"/>
        <d v="2020-05-30T00:00:00"/>
        <d v="2022-12-03T00:00:00"/>
        <d v="2023-05-16T00:00:00"/>
        <d v="2022-11-04T00:00:00"/>
        <d v="2021-08-26T00:00:00"/>
        <d v="2023-08-09T00:00:00"/>
        <d v="2020-09-11T00:00:00"/>
        <d v="2021-03-15T00:00:00"/>
        <d v="2024-01-31T00:00:00"/>
        <d v="2020-11-01T00:00:00"/>
        <d v="2024-06-14T00:00:00"/>
        <d v="2023-08-30T00:00:00"/>
        <d v="2020-05-15T00:00:00"/>
        <d v="2022-02-23T00:00:00"/>
        <d v="2021-02-22T00:00:00"/>
        <d v="2023-07-11T00:00:00"/>
        <d v="2024-03-26T00:00:00"/>
        <d v="2022-07-07T00:00:00"/>
        <d v="2021-09-11T00:00:00"/>
        <d v="2024-06-02T00:00:00"/>
        <d v="2021-07-05T00:00:00"/>
        <d v="2024-09-10T00:00:00"/>
        <d v="2023-12-26T00:00:00"/>
        <d v="2021-01-24T00:00:00"/>
        <d v="2020-07-07T00:00:00"/>
        <d v="2023-04-28T00:00:00"/>
        <d v="2024-01-12T00:00:00"/>
        <d v="2023-06-10T00:00:00"/>
        <d v="2022-02-01T00:00:00"/>
        <d v="2024-06-17T00:00:00"/>
        <d v="2024-08-20T00:00:00"/>
        <d v="2021-05-16T00:00:00"/>
        <d v="2022-01-29T00:00:00"/>
      </sharedItems>
    </cacheField>
    <cacheField name="Order_Year" numFmtId="0">
      <sharedItems containsSemiMixedTypes="0" containsString="0" containsNumber="1" containsInteger="1" minValue="2020" maxValue="2024" count="5">
        <n v="2024"/>
        <n v="2023"/>
        <n v="2021"/>
        <n v="2020"/>
        <n v="2022"/>
      </sharedItems>
    </cacheField>
    <cacheField name="Order_Month_No" numFmtId="0">
      <sharedItems containsSemiMixedTypes="0" containsString="0" containsNumber="1" containsInteger="1" minValue="1" maxValue="12" count="12">
        <n v="3"/>
        <n v="7"/>
        <n v="4"/>
        <n v="8"/>
        <n v="12"/>
        <n v="10"/>
        <n v="2"/>
        <n v="11"/>
        <n v="1"/>
        <n v="9"/>
        <n v="6"/>
        <n v="5"/>
      </sharedItems>
    </cacheField>
    <cacheField name="Order_Month" numFmtId="0">
      <sharedItems count="12">
        <s v="March"/>
        <s v="July"/>
        <s v="April"/>
        <s v="August"/>
        <s v="December"/>
        <s v="October"/>
        <s v="February"/>
        <s v="November"/>
        <s v="January"/>
        <s v="September"/>
        <s v="June"/>
        <s v="May"/>
      </sharedItems>
    </cacheField>
    <cacheField name="Ship_Date" numFmtId="182">
      <sharedItems containsSemiMixedTypes="0" containsString="0" containsNonDate="0" containsDate="1" minDate="2020-01-05T00:00:00" maxDate="2025-01-06T00:00:00" count="804">
        <d v="2024-04-01T00:00:00"/>
        <d v="2023-08-07T00:00:00"/>
        <d v="2021-04-15T00:00:00"/>
        <d v="2020-09-03T00:00:00"/>
        <d v="2022-04-12T00:00:00"/>
        <d v="2024-12-12T00:00:00"/>
        <d v="2020-10-10T00:00:00"/>
        <d v="2024-10-07T00:00:00"/>
        <d v="2022-08-31T00:00:00"/>
        <d v="2020-03-01T00:00:00"/>
        <d v="2024-11-06T00:00:00"/>
        <d v="2022-01-13T00:00:00"/>
        <d v="2023-09-21T00:00:00"/>
        <d v="2022-11-16T00:00:00"/>
        <d v="2021-06-15T00:00:00"/>
        <d v="2021-02-28T00:00:00"/>
        <d v="2020-04-20T00:00:00"/>
        <d v="2024-10-03T00:00:00"/>
        <d v="2024-11-10T00:00:00"/>
        <d v="2021-08-23T00:00:00"/>
        <d v="2024-07-01T00:00:00"/>
        <d v="2022-02-12T00:00:00"/>
        <d v="2024-01-06T00:00:00"/>
        <d v="2022-04-28T00:00:00"/>
        <d v="2021-03-26T00:00:00"/>
        <d v="2022-12-15T00:00:00"/>
        <d v="2021-05-31T00:00:00"/>
        <d v="2022-01-26T00:00:00"/>
        <d v="2022-02-08T00:00:00"/>
        <d v="2021-02-17T00:00:00"/>
        <d v="2020-01-29T00:00:00"/>
        <d v="2024-11-25T00:00:00"/>
        <d v="2022-03-01T00:00:00"/>
        <d v="2024-08-02T00:00:00"/>
        <d v="2021-07-28T00:00:00"/>
        <d v="2024-08-18T00:00:00"/>
        <d v="2024-11-30T00:00:00"/>
        <d v="2021-03-29T00:00:00"/>
        <d v="2022-12-24T00:00:00"/>
        <d v="2024-07-24T00:00:00"/>
        <d v="2024-05-06T00:00:00"/>
        <d v="2022-04-23T00:00:00"/>
        <d v="2022-01-23T00:00:00"/>
        <d v="2021-08-05T00:00:00"/>
        <d v="2022-02-04T00:00:00"/>
        <d v="2022-09-20T00:00:00"/>
        <d v="2024-01-04T00:00:00"/>
        <d v="2020-07-25T00:00:00"/>
        <d v="2023-10-14T00:00:00"/>
        <d v="2024-05-01T00:00:00"/>
        <d v="2022-02-10T00:00:00"/>
        <d v="2022-12-25T00:00:00"/>
        <d v="2021-11-28T00:00:00"/>
        <d v="2021-09-28T00:00:00"/>
        <d v="2022-05-16T00:00:00"/>
        <d v="2020-11-08T00:00:00"/>
        <d v="2020-10-21T00:00:00"/>
        <d v="2022-11-01T00:00:00"/>
        <d v="2023-02-04T00:00:00"/>
        <d v="2022-08-07T00:00:00"/>
        <d v="2024-10-31T00:00:00"/>
        <d v="2021-02-11T00:00:00"/>
        <d v="2021-05-01T00:00:00"/>
        <d v="2023-06-19T00:00:00"/>
        <d v="2021-07-01T00:00:00"/>
        <d v="2020-04-26T00:00:00"/>
        <d v="2021-10-13T00:00:00"/>
        <d v="2020-08-05T00:00:00"/>
        <d v="2022-05-05T00:00:00"/>
        <d v="2023-02-16T00:00:00"/>
        <d v="2020-07-30T00:00:00"/>
        <d v="2020-01-17T00:00:00"/>
        <d v="2024-07-29T00:00:00"/>
        <d v="2020-06-25T00:00:00"/>
        <d v="2020-07-16T00:00:00"/>
        <d v="2021-06-25T00:00:00"/>
        <d v="2020-05-29T00:00:00"/>
        <d v="2024-03-06T00:00:00"/>
        <d v="2022-03-23T00:00:00"/>
        <d v="2024-07-08T00:00:00"/>
        <d v="2020-06-14T00:00:00"/>
        <d v="2021-04-09T00:00:00"/>
        <d v="2021-06-27T00:00:00"/>
        <d v="2023-04-01T00:00:00"/>
        <d v="2020-05-21T00:00:00"/>
        <d v="2022-09-19T00:00:00"/>
        <d v="2024-11-11T00:00:00"/>
        <d v="2021-09-19T00:00:00"/>
        <d v="2022-05-25T00:00:00"/>
        <d v="2023-12-05T00:00:00"/>
        <d v="2024-11-21T00:00:00"/>
        <d v="2023-10-11T00:00:00"/>
        <d v="2020-07-21T00:00:00"/>
        <d v="2024-11-01T00:00:00"/>
        <d v="2022-02-22T00:00:00"/>
        <d v="2022-11-05T00:00:00"/>
        <d v="2024-07-30T00:00:00"/>
        <d v="2023-05-29T00:00:00"/>
        <d v="2020-07-27T00:00:00"/>
        <d v="2024-01-29T00:00:00"/>
        <d v="2020-12-28T00:00:00"/>
        <d v="2024-07-03T00:00:00"/>
        <d v="2024-04-25T00:00:00"/>
        <d v="2023-04-09T00:00:00"/>
        <d v="2021-03-16T00:00:00"/>
        <d v="2021-01-28T00:00:00"/>
        <d v="2023-01-20T00:00:00"/>
        <d v="2021-12-31T00:00:00"/>
        <d v="2021-04-29T00:00:00"/>
        <d v="2022-10-07T00:00:00"/>
        <d v="2023-01-13T00:00:00"/>
        <d v="2021-12-22T00:00:00"/>
        <d v="2024-06-24T00:00:00"/>
        <d v="2023-02-05T00:00:00"/>
        <d v="2020-10-01T00:00:00"/>
        <d v="2020-04-16T00:00:00"/>
        <d v="2021-04-23T00:00:00"/>
        <d v="2023-05-19T00:00:00"/>
        <d v="2023-06-02T00:00:00"/>
        <d v="2024-09-30T00:00:00"/>
        <d v="2020-08-31T00:00:00"/>
        <d v="2021-03-11T00:00:00"/>
        <d v="2023-07-01T00:00:00"/>
        <d v="2023-06-05T00:00:00"/>
        <d v="2021-11-22T00:00:00"/>
        <d v="2022-05-20T00:00:00"/>
        <d v="2022-12-10T00:00:00"/>
        <d v="2022-04-24T00:00:00"/>
        <d v="2020-08-06T00:00:00"/>
        <d v="2024-11-07T00:00:00"/>
        <d v="2023-06-23T00:00:00"/>
        <d v="2024-04-02T00:00:00"/>
        <d v="2024-09-11T00:00:00"/>
        <d v="2022-12-02T00:00:00"/>
        <d v="2021-06-23T00:00:00"/>
        <d v="2020-12-09T00:00:00"/>
        <d v="2024-04-16T00:00:00"/>
        <d v="2024-05-21T00:00:00"/>
        <d v="2024-07-07T00:00:00"/>
        <d v="2024-12-21T00:00:00"/>
        <d v="2024-12-11T00:00:00"/>
        <d v="2022-10-05T00:00:00"/>
        <d v="2022-07-14T00:00:00"/>
        <d v="2020-07-07T00:00:00"/>
        <d v="2024-04-21T00:00:00"/>
        <d v="2021-10-19T00:00:00"/>
        <d v="2021-04-12T00:00:00"/>
        <d v="2024-09-27T00:00:00"/>
        <d v="2020-04-27T00:00:00"/>
        <d v="2023-10-17T00:00:00"/>
        <d v="2020-03-15T00:00:00"/>
        <d v="2023-03-18T00:00:00"/>
        <d v="2022-04-17T00:00:00"/>
        <d v="2022-03-28T00:00:00"/>
        <d v="2023-11-22T00:00:00"/>
        <d v="2020-08-27T00:00:00"/>
        <d v="2021-08-07T00:00:00"/>
        <d v="2023-04-07T00:00:00"/>
        <d v="2021-12-11T00:00:00"/>
        <d v="2020-09-10T00:00:00"/>
        <d v="2020-01-05T00:00:00"/>
        <d v="2020-05-25T00:00:00"/>
        <d v="2024-07-20T00:00:00"/>
        <d v="2021-06-11T00:00:00"/>
        <d v="2022-06-06T00:00:00"/>
        <d v="2024-11-15T00:00:00"/>
        <d v="2024-05-22T00:00:00"/>
        <d v="2024-02-13T00:00:00"/>
        <d v="2020-06-28T00:00:00"/>
        <d v="2021-12-01T00:00:00"/>
        <d v="2024-09-16T00:00:00"/>
        <d v="2024-08-05T00:00:00"/>
        <d v="2020-08-16T00:00:00"/>
        <d v="2020-08-13T00:00:00"/>
        <d v="2023-03-21T00:00:00"/>
        <d v="2023-03-02T00:00:00"/>
        <d v="2020-07-18T00:00:00"/>
        <d v="2022-09-03T00:00:00"/>
        <d v="2023-04-20T00:00:00"/>
        <d v="2023-04-18T00:00:00"/>
        <d v="2022-10-03T00:00:00"/>
        <d v="2021-01-24T00:00:00"/>
        <d v="2020-01-16T00:00:00"/>
        <d v="2024-05-02T00:00:00"/>
        <d v="2022-12-27T00:00:00"/>
        <d v="2024-10-09T00:00:00"/>
        <d v="2020-03-19T00:00:00"/>
        <d v="2022-11-08T00:00:00"/>
        <d v="2023-04-23T00:00:00"/>
        <d v="2020-12-31T00:00:00"/>
        <d v="2023-04-08T00:00:00"/>
        <d v="2022-09-27T00:00:00"/>
        <d v="2024-05-17T00:00:00"/>
        <d v="2023-04-15T00:00:00"/>
        <d v="2023-12-18T00:00:00"/>
        <d v="2023-11-28T00:00:00"/>
        <d v="2023-11-11T00:00:00"/>
        <d v="2024-12-13T00:00:00"/>
        <d v="2020-08-22T00:00:00"/>
        <d v="2021-07-15T00:00:00"/>
        <d v="2024-10-21T00:00:00"/>
        <d v="2023-05-02T00:00:00"/>
        <d v="2022-08-06T00:00:00"/>
        <d v="2022-09-26T00:00:00"/>
        <d v="2022-07-01T00:00:00"/>
        <d v="2022-12-09T00:00:00"/>
        <d v="2021-03-28T00:00:00"/>
        <d v="2024-11-13T00:00:00"/>
        <d v="2021-09-13T00:00:00"/>
        <d v="2022-03-13T00:00:00"/>
        <d v="2020-05-05T00:00:00"/>
        <d v="2020-02-04T00:00:00"/>
        <d v="2020-09-06T00:00:00"/>
        <d v="2022-11-25T00:00:00"/>
        <d v="2021-10-27T00:00:00"/>
        <d v="2022-01-09T00:00:00"/>
        <d v="2022-08-08T00:00:00"/>
        <d v="2024-04-24T00:00:00"/>
        <d v="2022-07-04T00:00:00"/>
        <d v="2023-03-25T00:00:00"/>
        <d v="2020-06-12T00:00:00"/>
        <d v="2024-02-05T00:00:00"/>
        <d v="2023-12-22T00:00:00"/>
        <d v="2022-07-13T00:00:00"/>
        <d v="2023-12-30T00:00:00"/>
        <d v="2020-05-16T00:00:00"/>
        <d v="2024-05-26T00:00:00"/>
        <d v="2022-01-25T00:00:00"/>
        <d v="2021-10-28T00:00:00"/>
        <d v="2021-11-23T00:00:00"/>
        <d v="2021-07-19T00:00:00"/>
        <d v="2021-04-25T00:00:00"/>
        <d v="2024-01-11T00:00:00"/>
        <d v="2021-10-11T00:00:00"/>
        <d v="2024-11-29T00:00:00"/>
        <d v="2023-12-13T00:00:00"/>
        <d v="2022-11-28T00:00:00"/>
        <d v="2023-02-17T00:00:00"/>
        <d v="2022-01-12T00:00:00"/>
        <d v="2021-10-22T00:00:00"/>
        <d v="2020-10-02T00:00:00"/>
        <d v="2021-10-31T00:00:00"/>
        <d v="2022-01-02T00:00:00"/>
        <d v="2023-08-26T00:00:00"/>
        <d v="2024-01-02T00:00:00"/>
        <d v="2020-10-31T00:00:00"/>
        <d v="2022-10-23T00:00:00"/>
        <d v="2024-03-31T00:00:00"/>
        <d v="2023-09-07T00:00:00"/>
        <d v="2024-01-31T00:00:00"/>
        <d v="2021-01-16T00:00:00"/>
        <d v="2024-11-20T00:00:00"/>
        <d v="2021-08-31T00:00:00"/>
        <d v="2021-09-26T00:00:00"/>
        <d v="2023-11-10T00:00:00"/>
        <d v="2020-08-01T00:00:00"/>
        <d v="2024-09-06T00:00:00"/>
        <d v="2022-05-24T00:00:00"/>
        <d v="2022-11-20T00:00:00"/>
        <d v="2024-10-16T00:00:00"/>
        <d v="2020-12-04T00:00:00"/>
        <d v="2021-10-20T00:00:00"/>
        <d v="2024-08-15T00:00:00"/>
        <d v="2024-09-22T00:00:00"/>
        <d v="2020-11-01T00:00:00"/>
        <d v="2022-01-27T00:00:00"/>
        <d v="2022-10-27T00:00:00"/>
        <d v="2020-05-18T00:00:00"/>
        <d v="2020-06-09T00:00:00"/>
        <d v="2023-06-07T00:00:00"/>
        <d v="2022-04-13T00:00:00"/>
        <d v="2021-01-05T00:00:00"/>
        <d v="2020-11-10T00:00:00"/>
        <d v="2023-11-16T00:00:00"/>
        <d v="2021-10-17T00:00:00"/>
        <d v="2023-02-11T00:00:00"/>
        <d v="2020-06-04T00:00:00"/>
        <d v="2020-12-22T00:00:00"/>
        <d v="2023-11-30T00:00:00"/>
        <d v="2021-11-02T00:00:00"/>
        <d v="2020-11-30T00:00:00"/>
        <d v="2024-02-22T00:00:00"/>
        <d v="2021-12-09T00:00:00"/>
        <d v="2022-04-27T00:00:00"/>
        <d v="2020-03-04T00:00:00"/>
        <d v="2021-08-15T00:00:00"/>
        <d v="2020-06-08T00:00:00"/>
        <d v="2024-09-04T00:00:00"/>
        <d v="2022-11-19T00:00:00"/>
        <d v="2023-11-15T00:00:00"/>
        <d v="2023-12-15T00:00:00"/>
        <d v="2024-06-02T00:00:00"/>
        <d v="2023-10-24T00:00:00"/>
        <d v="2020-06-06T00:00:00"/>
        <d v="2021-11-18T00:00:00"/>
        <d v="2023-08-12T00:00:00"/>
        <d v="2020-04-21T00:00:00"/>
        <d v="2024-11-09T00:00:00"/>
        <d v="2021-03-12T00:00:00"/>
        <d v="2021-04-08T00:00:00"/>
        <d v="2020-11-26T00:00:00"/>
        <d v="2022-11-21T00:00:00"/>
        <d v="2023-07-13T00:00:00"/>
        <d v="2024-08-29T00:00:00"/>
        <d v="2024-12-05T00:00:00"/>
        <d v="2022-02-03T00:00:00"/>
        <d v="2020-09-09T00:00:00"/>
        <d v="2021-10-21T00:00:00"/>
        <d v="2023-02-10T00:00:00"/>
        <d v="2024-05-08T00:00:00"/>
        <d v="2022-02-26T00:00:00"/>
        <d v="2024-12-16T00:00:00"/>
        <d v="2023-01-23T00:00:00"/>
        <d v="2021-08-25T00:00:00"/>
        <d v="2020-11-24T00:00:00"/>
        <d v="2021-07-18T00:00:00"/>
        <d v="2024-02-04T00:00:00"/>
        <d v="2024-06-01T00:00:00"/>
        <d v="2023-07-21T00:00:00"/>
        <d v="2024-05-15T00:00:00"/>
        <d v="2024-04-26T00:00:00"/>
        <d v="2020-06-20T00:00:00"/>
        <d v="2022-05-08T00:00:00"/>
        <d v="2021-12-07T00:00:00"/>
        <d v="2020-01-21T00:00:00"/>
        <d v="2020-07-11T00:00:00"/>
        <d v="2024-05-31T00:00:00"/>
        <d v="2020-10-18T00:00:00"/>
        <d v="2020-09-27T00:00:00"/>
        <d v="2024-12-26T00:00:00"/>
        <d v="2024-09-14T00:00:00"/>
        <d v="2023-05-01T00:00:00"/>
        <d v="2020-08-24T00:00:00"/>
        <d v="2022-05-12T00:00:00"/>
        <d v="2022-05-01T00:00:00"/>
        <d v="2022-05-18T00:00:00"/>
        <d v="2023-04-30T00:00:00"/>
        <d v="2023-01-31T00:00:00"/>
        <d v="2023-10-31T00:00:00"/>
        <d v="2022-07-23T00:00:00"/>
        <d v="2021-04-21T00:00:00"/>
        <d v="2020-09-19T00:00:00"/>
        <d v="2023-01-17T00:00:00"/>
        <d v="2022-10-01T00:00:00"/>
        <d v="2020-06-23T00:00:00"/>
        <d v="2024-12-31T00:00:00"/>
        <d v="2024-03-13T00:00:00"/>
        <d v="2022-02-16T00:00:00"/>
        <d v="2021-01-14T00:00:00"/>
        <d v="2020-03-12T00:00:00"/>
        <d v="2021-06-20T00:00:00"/>
        <d v="2023-09-29T00:00:00"/>
        <d v="2021-10-23T00:00:00"/>
        <d v="2020-11-04T00:00:00"/>
        <d v="2024-11-28T00:00:00"/>
        <d v="2021-04-20T00:00:00"/>
        <d v="2023-09-02T00:00:00"/>
        <d v="2023-07-31T00:00:00"/>
        <d v="2022-01-17T00:00:00"/>
        <d v="2023-05-11T00:00:00"/>
        <d v="2021-01-11T00:00:00"/>
        <d v="2024-10-26T00:00:00"/>
        <d v="2023-05-18T00:00:00"/>
        <d v="2020-08-20T00:00:00"/>
        <d v="2021-10-18T00:00:00"/>
        <d v="2021-04-27T00:00:00"/>
        <d v="2023-06-22T00:00:00"/>
        <d v="2023-10-23T00:00:00"/>
        <d v="2021-05-21T00:00:00"/>
        <d v="2021-03-17T00:00:00"/>
        <d v="2024-08-06T00:00:00"/>
        <d v="2024-08-14T00:00:00"/>
        <d v="2022-12-05T00:00:00"/>
        <d v="2022-02-11T00:00:00"/>
        <d v="2021-03-04T00:00:00"/>
        <d v="2024-07-06T00:00:00"/>
        <d v="2023-07-09T00:00:00"/>
        <d v="2023-09-03T00:00:00"/>
        <d v="2021-12-04T00:00:00"/>
        <d v="2023-07-07T00:00:00"/>
        <d v="2021-09-09T00:00:00"/>
        <d v="2024-06-09T00:00:00"/>
        <d v="2020-03-23T00:00:00"/>
        <d v="2020-09-01T00:00:00"/>
        <d v="2021-12-30T00:00:00"/>
        <d v="2023-12-27T00:00:00"/>
        <d v="2023-04-03T00:00:00"/>
        <d v="2024-12-06T00:00:00"/>
        <d v="2020-02-12T00:00:00"/>
        <d v="2024-02-03T00:00:00"/>
        <d v="2024-01-23T00:00:00"/>
        <d v="2021-01-03T00:00:00"/>
        <d v="2024-04-15T00:00:00"/>
        <d v="2021-04-14T00:00:00"/>
        <d v="2021-07-07T00:00:00"/>
        <d v="2022-03-14T00:00:00"/>
        <d v="2023-02-15T00:00:00"/>
        <d v="2020-05-09T00:00:00"/>
        <d v="2024-10-11T00:00:00"/>
        <d v="2024-08-20T00:00:00"/>
        <d v="2024-10-14T00:00:00"/>
        <d v="2021-02-18T00:00:00"/>
        <d v="2022-06-01T00:00:00"/>
        <d v="2021-12-28T00:00:00"/>
        <d v="2023-12-31T00:00:00"/>
        <d v="2021-12-19T00:00:00"/>
        <d v="2024-08-11T00:00:00"/>
        <d v="2022-12-13T00:00:00"/>
        <d v="2020-12-20T00:00:00"/>
        <d v="2023-05-06T00:00:00"/>
        <d v="2024-06-23T00:00:00"/>
        <d v="2022-03-26T00:00:00"/>
        <d v="2024-04-27T00:00:00"/>
        <d v="2022-07-19T00:00:00"/>
        <d v="2024-12-14T00:00:00"/>
        <d v="2021-10-07T00:00:00"/>
        <d v="2024-07-26T00:00:00"/>
        <d v="2022-10-19T00:00:00"/>
        <d v="2021-04-02T00:00:00"/>
        <d v="2023-01-04T00:00:00"/>
        <d v="2020-08-12T00:00:00"/>
        <d v="2023-10-25T00:00:00"/>
        <d v="2022-08-09T00:00:00"/>
        <d v="2021-12-10T00:00:00"/>
        <d v="2022-06-25T00:00:00"/>
        <d v="2023-08-11T00:00:00"/>
        <d v="2021-05-12T00:00:00"/>
        <d v="2024-11-08T00:00:00"/>
        <d v="2023-02-03T00:00:00"/>
        <d v="2022-08-17T00:00:00"/>
        <d v="2020-07-23T00:00:00"/>
        <d v="2021-08-22T00:00:00"/>
        <d v="2022-01-11T00:00:00"/>
        <d v="2023-07-14T00:00:00"/>
        <d v="2022-04-05T00:00:00"/>
        <d v="2023-03-20T00:00:00"/>
        <d v="2022-03-20T00:00:00"/>
        <d v="2020-07-10T00:00:00"/>
        <d v="2022-07-03T00:00:00"/>
        <d v="2022-02-28T00:00:00"/>
        <d v="2024-09-29T00:00:00"/>
        <d v="2020-08-04T00:00:00"/>
        <d v="2020-06-24T00:00:00"/>
        <d v="2024-10-12T00:00:00"/>
        <d v="2024-01-05T00:00:00"/>
        <d v="2020-12-15T00:00:00"/>
        <d v="2023-08-25T00:00:00"/>
        <d v="2022-04-10T00:00:00"/>
        <d v="2022-08-21T00:00:00"/>
        <d v="2020-01-08T00:00:00"/>
        <d v="2023-11-08T00:00:00"/>
        <d v="2020-08-21T00:00:00"/>
        <d v="2020-03-17T00:00:00"/>
        <d v="2024-01-24T00:00:00"/>
        <d v="2022-04-29T00:00:00"/>
        <d v="2024-08-13T00:00:00"/>
        <d v="2020-05-10T00:00:00"/>
        <d v="2022-07-30T00:00:00"/>
        <d v="2021-07-10T00:00:00"/>
        <d v="2022-07-17T00:00:00"/>
        <d v="2023-08-24T00:00:00"/>
        <d v="2022-05-29T00:00:00"/>
        <d v="2022-05-21T00:00:00"/>
        <d v="2023-10-19T00:00:00"/>
        <d v="2023-09-06T00:00:00"/>
        <d v="2022-02-02T00:00:00"/>
        <d v="2022-07-20T00:00:00"/>
        <d v="2024-02-20T00:00:00"/>
        <d v="2022-10-31T00:00:00"/>
        <d v="2023-06-25T00:00:00"/>
        <d v="2021-11-21T00:00:00"/>
        <d v="2023-03-19T00:00:00"/>
        <d v="2021-05-13T00:00:00"/>
        <d v="2020-11-14T00:00:00"/>
        <d v="2024-02-28T00:00:00"/>
        <d v="2023-05-05T00:00:00"/>
        <d v="2021-10-16T00:00:00"/>
        <d v="2022-11-17T00:00:00"/>
        <d v="2023-02-01T00:00:00"/>
        <d v="2022-03-16T00:00:00"/>
        <d v="2024-09-10T00:00:00"/>
        <d v="2020-11-02T00:00:00"/>
        <d v="2021-07-24T00:00:00"/>
        <d v="2022-10-15T00:00:00"/>
        <d v="2022-12-07T00:00:00"/>
        <d v="2020-12-16T00:00:00"/>
        <d v="2024-01-03T00:00:00"/>
        <d v="2021-01-15T00:00:00"/>
        <d v="2022-05-02T00:00:00"/>
        <d v="2020-12-25T00:00:00"/>
        <d v="2022-01-06T00:00:00"/>
        <d v="2020-12-12T00:00:00"/>
        <d v="2020-12-30T00:00:00"/>
        <d v="2020-12-27T00:00:00"/>
        <d v="2020-04-15T00:00:00"/>
        <d v="2021-09-01T00:00:00"/>
        <d v="2020-01-19T00:00:00"/>
        <d v="2023-07-05T00:00:00"/>
        <d v="2020-02-21T00:00:00"/>
        <d v="2023-09-28T00:00:00"/>
        <d v="2023-12-12T00:00:00"/>
        <d v="2022-07-22T00:00:00"/>
        <d v="2022-01-31T00:00:00"/>
        <d v="2021-12-05T00:00:00"/>
        <d v="2023-03-13T00:00:00"/>
        <d v="2021-09-03T00:00:00"/>
        <d v="2024-07-14T00:00:00"/>
        <d v="2023-09-23T00:00:00"/>
        <d v="2023-10-27T00:00:00"/>
        <d v="2022-01-15T00:00:00"/>
        <d v="2023-11-01T00:00:00"/>
        <d v="2024-05-27T00:00:00"/>
        <d v="2020-08-11T00:00:00"/>
        <d v="2022-03-07T00:00:00"/>
        <d v="2022-01-21T00:00:00"/>
        <d v="2024-06-27T00:00:00"/>
        <d v="2022-12-06T00:00:00"/>
        <d v="2021-11-08T00:00:00"/>
        <d v="2021-09-11T00:00:00"/>
        <d v="2021-04-05T00:00:00"/>
        <d v="2020-02-18T00:00:00"/>
        <d v="2020-01-23T00:00:00"/>
        <d v="2022-06-24T00:00:00"/>
        <d v="2023-03-22T00:00:00"/>
        <d v="2021-06-24T00:00:00"/>
        <d v="2024-01-30T00:00:00"/>
        <d v="2021-06-14T00:00:00"/>
        <d v="2024-03-30T00:00:00"/>
        <d v="2020-06-19T00:00:00"/>
        <d v="2021-08-06T00:00:00"/>
        <d v="2023-12-20T00:00:00"/>
        <d v="2023-12-02T00:00:00"/>
        <d v="2021-11-17T00:00:00"/>
        <d v="2020-07-19T00:00:00"/>
        <d v="2024-03-14T00:00:00"/>
        <d v="2024-04-03T00:00:00"/>
        <d v="2021-02-26T00:00:00"/>
        <d v="2023-02-20T00:00:00"/>
        <d v="2021-11-19T00:00:00"/>
        <d v="2023-11-03T00:00:00"/>
        <d v="2020-10-16T00:00:00"/>
        <d v="2024-07-21T00:00:00"/>
        <d v="2021-02-04T00:00:00"/>
        <d v="2020-10-09T00:00:00"/>
        <d v="2021-09-18T00:00:00"/>
        <d v="2021-05-26T00:00:00"/>
        <d v="2021-11-20T00:00:00"/>
        <d v="2022-07-06T00:00:00"/>
        <d v="2020-04-25T00:00:00"/>
        <d v="2023-06-28T00:00:00"/>
        <d v="2022-08-12T00:00:00"/>
        <d v="2020-09-04T00:00:00"/>
        <d v="2020-04-13T00:00:00"/>
        <d v="2020-08-23T00:00:00"/>
        <d v="2023-09-10T00:00:00"/>
        <d v="2022-03-05T00:00:00"/>
        <d v="2024-03-25T00:00:00"/>
        <d v="2020-02-25T00:00:00"/>
        <d v="2022-06-07T00:00:00"/>
        <d v="2022-09-14T00:00:00"/>
        <d v="2023-10-28T00:00:00"/>
        <d v="2021-12-06T00:00:00"/>
        <d v="2023-01-02T00:00:00"/>
        <d v="2020-06-05T00:00:00"/>
        <d v="2022-08-11T00:00:00"/>
        <d v="2020-06-17T00:00:00"/>
        <d v="2024-04-19T00:00:00"/>
        <d v="2021-10-14T00:00:00"/>
        <d v="2023-08-16T00:00:00"/>
        <d v="2024-11-16T00:00:00"/>
        <d v="2024-10-28T00:00:00"/>
        <d v="2021-05-10T00:00:00"/>
        <d v="2021-05-03T00:00:00"/>
        <d v="2023-11-02T00:00:00"/>
        <d v="2021-12-18T00:00:00"/>
        <d v="2023-05-23T00:00:00"/>
        <d v="2020-04-03T00:00:00"/>
        <d v="2024-12-10T00:00:00"/>
        <d v="2020-05-04T00:00:00"/>
        <d v="2023-03-08T00:00:00"/>
        <d v="2022-11-02T00:00:00"/>
        <d v="2020-02-28T00:00:00"/>
        <d v="2024-05-19T00:00:00"/>
        <d v="2024-12-29T00:00:00"/>
        <d v="2021-02-05T00:00:00"/>
        <d v="2020-01-24T00:00:00"/>
        <d v="2022-03-30T00:00:00"/>
        <d v="2024-10-15T00:00:00"/>
        <d v="2020-01-13T00:00:00"/>
        <d v="2020-03-11T00:00:00"/>
        <d v="2022-09-01T00:00:00"/>
        <d v="2023-07-29T00:00:00"/>
        <d v="2023-05-17T00:00:00"/>
        <d v="2022-08-24T00:00:00"/>
        <d v="2021-04-22T00:00:00"/>
        <d v="2023-10-21T00:00:00"/>
        <d v="2024-04-09T00:00:00"/>
        <d v="2023-11-25T00:00:00"/>
        <d v="2023-11-06T00:00:00"/>
        <d v="2021-08-30T00:00:00"/>
        <d v="2022-07-16T00:00:00"/>
        <d v="2023-02-26T00:00:00"/>
        <d v="2023-09-04T00:00:00"/>
        <d v="2020-08-28T00:00:00"/>
        <d v="2024-07-10T00:00:00"/>
        <d v="2022-10-06T00:00:00"/>
        <d v="2021-06-12T00:00:00"/>
        <d v="2023-05-04T00:00:00"/>
        <d v="2022-03-31T00:00:00"/>
        <d v="2024-10-29T00:00:00"/>
        <d v="2023-08-13T00:00:00"/>
        <d v="2024-01-19T00:00:00"/>
        <d v="2020-07-28T00:00:00"/>
        <d v="2023-09-09T00:00:00"/>
        <d v="2023-12-01T00:00:00"/>
        <d v="2020-10-25T00:00:00"/>
        <d v="2020-10-26T00:00:00"/>
        <d v="2023-06-26T00:00:00"/>
        <d v="2024-01-01T00:00:00"/>
        <d v="2023-12-14T00:00:00"/>
        <d v="2024-09-03T00:00:00"/>
        <d v="2021-02-01T00:00:00"/>
        <d v="2021-11-26T00:00:00"/>
        <d v="2022-08-22T00:00:00"/>
        <d v="2020-11-22T00:00:00"/>
        <d v="2022-03-09T00:00:00"/>
        <d v="2024-10-04T00:00:00"/>
        <d v="2022-05-10T00:00:00"/>
        <d v="2023-04-22T00:00:00"/>
        <d v="2024-11-18T00:00:00"/>
        <d v="2022-10-14T00:00:00"/>
        <d v="2021-07-11T00:00:00"/>
        <d v="2020-06-13T00:00:00"/>
        <d v="2024-08-10T00:00:00"/>
        <d v="2024-08-17T00:00:00"/>
        <d v="2021-02-22T00:00:00"/>
        <d v="2020-02-03T00:00:00"/>
        <d v="2022-10-11T00:00:00"/>
        <d v="2022-06-26T00:00:00"/>
        <d v="2020-02-15T00:00:00"/>
        <d v="2024-07-05T00:00:00"/>
        <d v="2023-06-09T00:00:00"/>
        <d v="2022-06-27T00:00:00"/>
        <d v="2024-11-02T00:00:00"/>
        <d v="2024-08-22T00:00:00"/>
        <d v="2021-10-30T00:00:00"/>
        <d v="2023-09-30T00:00:00"/>
        <d v="2022-08-29T00:00:00"/>
        <d v="2024-02-21T00:00:00"/>
        <d v="2020-09-23T00:00:00"/>
        <d v="2021-12-02T00:00:00"/>
        <d v="2024-08-25T00:00:00"/>
        <d v="2024-09-08T00:00:00"/>
        <d v="2021-10-26T00:00:00"/>
        <d v="2020-01-06T00:00:00"/>
        <d v="2020-10-24T00:00:00"/>
        <d v="2024-04-13T00:00:00"/>
        <d v="2024-04-22T00:00:00"/>
        <d v="2023-05-03T00:00:00"/>
        <d v="2020-08-03T00:00:00"/>
        <d v="2023-04-11T00:00:00"/>
        <d v="2023-07-12T00:00:00"/>
        <d v="2022-07-24T00:00:00"/>
        <d v="2024-06-18T00:00:00"/>
        <d v="2020-10-13T00:00:00"/>
        <d v="2022-09-18T00:00:00"/>
        <d v="2023-08-19T00:00:00"/>
        <d v="2020-09-28T00:00:00"/>
        <d v="2022-10-29T00:00:00"/>
        <d v="2021-01-22T00:00:00"/>
        <d v="2024-03-15T00:00:00"/>
        <d v="2022-05-09T00:00:00"/>
        <d v="2021-03-13T00:00:00"/>
        <d v="2023-11-09T00:00:00"/>
        <d v="2022-05-30T00:00:00"/>
        <d v="2023-10-04T00:00:00"/>
        <d v="2023-01-10T00:00:00"/>
        <d v="2021-02-15T00:00:00"/>
        <d v="2022-06-03T00:00:00"/>
        <d v="2021-08-29T00:00:00"/>
        <d v="2023-07-19T00:00:00"/>
        <d v="2022-06-19T00:00:00"/>
        <d v="2021-10-05T00:00:00"/>
        <d v="2022-10-13T00:00:00"/>
        <d v="2022-04-16T00:00:00"/>
        <d v="2022-03-21T00:00:00"/>
        <d v="2024-02-17T00:00:00"/>
        <d v="2022-08-27T00:00:00"/>
        <d v="2021-02-21T00:00:00"/>
        <d v="2024-08-28T00:00:00"/>
        <d v="2023-04-04T00:00:00"/>
        <d v="2022-06-12T00:00:00"/>
        <d v="2024-01-13T00:00:00"/>
        <d v="2020-03-02T00:00:00"/>
        <d v="2021-08-18T00:00:00"/>
        <d v="2021-03-24T00:00:00"/>
        <d v="2022-01-16T00:00:00"/>
        <d v="2024-03-19T00:00:00"/>
        <d v="2022-06-14T00:00:00"/>
        <d v="2024-09-23T00:00:00"/>
        <d v="2024-09-12T00:00:00"/>
        <d v="2023-03-31T00:00:00"/>
        <d v="2021-05-16T00:00:00"/>
        <d v="2023-05-28T00:00:00"/>
        <d v="2024-02-29T00:00:00"/>
        <d v="2020-09-15T00:00:00"/>
        <d v="2023-06-10T00:00:00"/>
        <d v="2023-06-12T00:00:00"/>
        <d v="2021-03-08T00:00:00"/>
        <d v="2023-04-17T00:00:00"/>
        <d v="2020-10-20T00:00:00"/>
        <d v="2023-05-16T00:00:00"/>
        <d v="2020-08-09T00:00:00"/>
        <d v="2024-06-04T00:00:00"/>
        <d v="2023-03-09T00:00:00"/>
        <d v="2022-12-08T00:00:00"/>
        <d v="2021-05-28T00:00:00"/>
        <d v="2024-03-03T00:00:00"/>
        <d v="2020-11-12T00:00:00"/>
        <d v="2024-06-19T00:00:00"/>
        <d v="2023-01-22T00:00:00"/>
        <d v="2023-03-27T00:00:00"/>
        <d v="2021-07-20T00:00:00"/>
        <d v="2021-12-23T00:00:00"/>
        <d v="2020-04-19T00:00:00"/>
        <d v="2021-05-29T00:00:00"/>
        <d v="2024-09-01T00:00:00"/>
        <d v="2020-04-09T00:00:00"/>
        <d v="2023-03-07T00:00:00"/>
        <d v="2022-06-08T00:00:00"/>
        <d v="2020-06-01T00:00:00"/>
        <d v="2024-11-19T00:00:00"/>
        <d v="2022-05-07T00:00:00"/>
        <d v="2023-11-18T00:00:00"/>
        <d v="2021-03-19T00:00:00"/>
        <d v="2023-06-04T00:00:00"/>
        <d v="2021-09-07T00:00:00"/>
        <d v="2020-03-18T00:00:00"/>
        <d v="2022-02-17T00:00:00"/>
        <d v="2020-07-22T00:00:00"/>
        <d v="2020-04-10T00:00:00"/>
        <d v="2024-09-21T00:00:00"/>
        <d v="2020-07-13T00:00:00"/>
        <d v="2023-01-01T00:00:00"/>
        <d v="2023-06-21T00:00:00"/>
        <d v="2022-11-29T00:00:00"/>
        <d v="2025-01-06T00:00:00"/>
        <d v="2024-07-15T00:00:00"/>
        <d v="2021-07-31T00:00:00"/>
        <d v="2024-10-10T00:00:00"/>
        <d v="2022-10-21T00:00:00"/>
        <d v="2022-01-04T00:00:00"/>
        <d v="2021-03-10T00:00:00"/>
        <d v="2022-12-18T00:00:00"/>
        <d v="2024-02-27T00:00:00"/>
        <d v="2021-11-09T00:00:00"/>
        <d v="2020-03-25T00:00:00"/>
        <d v="2020-03-06T00:00:00"/>
        <d v="2024-05-13T00:00:00"/>
        <d v="2024-03-05T00:00:00"/>
        <d v="2023-10-02T00:00:00"/>
        <d v="2020-08-19T00:00:00"/>
        <d v="2021-08-20T00:00:00"/>
        <d v="2023-06-17T00:00:00"/>
        <d v="2023-11-27T00:00:00"/>
        <d v="2022-01-28T00:00:00"/>
        <d v="2022-12-21T00:00:00"/>
        <d v="2020-05-12T00:00:00"/>
        <d v="2024-09-17T00:00:00"/>
        <d v="2021-05-24T00:00:00"/>
        <d v="2020-04-12T00:00:00"/>
        <d v="2021-09-14T00:00:00"/>
        <d v="2020-09-17T00:00:00"/>
        <d v="2024-06-05T00:00:00"/>
        <d v="2022-02-15T00:00:00"/>
        <d v="2020-06-03T00:00:00"/>
        <d v="2024-06-28T00:00:00"/>
        <d v="2020-05-26T00:00:00"/>
        <d v="2024-02-02T00:00:00"/>
        <d v="2021-09-17T00:00:00"/>
        <d v="2024-06-16T00:00:00"/>
        <d v="2021-02-23T00:00:00"/>
        <d v="2023-09-01T00:00:00"/>
        <d v="2020-05-17T00:00:00"/>
        <d v="2022-02-27T00:00:00"/>
        <d v="2023-07-17T00:00:00"/>
        <d v="2024-03-28T00:00:00"/>
        <d v="2022-07-09T00:00:00"/>
        <d v="2024-06-10T00:00:00"/>
        <d v="2024-06-03T00:00:00"/>
        <d v="2021-07-09T00:00:00"/>
        <d v="2024-12-15T00:00:00"/>
        <d v="2024-09-13T00:00:00"/>
        <d v="2022-07-27T00:00:00"/>
        <d v="2021-01-31T00:00:00"/>
        <d v="2020-07-08T00:00:00"/>
        <d v="2024-01-15T00:00:00"/>
        <d v="2023-06-14T00:00:00"/>
        <d v="2022-02-06T00:00:00"/>
        <d v="2024-08-08T00:00:00"/>
        <d v="2024-08-21T00:00:00"/>
        <d v="2021-04-28T00:00:00"/>
        <d v="2021-05-22T00:00:00"/>
        <d v="2022-01-30T00:00:00"/>
      </sharedItems>
    </cacheField>
    <cacheField name="Customer_ID" numFmtId="0">
      <sharedItems count="286">
        <s v="CUST-7246"/>
        <s v="CUST-8264"/>
        <s v="CUST-9920"/>
        <s v="CUST-8800"/>
        <s v="CUST-9047"/>
        <s v="CUST-5114"/>
        <s v="CUST-3068"/>
        <s v="CUST-5557"/>
        <s v="CUST-8994"/>
        <s v="CUST-1420"/>
        <s v="CUST-6062"/>
        <s v="CUST-9619"/>
        <s v="CUST-8957"/>
        <s v="CUST-1436"/>
        <s v="CUST-5978"/>
        <s v="CUST-3847"/>
        <s v="CUST-8355"/>
        <s v="CUST-5901"/>
        <s v="CUST-5669"/>
        <s v="CUST-5843"/>
        <s v="CUST-4404"/>
        <s v="CUST-4866"/>
        <s v="CUST-8260"/>
        <s v="CUST-2929"/>
        <s v="CUST-7304"/>
        <s v="CUST-4119"/>
        <s v="CUST-8933"/>
        <s v="CUST-6442"/>
        <s v="CUST-1653"/>
        <s v="CUST-7543"/>
        <s v="CUST-7843"/>
        <s v="CUST-2989"/>
        <s v="CUST-5033"/>
        <s v="CUST-5262"/>
        <s v="CUST-9647"/>
        <s v="CUST-6517"/>
        <s v="CUST-8724"/>
        <s v="CUST-6447"/>
        <s v="CUST-7333"/>
        <s v="CUST-6067"/>
        <s v="CUST-8612"/>
        <s v="CUST-1188"/>
        <s v="CUST-5835"/>
        <s v="CUST-1857"/>
        <s v="CUST-8381"/>
        <s v="CUST-7744"/>
        <s v="CUST-7267"/>
        <s v="CUST-5479"/>
        <s v="CUST-8699"/>
        <s v="CUST-5728"/>
        <s v="CUST-1128"/>
        <s v="CUST-3369"/>
        <s v="CUST-8007"/>
        <s v="CUST-6850"/>
        <s v="CUST-8354"/>
        <s v="CUST-7532"/>
        <s v="CUST-3085"/>
        <s v="CUST-3953"/>
        <s v="CUST-2049"/>
        <s v="CUST-4524"/>
        <s v="CUST-7566"/>
        <s v="CUST-9782"/>
        <s v="CUST-9239"/>
        <s v="CUST-9947"/>
        <s v="CUST-4566"/>
        <s v="CUST-3600"/>
        <s v="CUST-8292"/>
        <s v="CUST-3538"/>
        <s v="CUST-5295"/>
        <s v="CUST-1803"/>
        <s v="CUST-2245"/>
        <s v="CUST-8555"/>
        <s v="CUST-7293"/>
        <s v="CUST-6000"/>
        <s v="CUST-8508"/>
        <s v="CUST-8657"/>
        <s v="CUST-7565"/>
        <s v="CUST-4044"/>
        <s v="CUST-4501"/>
        <s v="CUST-1488"/>
        <s v="CUST-3370"/>
        <s v="CUST-6802"/>
        <s v="CUST-8972"/>
        <s v="CUST-6050"/>
        <s v="CUST-2729"/>
        <s v="CUST-1960"/>
        <s v="CUST-1897"/>
        <s v="CUST-3361"/>
        <s v="CUST-8433"/>
        <s v="CUST-7044"/>
        <s v="CUST-5105"/>
        <s v="CUST-5708"/>
        <s v="CUST-4470"/>
        <s v="CUST-1645"/>
        <s v="CUST-4538"/>
        <s v="CUST-3804"/>
        <s v="CUST-7326"/>
        <s v="CUST-8538"/>
        <s v="CUST-1842"/>
        <s v="CUST-5349"/>
        <s v="CUST-5059"/>
        <s v="CUST-6438"/>
        <s v="CUST-1496"/>
        <s v="CUST-1444"/>
        <s v="CUST-2163"/>
        <s v="CUST-2527"/>
        <s v="CUST-1907"/>
        <s v="CUST-1311"/>
        <s v="CUST-1258"/>
        <s v="CUST-6881"/>
        <s v="CUST-7022"/>
        <s v="CUST-7653"/>
        <s v="CUST-7275"/>
        <s v="CUST-1815"/>
        <s v="CUST-5173"/>
        <s v="CUST-5673"/>
        <s v="CUST-9548"/>
        <s v="CUST-5581"/>
        <s v="CUST-1025"/>
        <s v="CUST-3868"/>
        <s v="CUST-9313"/>
        <s v="CUST-3167"/>
        <s v="CUST-8498"/>
        <s v="CUST-6123"/>
        <s v="CUST-6562"/>
        <s v="CUST-5332"/>
        <s v="CUST-9984"/>
        <s v="CUST-5176"/>
        <s v="CUST-4257"/>
        <s v="CUST-8702"/>
        <s v="CUST-9698"/>
        <s v="CUST-8651"/>
        <s v="CUST-6582"/>
        <s v="CUST-4878"/>
        <s v="CUST-8138"/>
        <s v="CUST-6155"/>
        <s v="CUST-9543"/>
        <s v="CUST-6105"/>
        <s v="CUST-9624"/>
        <s v="CUST-8025"/>
        <s v="CUST-8438"/>
        <s v="CUST-5382"/>
        <s v="CUST-5375"/>
        <s v="CUST-7484"/>
        <s v="CUST-1782"/>
        <s v="CUST-5847"/>
        <s v="CUST-7118"/>
        <s v="CUST-1339"/>
        <s v="CUST-7274"/>
        <s v="CUST-3504"/>
        <s v="CUST-3287"/>
        <s v="CUST-4872"/>
        <s v="CUST-9410"/>
        <s v="CUST-2891"/>
        <s v="CUST-9850"/>
        <s v="CUST-8204"/>
        <s v="CUST-3153"/>
        <s v="CUST-2169"/>
        <s v="CUST-3878"/>
        <s v="CUST-4522"/>
        <s v="CUST-8066"/>
        <s v="CUST-6055"/>
        <s v="CUST-9288"/>
        <s v="CUST-2864"/>
        <s v="CUST-8787"/>
        <s v="CUST-2275"/>
        <s v="CUST-1430"/>
        <s v="CUST-6968"/>
        <s v="CUST-7381"/>
        <s v="CUST-8123"/>
        <s v="CUST-3296"/>
        <s v="CUST-8149"/>
        <s v="CUST-9807"/>
        <s v="CUST-1919"/>
        <s v="CUST-6559"/>
        <s v="CUST-9494"/>
        <s v="CUST-4697"/>
        <s v="CUST-6502"/>
        <s v="CUST-2924"/>
        <s v="CUST-9837"/>
        <s v="CUST-9740"/>
        <s v="CUST-6439"/>
        <s v="CUST-1599"/>
        <s v="CUST-6644"/>
        <s v="CUST-5930"/>
        <s v="CUST-5564"/>
        <s v="CUST-1096"/>
        <s v="CUST-2988"/>
        <s v="CUST-5742"/>
        <s v="CUST-6493"/>
        <s v="CUST-7965"/>
        <s v="CUST-9270"/>
        <s v="CUST-2646"/>
        <s v="CUST-7043"/>
        <s v="CUST-9437"/>
        <s v="CUST-6400"/>
        <s v="CUST-8811"/>
        <s v="CUST-2684"/>
        <s v="CUST-6286"/>
        <s v="CUST-6121"/>
        <s v="CUST-8043"/>
        <s v="CUST-8373"/>
        <s v="CUST-1400"/>
        <s v="CUST-1224"/>
        <s v="CUST-7984"/>
        <s v="CUST-9308"/>
        <s v="CUST-4727"/>
        <s v="CUST-3001"/>
        <s v="CUST-8613"/>
        <s v="CUST-8956"/>
        <s v="CUST-2118"/>
        <s v="CUST-2786"/>
        <s v="CUST-7018"/>
        <s v="CUST-6464"/>
        <s v="CUST-3664"/>
        <s v="CUST-3045"/>
        <s v="CUST-2402"/>
        <s v="CUST-4588"/>
        <s v="CUST-2679"/>
        <s v="CUST-1745"/>
        <s v="CUST-4084"/>
        <s v="CUST-2680"/>
        <s v="CUST-2824"/>
        <s v="CUST-5757"/>
        <s v="CUST-3053"/>
        <s v="CUST-9452"/>
        <s v="CUST-6421"/>
        <s v="CUST-7026"/>
        <s v="CUST-3273"/>
        <s v="CUST-5089"/>
        <s v="CUST-2330"/>
        <s v="CUST-1939"/>
        <s v="CUST-9431"/>
        <s v="CUST-6759"/>
        <s v="CUST-2868"/>
        <s v="CUST-1422"/>
        <s v="CUST-7071"/>
        <s v="CUST-4450"/>
        <s v="CUST-7809"/>
        <s v="CUST-5460"/>
        <s v="CUST-1932"/>
        <s v="CUST-6277"/>
        <s v="CUST-5096"/>
        <s v="CUST-6700"/>
        <s v="CUST-1508"/>
        <s v="CUST-9785"/>
        <s v="CUST-1525"/>
        <s v="CUST-9702"/>
        <s v="CUST-7302"/>
        <s v="CUST-9307"/>
        <s v="CUST-9903"/>
        <s v="CUST-1319"/>
        <s v="CUST-4954"/>
        <s v="CUST-2983"/>
        <s v="CUST-9022"/>
        <s v="CUST-2388"/>
        <s v="CUST-4527"/>
        <s v="CUST-6169"/>
        <s v="CUST-9938"/>
        <s v="CUST-3165"/>
        <s v="CUST-4997"/>
        <s v="CUST-9565"/>
        <s v="CUST-7790"/>
        <s v="CUST-7512"/>
        <s v="CUST-6766"/>
        <s v="CUST-4919"/>
        <s v="CUST-5438"/>
        <s v="CUST-9486"/>
        <s v="CUST-3621"/>
        <s v="CUST-1742"/>
        <s v="CUST-3956"/>
        <s v="CUST-8622"/>
        <s v="CUST-7211"/>
        <s v="CUST-2035"/>
        <s v="CUST-3255"/>
        <s v="CUST-8245"/>
        <s v="CUST-2160"/>
        <s v="CUST-3658"/>
        <s v="CUST-9317"/>
        <s v="CUST-3513"/>
        <s v="CUST-4150"/>
        <s v="CUST-4814"/>
        <s v="CUST-9017"/>
        <s v="CUST-6170"/>
        <s v="CUST-8451"/>
        <s v="CUST-1771"/>
      </sharedItems>
    </cacheField>
    <cacheField name="Customer_Name" numFmtId="0">
      <sharedItems count="266">
        <s v="David Verma"/>
        <s v="Matthew Garcia"/>
        <s v="Maria Liu"/>
        <s v="Maria Martinez"/>
        <s v="Rahul Iyer"/>
        <s v="Sneha Gupta"/>
        <s v="Liang Iyer"/>
        <s v="Aarav Smith"/>
        <s v="Fang Reddy"/>
        <s v="Lakshmi Ramirez"/>
        <s v="Emily Liu"/>
        <s v="Deepa Singh"/>
        <s v="Takeshi Watanabe"/>
        <s v="Chris Kumar"/>
        <s v="Ananya Garcia"/>
        <s v="Yuki Singh"/>
        <s v="Aditya Hernandez"/>
        <s v="Carlos Suzuki"/>
        <s v="Arjun Watanabe"/>
        <s v="Lakshmi Watanabe"/>
        <s v="Carlos Brown"/>
        <s v="Valentina Zhang"/>
        <s v="Yuki Nair"/>
        <s v="Sanjay Miller"/>
        <s v="David Flores"/>
        <s v="Kiran Nair"/>
        <s v="Divya Torres"/>
        <s v="Chris Garcia"/>
        <s v="Ashley Chen"/>
        <s v="Sarah Jones"/>
        <s v="Manish Iyer"/>
        <s v="Priya Flores"/>
        <s v="Hana Flores"/>
        <s v="David Chen"/>
        <s v="Ashley Iyer"/>
        <s v="Unknown Customer"/>
        <s v="Priya Rivera"/>
        <s v="Suresh Reddy"/>
        <s v="Manish Miller"/>
        <s v="Jessica Rodriguez"/>
        <s v="Juan Gonzalez"/>
        <s v="Ana Iyer"/>
        <s v="Isabella Wang"/>
        <s v="Carlos Wang"/>
        <s v="Kiran Wang"/>
        <s v="Pedro Martinez"/>
        <s v="Aiko Garcia"/>
        <s v="Chris Rodriguez"/>
        <s v="Manish Reddy"/>
        <s v="Matthew Iyer"/>
        <s v="Juan Perez"/>
        <s v="David Williams"/>
        <s v="Yuki Sharma"/>
        <s v="Vikram Liu"/>
        <s v="Ana Ramirez"/>
        <s v="Chris Nair"/>
        <s v="Rahul Yamamoto"/>
        <s v="Kavya Wang"/>
        <s v="Emily Patel"/>
        <s v="David Yamamoto"/>
        <s v="Vikram Verma"/>
        <s v="Priya Lopez"/>
        <s v="Jun Yamamoto"/>
        <s v="Takeshi Jones"/>
        <s v="Sneha Torres"/>
        <s v="Sarah Zhang"/>
        <s v="Ananya Chen"/>
        <s v="Vikram Wilson"/>
        <s v="Hana Li"/>
        <s v="Takeshi Martinez"/>
        <s v="Hana Garcia"/>
        <s v="Carlos Miller"/>
        <s v="Aiko Yamamoto"/>
        <s v="Aditya Jones"/>
        <s v="Aiko Ramirez"/>
        <s v="Suresh Rivera"/>
        <s v="Wei Singh"/>
        <s v="Vikram Flores"/>
        <s v="Ananya Brown"/>
        <s v="Suresh Hernandez"/>
        <s v="Vikram Tanaka"/>
        <s v="Jun Taylor"/>
        <s v="Sarah Reddy"/>
        <s v="Ashley Zhang"/>
        <s v="Arjun Li"/>
        <s v="Aarav Brown"/>
        <s v="Chris Verma"/>
        <s v="Mei Flores"/>
        <s v="Amanda Perez"/>
        <s v="Rahul Perez"/>
        <s v="Aditya Gupta"/>
        <s v="Fang Williams"/>
        <s v="Aditya Wang"/>
        <s v="Juan Rivera"/>
        <s v="Ananya Zhang"/>
        <s v="Pedro Zhang"/>
        <s v="Manish Flores"/>
        <s v="Rohit Nair"/>
        <s v="Sofia Watanabe"/>
        <s v="Divya Iyer"/>
        <s v="Wei Hernandez"/>
        <s v="Ananya Suzuki"/>
        <s v="Sofia Kumar"/>
        <s v="Ashley Nair"/>
        <s v="Deepa Gonzalez"/>
        <s v="Sanjay Brown"/>
        <s v="Pooja Miller"/>
        <s v="Michael Flores"/>
        <s v="Deepa Davis"/>
        <s v="Lakshmi Ito"/>
        <s v="Pedro Verma"/>
        <s v="Ana Gupta"/>
        <s v="Rohit Suzuki"/>
        <s v="Ashley Perez"/>
        <s v="Maria Davis"/>
        <s v="Takeshi Davis"/>
        <s v="Aiko Liu"/>
        <s v="Valentina Ito"/>
        <s v="Kavya Verma"/>
        <s v="Diego Ramirez"/>
        <s v="Rohit Wilson"/>
        <s v="Rahul Smith"/>
        <s v="Fang Iyer"/>
        <s v="Sofia Chen"/>
        <s v="Sarah Verma"/>
        <s v="Sofia Hernandez"/>
        <s v="Rohit Li"/>
        <s v="Michael Suzuki"/>
        <s v="Diego Kumar"/>
        <s v="Pooja Kumar"/>
        <s v="Arjun Johnson"/>
        <s v="Hana Tanaka"/>
        <s v="Kavya Martinez"/>
        <s v="Diego Chen"/>
        <s v="Vikram Jones"/>
        <s v="Yuki Joshi"/>
        <s v="Suresh Taylor"/>
        <s v="Nisha Yamamoto"/>
        <s v="Pedro Wilson"/>
        <s v="Matthew Gonzalez"/>
        <s v="Miguel Davis"/>
        <s v="Aditya Yamamoto"/>
        <s v="Miguel Singh"/>
        <s v="Nisha Perez"/>
        <s v="Arjun Yamamoto"/>
        <s v="Meera Suzuki"/>
        <s v="Kiran Perez"/>
        <s v="Chris Torres"/>
        <s v="David Wang"/>
        <s v="Ananya Wilson"/>
        <s v="Sneha Smith"/>
        <s v="Suresh Li"/>
        <s v="Ashley Watanabe"/>
        <s v="Vikram Wang"/>
        <s v="Wei Patel"/>
        <s v="Sanjay Joshi"/>
        <s v="Yuki Smith"/>
        <s v="James Ramirez"/>
        <s v="Ana Garcia"/>
        <s v="Valentina Torres"/>
        <s v="Arjun Ito"/>
        <s v="Ashley Johnson"/>
        <s v="Takeshi Lopez"/>
        <s v="Manish Liu"/>
        <s v="Kiran Garcia"/>
        <s v="Sarah Rivera"/>
        <s v="Valentina Gonzalez"/>
        <s v="James Hernandez"/>
        <s v="Maria Verma"/>
        <s v="Sneha Liu"/>
        <s v="Ananya Lopez"/>
        <s v="Kiran Watanabe"/>
        <s v="Valentina Rivera"/>
        <s v="Miguel Williams"/>
        <s v="Suresh Perez"/>
        <s v="Jessica Perez"/>
        <s v="Vikram Davis"/>
        <s v="Michael Taylor"/>
        <s v="Rahul Joshi"/>
        <s v="James Iyer"/>
        <s v="Meera Joshi"/>
        <s v="Deepa Hernandez"/>
        <s v="Matthew Smith"/>
        <s v="Arjun Flores"/>
        <s v="Juan Iyer"/>
        <s v="Mei Gonzalez"/>
        <s v="Michael Perez"/>
        <s v="Sofia Jones"/>
        <s v="Sanjay Garcia"/>
        <s v="Rohit Garcia"/>
        <s v="Yuki Yamamoto"/>
        <s v="Ana Nair"/>
        <s v="Lakshmi Yamamoto"/>
        <s v="Sarah Johnson"/>
        <s v="Amanda Gupta"/>
        <s v="Kenji Rivera"/>
        <s v="Priya Li"/>
        <s v="Mei Rodriguez"/>
        <s v="Liang Watanabe"/>
        <s v="Matthew Lopez"/>
        <s v="Jun Davis"/>
        <s v="Nisha Joshi"/>
        <s v="Sarah Liu"/>
        <s v="David Gupta"/>
        <s v="Jun Zhang"/>
        <s v="Carlos Williams"/>
        <s v="Ana Hernandez"/>
        <s v="Sneha Perez"/>
        <s v="James Flores"/>
        <s v="Aarav Ramirez"/>
        <s v="Priya Davis"/>
        <s v="Lakshmi Smith"/>
        <s v="James Singh"/>
        <s v="Deepa Wilson"/>
        <s v="Fang Ito"/>
        <s v="Miguel Rodriguez"/>
        <s v="Deepa Patel"/>
        <s v="Rohit Ramirez"/>
        <s v="Aarav Hernandez"/>
        <s v="Matthew Reddy"/>
        <s v="Jun Lopez"/>
        <s v="Suresh Sharma"/>
        <s v="Vikram Lopez"/>
        <s v="Sofia Wang"/>
        <s v="Liang Ito"/>
        <s v="Mei Hernandez"/>
        <s v="Sarah Wilson"/>
        <s v="Takeshi Verma"/>
        <s v="Sneha Rodriguez"/>
        <s v="Chris Wang"/>
        <s v="Nisha Williams"/>
        <s v="James Tanaka"/>
        <s v="Chris Ramirez"/>
        <s v="Liang Nair"/>
        <s v="David Ito"/>
        <s v="Deepa Zhang"/>
        <s v="Diego Yamamoto"/>
        <s v="Kenji Reddy"/>
        <s v="Meera Watanabe"/>
        <s v="Lakshmi Perez"/>
        <s v="Miguel Wang"/>
        <s v="Rohit Zhang"/>
        <s v="Fang Zhang"/>
        <s v="Meera Sharma"/>
        <s v="James Miller"/>
        <s v="Carlos Ramirez"/>
        <s v="Maria Gupta"/>
        <s v="Mei Singh"/>
        <s v="Divya Watanabe"/>
        <s v="Lakshmi Miller"/>
        <s v="Amanda Kumar"/>
        <s v="Priya Verma"/>
        <s v="Rohit Taylor"/>
        <s v="Fang Wilson"/>
        <s v="Manish Hernandez"/>
        <s v="Divya Yamamoto"/>
        <s v="Carlos Ito"/>
        <s v="Divya Johnson"/>
        <s v="Mei Garcia"/>
        <s v="Pooja Rivera"/>
        <s v="Kiran Taylor"/>
        <s v="Ana Watanabe"/>
        <s v="Sofia Singh"/>
        <s v="Kiran Li"/>
        <s v="Lakshmi Lopez"/>
        <s v="Deepa Verma"/>
      </sharedItems>
    </cacheField>
    <cacheField name="Segment" numFmtId="0">
      <sharedItems count="3">
        <s v="Home Office"/>
        <s v="Corporate"/>
        <s v="Consumer"/>
      </sharedItems>
    </cacheField>
    <cacheField name="Country" numFmtId="0">
      <sharedItems count="2">
        <s v="India"/>
        <s v="United States"/>
      </sharedItems>
    </cacheField>
    <cacheField name="State" numFmtId="0">
      <sharedItems count="40">
        <s v="Louisiana"/>
        <s v="Illinois"/>
        <s v="North Carolina"/>
        <s v="Washington"/>
        <s v="Arkansas"/>
        <s v="Idaho"/>
        <s v="Oklahoma"/>
        <s v="Pennsylvania"/>
        <s v="Kentucky"/>
        <s v="Massachusetts"/>
        <s v="South Carolina"/>
        <s v="West Virginia"/>
        <s v="Florida"/>
        <s v="California"/>
        <s v="Nevada"/>
        <s v="Minnesota"/>
        <s v="Kansas"/>
        <s v="Mississippi"/>
        <s v="Wisconsin"/>
        <s v="Tennessee"/>
        <s v="Ohio"/>
        <s v="Texas"/>
        <s v="Montana"/>
        <s v="Oregon"/>
        <s v="Maryland"/>
        <s v="Michigan"/>
        <s v="Wyoming"/>
        <s v="Iowa"/>
        <s v="Arizona"/>
        <s v="Missouri"/>
        <s v="Georgia"/>
        <s v="Virginia"/>
        <s v="Delaware"/>
        <s v="New Jersey"/>
        <s v="Colorado"/>
        <s v="Connecticut"/>
        <s v="Alabama"/>
        <s v="Indiana"/>
        <s v="Utah"/>
        <s v="New York"/>
      </sharedItems>
    </cacheField>
    <cacheField name="City" numFmtId="0">
      <sharedItems count="107">
        <s v="New Orleans"/>
        <s v="Naperville"/>
        <s v="Raleigh"/>
        <s v="Spokane"/>
        <s v="Little Rock"/>
        <s v="Meridian"/>
        <s v="Tulsa"/>
        <s v="Harrisburg"/>
        <s v="Bowling Green"/>
        <s v="Boston"/>
        <s v="Charleston"/>
        <s v="Huntington"/>
        <s v="Jacksonville"/>
        <s v="Sacramento"/>
        <s v="Reno"/>
        <s v="St. Paul"/>
        <s v="Kansas City"/>
        <s v="Hattiesburg"/>
        <s v="Chicago"/>
        <s v="Green Bay"/>
        <s v="Miami"/>
        <s v="Knoxville"/>
        <s v="Cincinnati"/>
        <s v="Houston"/>
        <s v="Unknown City"/>
        <s v="Baton Rouge"/>
        <s v="Salem"/>
        <s v="Baltimore"/>
        <s v="Nampa"/>
        <s v="Grand Rapids"/>
        <s v="Casper"/>
        <s v="Wichita"/>
        <s v="Cedar Rapids"/>
        <s v="Phoenix"/>
        <s v="Rochester"/>
        <s v="Atlanta"/>
        <s v="Virginia Beach"/>
        <s v="Orlando"/>
        <s v="Wilmington"/>
        <s v="Memphis"/>
        <s v="Henderson"/>
        <s v="Fayetteville"/>
        <s v="Trenton"/>
        <s v="Tacoma"/>
        <s v="Madison"/>
        <s v="Nashville"/>
        <s v="Cheyenne"/>
        <s v="Oklahoma City"/>
        <s v="Aurora"/>
        <s v="Lansing"/>
        <s v="Bridgeport"/>
        <s v="Pittsburgh"/>
        <s v="Greensboro"/>
        <s v="Great Falls"/>
        <s v="Columbus"/>
        <s v="Charlotte"/>
        <s v="Gulfport"/>
        <s v="Detroit"/>
        <s v="Augusta"/>
        <s v="Huntsville"/>
        <s v="Annapolis"/>
        <s v="San Diego"/>
        <s v="Norman"/>
        <s v="Parkersburg"/>
        <s v="Fort Wayne"/>
        <s v="Boise"/>
        <s v="Seattle"/>
        <s v="Las Vegas"/>
        <s v="Springfield"/>
        <s v="San Antonio"/>
        <s v="Ogden"/>
        <s v="Buffalo"/>
        <s v="Jackson"/>
        <s v="San Francisco"/>
        <s v="Newark"/>
        <s v="Birmingham"/>
        <s v="Evansville"/>
        <s v="Minneapolis"/>
        <s v="Columbia"/>
        <s v="Austin"/>
        <s v="Frederick"/>
        <s v="Worcester"/>
        <s v="Norfolk"/>
        <s v="Overland Park"/>
        <s v="Milwaukee"/>
        <s v="Provo"/>
        <s v="Davenport"/>
        <s v="Dover"/>
        <s v="Laramie"/>
        <s v="Missoula"/>
        <s v="New Haven"/>
        <s v="Savannah"/>
        <s v="San Jose"/>
        <s v="Philadelphia"/>
        <s v="Dallas"/>
        <s v="Denver"/>
        <s v="Scottsdale"/>
        <s v="Greenville"/>
        <s v="Louisville"/>
        <s v="Tucson"/>
        <s v="Des Moines"/>
        <s v="Hartford"/>
        <s v="Portland"/>
        <s v="Jersey City"/>
        <s v="Salt Lake City"/>
        <s v="Cleveland"/>
        <s v="St. Louis"/>
      </sharedItems>
    </cacheField>
    <cacheField name="Region" numFmtId="0">
      <sharedItems count="4">
        <s v="South"/>
        <s v="Central"/>
        <s v="East"/>
        <s v="West"/>
      </sharedItems>
    </cacheField>
    <cacheField name="Product_ID" numFmtId="0">
      <sharedItems count="67">
        <s v="PROD-0041"/>
        <s v="PROD-0057"/>
        <s v="PROD-0067"/>
        <s v="PROD-0002"/>
        <s v="PROD-0024"/>
        <s v="PROD-0013"/>
        <s v="PROD-0042"/>
        <s v="PROD-0019"/>
        <s v="PROD-0045"/>
        <s v="PROD-0007"/>
        <s v="PROD-0060"/>
        <s v="PROD-0003"/>
        <s v="PROD-0044"/>
        <s v="PROD-0066"/>
        <s v="PROD-0010"/>
        <s v="PROD-0037"/>
        <s v="PROD-0055"/>
        <s v="PROD-0062"/>
        <s v="PROD-0049"/>
        <s v="PROD-0029"/>
        <s v="PROD-0059"/>
        <s v="PROD-0043"/>
        <s v="PROD-0064"/>
        <s v="PROD-0018"/>
        <s v="PROD-0028"/>
        <s v="PROD-0021"/>
        <s v="PROD-0015"/>
        <s v="PROD-0016"/>
        <s v="PROD-0032"/>
        <s v="PROD-0031"/>
        <s v="PROD-0038"/>
        <s v="PROD-0054"/>
        <s v="PROD-0020"/>
        <s v="PROD-0048"/>
        <s v="PROD-0050"/>
        <s v="PROD-0027"/>
        <s v="PROD-0034"/>
        <s v="PROD-0004"/>
        <s v="PROD-0053"/>
        <s v="PROD-0030"/>
        <s v="PROD-0035"/>
        <s v="PROD-0009"/>
        <s v="PROD-0051"/>
        <s v="PROD-0061"/>
        <s v="PROD-0011"/>
        <s v="PROD-0063"/>
        <s v="PROD-0022"/>
        <s v="PROD-0023"/>
        <s v="PROD-0017"/>
        <s v="PROD-0012"/>
        <s v="PROD-0001"/>
        <s v="PROD-0058"/>
        <s v="PROD-0025"/>
        <s v="PROD-0005"/>
        <s v="PROD-0006"/>
        <s v="PROD-0008"/>
        <s v="PROD-0039"/>
        <s v="PROD-0026"/>
        <s v="PROD-0014"/>
        <s v="PROD-0056"/>
        <s v="PROD-0033"/>
        <s v="PROD-0065"/>
        <s v="PROD-0040"/>
        <s v="PROD-0047"/>
        <s v="PROD-0052"/>
        <s v="PROD-0036"/>
        <s v="PROD-0046"/>
      </sharedItems>
    </cacheField>
    <cacheField name="Category" numFmtId="0">
      <sharedItems count="3">
        <s v="Furniture"/>
        <s v="Clothing"/>
        <s v="Electronics"/>
      </sharedItems>
    </cacheField>
    <cacheField name="Sub_Category" numFmtId="0">
      <sharedItems count="14">
        <s v="Beds"/>
        <s v="Women's Apparel"/>
        <s v="Sportswear"/>
        <s v="Smartphones"/>
        <s v="Office Chairs"/>
        <s v="Accessories"/>
        <s v="Tablets"/>
        <s v="Storage"/>
        <s v="Laptops"/>
        <s v="Kids' Clothing"/>
        <s v="Sofas"/>
        <s v="Men's Apparel"/>
        <s v="Desks"/>
        <s v="Cameras"/>
      </sharedItems>
    </cacheField>
    <cacheField name="Product_Name" numFmtId="0">
      <sharedItems count="67">
        <s v="IKEA MALM Bed Frame"/>
        <s v="Anthropologie Blouse"/>
        <s v="New Balance 990v5"/>
        <s v="Samsung Galaxy S24"/>
        <s v="Herman Miller Aeron"/>
        <s v="Anker 65W Charger"/>
        <s v="Saatva Classic Mattress"/>
        <s v="Lenovo Tab P12"/>
        <s v="IKEA ALEX Drawer Unit"/>
        <s v="HP Spectre x360"/>
        <s v="Nike Kids Sneakers"/>
        <s v="OnePlus 12"/>
        <s v="IKEA KALLAX Shelf"/>
        <s v="Champion Hoodie"/>
        <s v="Asus ZenBook 14"/>
        <s v="Wayfair Andover Mills Sofa"/>
        <s v="Nike Air Max 270"/>
        <s v="Columbia Kids Jacket"/>
        <s v="Nike Dri-FIT T-Shirt"/>
        <s v="IKEA BEKANT Standing Desk"/>
        <s v="Gap Kids T-Shirt Pack"/>
        <s v="Purple Mattress"/>
        <s v="Reebok Training Shoes"/>
        <s v="Amazon Fire HD 10"/>
        <s v="Secretlab Titan Chair"/>
        <s v="Sony ZV-E10"/>
        <s v="Samsung Galaxy Watch"/>
        <s v="iPad Air 5th Gen"/>
        <s v="Uplift V2 Desk"/>
        <s v="Amazon Basics Computer Desk"/>
        <s v="Pottery Barn Comfort Sofa"/>
        <s v="H&amp;M Skinny Jeans"/>
        <s v="Canon EOS R50"/>
        <s v="Levi's 511 Slim Jeans"/>
        <s v="Adidas Ultraboost 22"/>
        <s v="IKEA Markus"/>
        <s v="IKEA KIVIK 3-Seat Sofa"/>
        <s v="Google Pixel 8"/>
        <s v="Zara Floral Midi Dress"/>
        <s v="Flexispot E7 Pro"/>
        <s v="Ashley Darcy Sofa"/>
        <s v="MacBook Air M2"/>
        <s v="Ralph Lauren Polo Shirt"/>
        <s v="Old Navy Jeans"/>
        <s v="Sony WH-1000XM5 Headphones"/>
        <s v="Under Armour Compression Shorts"/>
        <s v="GoPro Hero 12"/>
        <s v="Nikon Z30"/>
        <s v="Samsung Galaxy Tab S9"/>
        <s v="JBL Charge 5 Speaker"/>
        <s v="Apple iPhone 15 Pro"/>
        <s v="Carter's Onesie Set"/>
        <s v="Steelcase Leap V2"/>
        <s v="Xiaomi 14"/>
        <s v="Dell XPS 15"/>
        <s v="Lenovo ThinkPad X1"/>
        <s v="Casper Wave Hybrid Mattress"/>
        <s v="Autonomous ErgoChair Pro"/>
        <s v="Apple AirPods Pro"/>
        <s v="Lululemon Leggings"/>
        <s v="Jarvis Bamboo Desk"/>
        <s v="Puma Running Jacket"/>
        <s v="Tuft &amp; Needle Original Mattress"/>
        <s v="ClosetMaid Organizer"/>
        <s v="Patagonia Fleece Jacket"/>
        <s v="West Elm Harmony Sofa"/>
        <s v="Rubbermaid Storage Cabinet"/>
      </sharedItems>
    </cacheField>
    <cacheField name="Sales" numFmtId="0">
      <sharedItems containsSemiMixedTypes="0" containsString="0" containsNumber="1" minValue="18.75" maxValue="10475" count="646">
        <n v="898"/>
        <n v="268.6"/>
        <n v="139.2"/>
        <n v="1278.4"/>
        <n v="2092.5"/>
        <n v="78.4"/>
        <n v="3220.5"/>
        <n v="1396.5"/>
        <n v="597"/>
        <n v="5395.5"/>
        <n v="58.5"/>
        <n v="1947"/>
        <n v="745"/>
        <n v="82.5"/>
        <n v="3396"/>
        <n v="1098"/>
        <n v="149"/>
        <n v="195"/>
        <n v="355.5"/>
        <n v="126"/>
        <n v="426.55"/>
        <n v="122.5"/>
        <n v="6170.25"/>
        <n v="1299"/>
        <n v="249.2"/>
        <n v="476.8"/>
        <n v="933.3"/>
        <n v="957.6"/>
        <n v="449"/>
        <n v="523.6"/>
        <n v="208.6"/>
        <n v="223.2"/>
        <n v="524.3"/>
        <n v="3236.4"/>
        <n v="521.55"/>
        <n v="3702.15"/>
        <n v="65"/>
        <n v="5932.5"/>
        <n v="115.5"/>
        <n v="160.2"/>
        <n v="35.1"/>
        <n v="2037"/>
        <n v="82.6"/>
        <n v="320.4"/>
        <n v="850.5"/>
        <n v="412.2"/>
        <n v="2397"/>
        <n v="1257.9"/>
        <n v="248.4"/>
        <n v="134.3"/>
        <n v="2156.4"/>
        <n v="5995"/>
        <n v="1298"/>
        <n v="4596"/>
        <n v="80.1"/>
        <n v="5095.75"/>
        <n v="75"/>
        <n v="523.5"/>
        <n v="1276.8"/>
        <n v="156"/>
        <n v="1695.75"/>
        <n v="2182.8"/>
        <n v="1817.2"/>
        <n v="1613.1"/>
        <n v="429.6"/>
        <n v="2396"/>
        <n v="1258.6"/>
        <n v="1618.2"/>
        <n v="142.4"/>
        <n v="861.75"/>
        <n v="507.45"/>
        <n v="2196"/>
        <n v="599.2"/>
        <n v="73.95"/>
        <n v="424.65"/>
        <n v="2022.75"/>
        <n v="88.5"/>
        <n v="3597"/>
        <n v="25"/>
        <n v="104.3"/>
        <n v="175"/>
        <n v="171.75"/>
        <n v="18.75"/>
        <n v="411.75"/>
        <n v="78"/>
        <n v="4156.8"/>
        <n v="378"/>
        <n v="1235.25"/>
        <n v="3637.2"/>
        <n v="29"/>
        <n v="213.6"/>
        <n v="276.25"/>
        <n v="117"/>
        <n v="1758.4"/>
        <n v="91"/>
        <n v="945"/>
        <n v="6285"/>
        <n v="1317.6"/>
        <n v="2398"/>
        <n v="1198"/>
        <n v="2598"/>
        <n v="4495"/>
        <n v="384.3"/>
        <n v="63"/>
        <n v="1676"/>
        <n v="998"/>
        <n v="399"/>
        <n v="1849.65"/>
        <n v="2556.8"/>
        <n v="98.6"/>
        <n v="707.75"/>
        <n v="316"/>
        <n v="298"/>
        <n v="233.75"/>
        <n v="395"/>
        <n v="4322.25"/>
        <n v="1182.75"/>
        <n v="105"/>
        <n v="1186.5"/>
        <n v="1866.6"/>
        <n v="223.5"/>
        <n v="3897"/>
        <n v="1436.8"/>
        <n v="134.1"/>
        <n v="635.8"/>
        <n v="221.2"/>
        <n v="1018.3"/>
        <n v="2336.4"/>
        <n v="176.4"/>
        <n v="1572.75"/>
        <n v="1797.75"/>
        <n v="2277.15"/>
        <n v="156.75"/>
        <n v="189"/>
        <n v="110.6"/>
        <n v="50"/>
        <n v="208"/>
        <n v="897.75"/>
        <n v="2826.25"/>
        <n v="577.15"/>
        <n v="335.25"/>
        <n v="739.5"/>
        <n v="1046.25"/>
        <n v="1030.5"/>
        <n v="598.4"/>
        <n v="84.55"/>
        <n v="3980.5"/>
        <n v="8475"/>
        <n v="140"/>
        <n v="251.1"/>
        <n v="6626.25"/>
        <n v="4196.5"/>
        <n v="175.5"/>
        <n v="849"/>
        <n v="679"/>
        <n v="375.25"/>
        <n v="71.1"/>
        <n v="26.1"/>
        <n v="1496.25"/>
        <n v="325"/>
        <n v="177"/>
        <n v="2543.2"/>
        <n v="3416.2"/>
        <n v="2697"/>
        <n v="2517.9"/>
        <n v="483.3"/>
        <n v="1271.25"/>
        <n v="475.3"/>
        <n v="2546.25"/>
        <n v="2745"/>
        <n v="678.3"/>
        <n v="99.45"/>
        <n v="445"/>
        <n v="100"/>
        <n v="3237.3"/>
        <n v="596"/>
        <n v="1797"/>
        <n v="419.3"/>
        <n v="5695.25"/>
        <n v="2244"/>
        <n v="1995"/>
        <n v="132.6"/>
        <n v="1086.4"/>
        <n v="2796"/>
        <n v="1347"/>
        <n v="2876.4"/>
        <n v="486.75"/>
        <n v="2058.75"/>
        <n v="35"/>
        <n v="1358.3"/>
        <n v="2076.8"/>
        <n v="131.25"/>
        <n v="186.9"/>
        <n v="1348.5"/>
        <n v="402.3"/>
        <n v="1598"/>
        <n v="2790"/>
        <n v="1683.75"/>
        <n v="1798"/>
        <n v="1496"/>
        <n v="4021.5"/>
        <n v="318.4"/>
        <n v="5996"/>
        <n v="1706.2"/>
        <n v="125.3"/>
        <n v="664.05"/>
        <n v="2439.6"/>
        <n v="3051"/>
        <n v="63.75"/>
        <n v="2019.6"/>
        <n v="895"/>
        <n v="174"/>
        <n v="78.75"/>
        <n v="1538.6"/>
        <n v="141.55"/>
        <n v="670.5"/>
        <n v="392"/>
        <n v="506.6"/>
        <n v="477.6"/>
        <n v="93.6"/>
        <n v="4076.6"/>
        <n v="2511"/>
        <n v="2910.4"/>
        <n v="56.05"/>
        <n v="5520.75"/>
        <n v="2580.2"/>
        <n v="161.1"/>
        <n v="950.6"/>
        <n v="1871.25"/>
        <n v="1038.4"/>
        <n v="178"/>
        <n v="892.5"/>
        <n v="33.15"/>
        <n v="126.4"/>
        <n v="143.2"/>
        <n v="1149"/>
        <n v="199"/>
        <n v="870"/>
        <n v="2845.25"/>
        <n v="1198.4"/>
        <n v="1796"/>
        <n v="908.6"/>
        <n v="2396.8"/>
        <n v="166.6"/>
        <n v="159.2"/>
        <n v="2078.4"/>
        <n v="179"/>
        <n v="521.5"/>
        <n v="1199"/>
        <n v="696"/>
        <n v="99"/>
        <n v="379.95"/>
        <n v="1369.6"/>
        <n v="1396"/>
        <n v="221.25"/>
        <n v="1255.5"/>
        <n v="3596"/>
        <n v="170.05"/>
        <n v="1349.1"/>
        <n v="698"/>
        <n v="697.2"/>
        <n v="45.5"/>
        <n v="6495"/>
        <n v="3370.5"/>
        <n v="139.65"/>
        <n v="358.2"/>
        <n v="727.6"/>
        <n v="1785"/>
        <n v="367.5"/>
        <n v="119.2"/>
        <n v="250.6"/>
        <n v="1978.2"/>
        <n v="2542.5"/>
        <n v="566.2"/>
        <n v="1992.15"/>
        <n v="2568"/>
        <n v="3145.5"/>
        <n v="2097"/>
        <n v="1152.9"/>
        <n v="608.6"/>
        <n v="958.4"/>
        <n v="4280"/>
        <n v="169.1"/>
        <n v="165.9"/>
        <n v="112"/>
        <n v="55.3"/>
        <n v="1077.3"/>
        <n v="1083.75"/>
        <n v="245"/>
        <n v="2517.2"/>
        <n v="785.25"/>
        <n v="357.6"/>
        <n v="366.4"/>
        <n v="673.5"/>
        <n v="260"/>
        <n v="302.6"/>
        <n v="2739.2"/>
        <n v="1199.2"/>
        <n v="1019.15"/>
        <n v="62.3"/>
        <n v="1467.9"/>
        <n v="1044.05"/>
        <n v="447"/>
        <n v="2547"/>
        <n v="661.2"/>
        <n v="4871.25"/>
        <n v="241.5"/>
        <n v="1249.5"/>
        <n v="310.5"/>
        <n v="1104.15"/>
        <n v="156.8"/>
        <n v="1647"/>
        <n v="61.75"/>
        <n v="141.75"/>
        <n v="1482.3"/>
        <n v="136.5"/>
        <n v="75.05"/>
        <n v="56"/>
        <n v="2621.25"/>
        <n v="469.8"/>
        <n v="4032.75"/>
        <n v="66.3"/>
        <n v="79"/>
        <n v="1043.1"/>
        <n v="147.9"/>
        <n v="118.5"/>
        <n v="132.3"/>
        <n v="3561.5"/>
        <n v="2495"/>
        <n v="89.25"/>
        <n v="189.05"/>
        <n v="71.25"/>
        <n v="238.4"/>
        <n v="2470.5"/>
        <n v="736.95"/>
        <n v="3395"/>
        <n v="1438.2"/>
        <n v="4190"/>
        <n v="2466.2"/>
        <n v="509.15"/>
        <n v="899"/>
        <n v="84"/>
        <n v="179.1"/>
        <n v="206.1"/>
        <n v="687"/>
        <n v="2716.8"/>
        <n v="756"/>
        <n v="5866"/>
        <n v="1677.9"/>
        <n v="558.75"/>
        <n v="98"/>
        <n v="567.15"/>
        <n v="465.5"/>
        <n v="87"/>
        <n v="559.3"/>
        <n v="1499"/>
        <n v="2716"/>
        <n v="258.75"/>
        <n v="1395"/>
        <n v="194.65"/>
        <n v="435.1"/>
        <n v="867"/>
        <n v="2562.15"/>
        <n v="126.65"/>
        <n v="1953"/>
        <n v="59.5"/>
        <n v="117.6"/>
        <n v="284.8"/>
        <n v="2206.6"/>
        <n v="81.9"/>
        <n v="924.8"/>
        <n v="267"/>
        <n v="3183.75"/>
        <n v="693.6"/>
        <n v="1348.2"/>
        <n v="265.05"/>
        <n v="77"/>
        <n v="976.5"/>
        <n v="212.4"/>
        <n v="1708.1"/>
        <n v="1099"/>
        <n v="280.25"/>
        <n v="124.8"/>
        <n v="358"/>
        <n v="5196"/>
        <n v="295.8"/>
        <n v="1712"/>
        <n v="2338.2"/>
        <n v="1047.2"/>
        <n v="55.25"/>
        <n v="1197"/>
        <n v="2758.25"/>
        <n v="1168.2"/>
        <n v="37.5"/>
        <n v="454.3"/>
        <n v="333.75"/>
        <n v="1257.2"/>
        <n v="186.2"/>
        <n v="2020.5"/>
        <n v="7961"/>
        <n v="1497"/>
        <n v="417.2"/>
        <n v="2596"/>
        <n v="89"/>
        <n v="4556.2"/>
        <n v="2922.75"/>
        <n v="119"/>
        <n v="567"/>
        <n v="404.6"/>
        <n v="1917.6"/>
        <n v="1596"/>
        <n v="158"/>
        <n v="1887.9"/>
        <n v="131.1"/>
        <n v="2695.5"/>
        <n v="348"/>
        <n v="858.75"/>
        <n v="519.2"/>
        <n v="1571.5"/>
        <n v="253.3"/>
        <n v="796"/>
        <n v="2307.9"/>
        <n v="433.5"/>
        <n v="236"/>
        <n v="93.1"/>
        <n v="133.5"/>
        <n v="1707.15"/>
        <n v="274.4"/>
        <n v="52.25"/>
        <n v="661.5"/>
        <n v="165"/>
        <n v="37.05"/>
        <n v="58"/>
        <n v="220"/>
        <n v="10475"/>
        <n v="352.8"/>
        <n v="698.6"/>
        <n v="2098.6"/>
        <n v="130.5"/>
        <n v="5495"/>
        <n v="52.5"/>
        <n v="276"/>
        <n v="66.5"/>
        <n v="55"/>
        <n v="295"/>
        <n v="201.45"/>
        <n v="2261"/>
        <n v="796.8"/>
        <n v="1078.2"/>
        <n v="356"/>
        <n v="3245"/>
        <n v="878.4"/>
        <n v="536.4"/>
        <n v="2380"/>
        <n v="599.25"/>
        <n v="2038.3"/>
        <n v="150.45"/>
        <n v="846.6"/>
        <n v="1087.75"/>
        <n v="121.8"/>
        <n v="650.25"/>
        <n v="1648.5"/>
        <n v="106.2"/>
        <n v="237"/>
        <n v="283.1"/>
        <n v="2929.5"/>
        <n v="2245"/>
        <n v="510.15"/>
        <n v="4676.4"/>
        <n v="1557.6"/>
        <n v="4546.5"/>
        <n v="2996"/>
        <n v="289"/>
        <n v="839.3"/>
        <n v="1139.05"/>
        <n v="2618"/>
        <n v="599"/>
        <n v="558"/>
        <n v="1190"/>
        <n v="1885.5"/>
        <n v="245.65"/>
        <n v="1116"/>
        <n v="626.4"/>
        <n v="1245"/>
        <n v="1795.5"/>
        <n v="748.5"/>
        <n v="186.3"/>
        <n v="1437.6"/>
        <n v="974.25"/>
        <n v="549"/>
        <n v="595"/>
        <n v="2433.75"/>
        <n v="4713.75"/>
        <n v="170.1"/>
        <n v="340.1"/>
        <n v="569.05"/>
        <n v="29.25"/>
        <n v="80"/>
        <n v="3822.45"/>
        <n v="294"/>
        <n v="1103.3"/>
        <n v="1460.25"/>
        <n v="711.55"/>
        <n v="638.4"/>
        <n v="389.3"/>
        <n v="1948.5"/>
        <n v="1358.4"/>
        <n v="150.1"/>
        <n v="148.2"/>
        <n v="2607.75"/>
        <n v="768.6"/>
        <n v="261"/>
        <n v="226.95"/>
        <n v="279.3"/>
        <n v="539.1"/>
        <n v="2037.45"/>
        <n v="70"/>
        <n v="73.5"/>
        <n v="39"/>
        <n v="4496.25"/>
        <n v="591.6"/>
        <n v="236.55"/>
        <n v="1818.6"/>
        <n v="2920.5"/>
        <n v="1011.5"/>
        <n v="192.5"/>
        <n v="2992"/>
        <n v="176"/>
        <n v="43.5"/>
        <n v="3312.45"/>
        <n v="90"/>
        <n v="20.3"/>
        <n v="1372.75"/>
        <n v="4396"/>
        <n v="330.6"/>
        <n v="479.2"/>
        <n v="1528.3"/>
        <n v="5621.25"/>
        <n v="221"/>
        <n v="1608.6"/>
        <n v="1034.1"/>
        <n v="798"/>
        <n v="652.65"/>
        <n v="425.25"/>
        <n v="147"/>
        <n v="1695"/>
        <n v="235.2"/>
        <n v="56.25"/>
        <n v="2808.75"/>
        <n v="130"/>
        <n v="837.9"/>
        <n v="149.25"/>
        <n v="6277.5"/>
        <n v="652.5"/>
        <n v="2298"/>
        <n v="240.3"/>
        <n v="336.75"/>
        <n v="799"/>
        <n v="304.3"/>
        <n v="42.5"/>
        <n v="1098.2"/>
        <n v="23.2"/>
        <n v="286.4"/>
        <n v="1326.2"/>
        <n v="118"/>
        <n v="185.25"/>
        <n v="718.2"/>
        <n v="249"/>
        <n v="447.75"/>
        <n v="300.2"/>
        <n v="155.25"/>
        <n v="196.65"/>
        <n v="3056.6"/>
        <n v="110.25"/>
        <n v="458"/>
        <n v="3813.75"/>
        <n v="1996"/>
        <n v="275"/>
        <n v="719.2"/>
        <n v="611.1"/>
        <n v="988.2"/>
        <n v="249.9"/>
        <n v="75.65"/>
        <n v="1570.5"/>
        <n v="296.25"/>
        <n v="189.6"/>
        <n v="207"/>
        <n v="537"/>
        <n v="2232"/>
        <n v="116"/>
        <n v="1233.1"/>
        <n v="36.75"/>
        <n v="2246.25"/>
        <n v="674.1"/>
        <n v="3196"/>
        <n v="2376.6"/>
        <n v="4576.5"/>
        <n v="182"/>
        <n v="6780"/>
        <n v="823.65"/>
        <n v="4245"/>
        <n v="443.7"/>
        <n v="200.6"/>
        <n v="449.25"/>
        <n v="3507.3"/>
        <n v="41.3"/>
        <n v="276.5"/>
        <n v="1228.25"/>
        <n v="59"/>
        <n v="33.25"/>
        <n v="565.25"/>
        <n v="2370.25"/>
        <n v="146.25"/>
        <n v="2054.4"/>
        <n v="2164.95"/>
        <n v="798.4"/>
        <n v="642"/>
        <n v="1397.2"/>
        <n v="65.25"/>
        <n v="105.3"/>
        <n v="52.2"/>
        <n v="247.5"/>
        <n v="679.15"/>
        <n v="2094.4"/>
        <n v="649"/>
        <n v="593.3"/>
        <n v="217.55"/>
        <n v="1018.5"/>
        <n v="1756.8"/>
        <n v="764.15"/>
        <n v="747"/>
        <n v="38.5"/>
        <n v="1156"/>
        <n v="494.1"/>
        <n v="6102"/>
        <n v="989.1"/>
        <n v="2970.75"/>
        <n v="1284"/>
        <n v="522.9"/>
        <n v="4136.4"/>
        <n v="898.5"/>
        <n v="65.55"/>
        <n v="1222.2"/>
        <n v="111.15"/>
        <n v="2677.5"/>
        <n v="558.6"/>
      </sharedItems>
    </cacheField>
    <cacheField name="Quantity" numFmtId="0">
      <sharedItems containsSemiMixedTypes="0" containsString="0" containsNumber="1" containsInteger="1" minValue="1" maxValue="5" count="5">
        <n v="2"/>
        <n v="4"/>
        <n v="1"/>
        <n v="5"/>
        <n v="3"/>
      </sharedItems>
    </cacheField>
    <cacheField name="Discount" numFmtId="0">
      <sharedItems containsSemiMixedTypes="0" containsString="0" containsNumber="1" minValue="0" maxValue="0.3" count="7">
        <n v="0"/>
        <n v="0.15"/>
        <n v="0.2"/>
        <n v="0.25"/>
        <n v="0.05"/>
        <n v="0.3"/>
        <n v="0.1"/>
      </sharedItems>
    </cacheField>
    <cacheField name="Discount_Category" numFmtId="0">
      <sharedItems count="4">
        <s v="No Discount"/>
        <s v="Medium"/>
        <s v="High"/>
        <s v="Low"/>
      </sharedItems>
    </cacheField>
    <cacheField name="Profit" numFmtId="0">
      <sharedItems containsSemiMixedTypes="0" containsString="0" containsNumber="1" minValue="-493.2" maxValue="1558.63" count="1030">
        <n v="185.07"/>
        <n v="45.37"/>
        <n v="-23.68"/>
        <n v="-113.67"/>
        <n v="404.48"/>
        <n v="3.74"/>
        <n v="481.14"/>
        <n v="194.49"/>
        <n v="78.09"/>
        <n v="1177.34"/>
        <n v="-17.89"/>
        <n v="228.23"/>
        <n v="137.28"/>
        <n v="17.67"/>
        <n v="-180.74"/>
        <n v="191.24"/>
        <n v="4.15"/>
        <n v="27.52"/>
        <n v="43.62"/>
        <n v="19.55"/>
        <n v="218.65"/>
        <n v="28.83"/>
        <n v="-19.47"/>
        <n v="608.13"/>
        <n v="150.65"/>
        <n v="58.72"/>
        <n v="78.94"/>
        <n v="132.6"/>
        <n v="101.37"/>
        <n v="-26.71"/>
        <n v="-44.77"/>
        <n v="41.46"/>
        <n v="26.79"/>
        <n v="-53.8"/>
        <n v="48.83"/>
        <n v="803.24"/>
        <n v="40.83"/>
        <n v="136.84"/>
        <n v="804.2"/>
        <n v="-0.13"/>
        <n v="886.34"/>
        <n v="-13.02"/>
        <n v="15.92"/>
        <n v="-7.2"/>
        <n v="503.67"/>
        <n v="-19.28"/>
        <n v="35.96"/>
        <n v="172.34"/>
        <n v="77.67"/>
        <n v="274.62"/>
        <n v="237.41"/>
        <n v="17.25"/>
        <n v="11.25"/>
        <n v="427.38"/>
        <n v="1309.29"/>
        <n v="-116.21"/>
        <n v="1006.19"/>
        <n v="4.62"/>
        <n v="601.11"/>
        <n v="3.78"/>
        <n v="-44.34"/>
        <n v="116.59"/>
        <n v="9.37"/>
        <n v="-94.08"/>
        <n v="249.4"/>
        <n v="446.69"/>
        <n v="-138.76"/>
        <n v="63.12"/>
        <n v="346.21"/>
        <n v="-71.37"/>
        <n v="184.43"/>
        <n v="-24.08"/>
        <n v="120.36"/>
        <n v="-28.14"/>
        <n v="392.33"/>
        <n v="102.13"/>
        <n v="-12.39"/>
        <n v="74.1"/>
        <n v="200.52"/>
        <n v="-17.13"/>
        <n v="787.68"/>
        <n v="2.18"/>
        <n v="3.31"/>
        <n v="17.12"/>
        <n v="20.12"/>
        <n v="-24.19"/>
        <n v="-2.54"/>
        <n v="475.06"/>
        <n v="60.1"/>
        <n v="-4.76"/>
        <n v="495.96"/>
        <n v="-35.04"/>
        <n v="208.84"/>
        <n v="643.24"/>
        <n v="-6.97"/>
        <n v="28.1"/>
        <n v="-19.48"/>
        <n v="12.89"/>
        <n v="-39.31"/>
        <n v="0"/>
        <n v="306.17"/>
        <n v="2.42"/>
        <n v="104.36"/>
        <n v="1556.46"/>
        <n v="321.81"/>
        <n v="282.09"/>
        <n v="213.56"/>
        <n v="-34.77"/>
        <n v="-139.78"/>
        <n v="537.83"/>
        <n v="17.98"/>
        <n v="-33.9"/>
        <n v="-4.86"/>
        <n v="153.22"/>
        <n v="239.35"/>
        <n v="-137.4"/>
        <n v="322.69"/>
        <n v="558.38"/>
        <n v="9.68"/>
        <n v="174.05"/>
        <n v="44.43"/>
        <n v="26.33"/>
        <n v="-26.25"/>
        <n v="45.53"/>
        <n v="48.81"/>
        <n v="635.95"/>
        <n v="466.37"/>
        <n v="-66.14"/>
        <n v="11.65"/>
        <n v="-96.78"/>
        <n v="462.19"/>
        <n v="26.3"/>
        <n v="-202.48"/>
        <n v="-16.72"/>
        <n v="277.1"/>
        <n v="967.73"/>
        <n v="23.45"/>
        <n v="-0.89"/>
        <n v="-2.87"/>
        <n v="73.05"/>
        <n v="-23.43"/>
        <n v="211.08"/>
        <n v="576.62"/>
        <n v="36.05"/>
        <n v="154.62"/>
        <n v="443.08"/>
        <n v="261"/>
        <n v="11.51"/>
        <n v="16.32"/>
        <n v="16.82"/>
        <n v="-17.4"/>
        <n v="-29.06"/>
        <n v="217.56"/>
        <n v="694.07"/>
        <n v="94.88"/>
        <n v="54.68"/>
        <n v="-68.98"/>
        <n v="115.39"/>
        <n v="92.27"/>
        <n v="44.99"/>
        <n v="-10.49"/>
        <n v="98.96"/>
        <n v="9.64"/>
        <n v="115.35"/>
        <n v="862.76"/>
        <n v="-431.87"/>
        <n v="21.91"/>
        <n v="42.54"/>
        <n v="1448.34"/>
        <n v="-213.61"/>
        <n v="34.48"/>
        <n v="23.13"/>
        <n v="-24.41"/>
        <n v="-58.51"/>
        <n v="323.48"/>
        <n v="-50.02"/>
        <n v="-48.73"/>
        <n v="24.73"/>
        <n v="-0.05"/>
        <n v="-9.49"/>
        <n v="219.22"/>
        <n v="51.05"/>
        <n v="184.51"/>
        <n v="-0.97"/>
        <n v="505.48"/>
        <n v="402.52"/>
        <n v="-143.66"/>
        <n v="495.68"/>
        <n v="33.35"/>
        <n v="-44.31"/>
        <n v="225.76"/>
        <n v="83.55"/>
        <n v="35.9"/>
        <n v="297.25"/>
        <n v="321.55"/>
        <n v="-65.9"/>
        <n v="-21.33"/>
        <n v="-42.16"/>
        <n v="33.62"/>
        <n v="20.72"/>
        <n v="-100.26"/>
        <n v="-270.56"/>
        <n v="102.08"/>
        <n v="436.33"/>
        <n v="83.81"/>
        <n v="563.93"/>
        <n v="397.78"/>
        <n v="189.79"/>
        <n v="4.27"/>
        <n v="128.37"/>
        <n v="692.11"/>
        <n v="377.44"/>
        <n v="153.44"/>
        <n v="66.89"/>
        <n v="570.38"/>
        <n v="63.61"/>
        <n v="-105.01"/>
        <n v="-9.11"/>
        <n v="336.85"/>
        <n v="91.16"/>
        <n v="128.66"/>
        <n v="507.76"/>
        <n v="22.91"/>
        <n v="7.82"/>
        <n v="-0.42"/>
        <n v="200.65"/>
        <n v="67.23"/>
        <n v="328.07"/>
        <n v="229.7"/>
        <n v="414.77"/>
        <n v="-141.28"/>
        <n v="446.06"/>
        <n v="266.66"/>
        <n v="596.22"/>
        <n v="50.81"/>
        <n v="-31.53"/>
        <n v="711.65"/>
        <n v="93.89"/>
        <n v="423.81"/>
        <n v="15.03"/>
        <n v="-16.54"/>
        <n v="-8.02"/>
        <n v="109.18"/>
        <n v="235.71"/>
        <n v="-156.39"/>
        <n v="-7.53"/>
        <n v="238.05"/>
        <n v="210.39"/>
        <n v="24.07"/>
        <n v="-3.91"/>
        <n v="170.27"/>
        <n v="22.48"/>
        <n v="16.28"/>
        <n v="163.6"/>
        <n v="34.43"/>
        <n v="90.07"/>
        <n v="356.09"/>
        <n v="252.22"/>
        <n v="58.45"/>
        <n v="16.67"/>
        <n v="890.53"/>
        <n v="624.31"/>
        <n v="432.54"/>
        <n v="9.01"/>
        <n v="9.43"/>
        <n v="823.5"/>
        <n v="377.16"/>
        <n v="30.32"/>
        <n v="202.43"/>
        <n v="183.36"/>
        <n v="15.43"/>
        <n v="-138.32"/>
        <n v="33.15"/>
        <n v="339.26"/>
        <n v="247.66"/>
        <n v="22.81"/>
        <n v="65.66"/>
        <n v="523.97"/>
        <n v="166.12"/>
        <n v="-18.79"/>
        <n v="-7.16"/>
        <n v="17.52"/>
        <n v="11.43"/>
        <n v="43.43"/>
        <n v="215"/>
        <n v="107.96"/>
        <n v="39.69"/>
        <n v="182.11"/>
        <n v="424.06"/>
        <n v="125.09"/>
        <n v="284.82"/>
        <n v="319.87"/>
        <n v="219.77"/>
        <n v="-197.88"/>
        <n v="34.99"/>
        <n v="9.73"/>
        <n v="37.65"/>
        <n v="189.27"/>
        <n v="369.67"/>
        <n v="16.36"/>
        <n v="-67.4"/>
        <n v="128.74"/>
        <n v="209.14"/>
        <n v="95.84"/>
        <n v="45.32"/>
        <n v="-40.91"/>
        <n v="20.92"/>
        <n v="73.79"/>
        <n v="2.82"/>
        <n v="6.73"/>
        <n v="-116.65"/>
        <n v="53.1"/>
        <n v="165.75"/>
        <n v="43.35"/>
        <n v="31.25"/>
        <n v="142.54"/>
        <n v="351.4"/>
        <n v="30.36"/>
        <n v="-119.92"/>
        <n v="-60.53"/>
        <n v="-42.18"/>
        <n v="162"/>
        <n v="2.84"/>
        <n v="315.57"/>
        <n v="641.74"/>
        <n v="4.04"/>
        <n v="425.34"/>
        <n v="728.15"/>
        <n v="-12.7"/>
        <n v="25.3"/>
        <n v="148.1"/>
        <n v="-157.01"/>
        <n v="49.37"/>
        <n v="-8.38"/>
        <n v="6"/>
        <n v="43.37"/>
        <n v="-6.74"/>
        <n v="192.82"/>
        <n v="301.72"/>
        <n v="135.65"/>
        <n v="-210.6"/>
        <n v="18.55"/>
        <n v="-111.9"/>
        <n v="29.56"/>
        <n v="507.91"/>
        <n v="372.12"/>
        <n v="-181.77"/>
        <n v="128.14"/>
        <n v="111.7"/>
        <n v="-53.86"/>
        <n v="-35.34"/>
        <n v="1063.26"/>
        <n v="-20.56"/>
        <n v="6.86"/>
        <n v="10.14"/>
        <n v="1.63"/>
        <n v="152.5"/>
        <n v="-21.26"/>
        <n v="99.86"/>
        <n v="-33.68"/>
        <n v="20.37"/>
        <n v="347.77"/>
        <n v="21.83"/>
        <n v="-140.4"/>
        <n v="-23.23"/>
        <n v="114.37"/>
        <n v="34.83"/>
        <n v="346.97"/>
        <n v="60.87"/>
        <n v="33"/>
        <n v="-27.33"/>
        <n v="95.06"/>
        <n v="36.77"/>
        <n v="68.47"/>
        <n v="486.82"/>
        <n v="166.9"/>
        <n v="-83.05"/>
        <n v="1190.93"/>
        <n v="6.93"/>
        <n v="9.26"/>
        <n v="-87.19"/>
        <n v="20.64"/>
        <n v="317.54"/>
        <n v="-54.5"/>
        <n v="155.81"/>
        <n v="198.31"/>
        <n v="41.17"/>
        <n v="17.72"/>
        <n v="378.22"/>
        <n v="43.04"/>
        <n v="123.05"/>
        <n v="73.62"/>
        <n v="-9.2"/>
        <n v="961.55"/>
        <n v="23.94"/>
        <n v="83.15"/>
        <n v="267.87"/>
        <n v="89.97"/>
        <n v="53.97"/>
        <n v="127.49"/>
        <n v="26.74"/>
        <n v="462.59"/>
        <n v="14.81"/>
        <n v="80.01"/>
        <n v="106.55"/>
        <n v="-137.27"/>
        <n v="-12.37"/>
        <n v="15.76"/>
        <n v="166.79"/>
        <n v="13.43"/>
        <n v="-0.69"/>
        <n v="131.59"/>
        <n v="-19.93"/>
        <n v="660.86"/>
        <n v="230.28"/>
        <n v="-1.55"/>
        <n v="-220.62"/>
        <n v="47"/>
        <n v="803.39"/>
        <n v="10.96"/>
        <n v="-13.06"/>
        <n v="-66.89"/>
        <n v="20.65"/>
        <n v="9.58"/>
        <n v="10.09"/>
        <n v="350.44"/>
        <n v="289.06"/>
        <n v="2.5"/>
        <n v="15.46"/>
        <n v="105.41"/>
        <n v="-14.01"/>
        <n v="-15.58"/>
        <n v="43.74"/>
        <n v="603.53"/>
        <n v="182.63"/>
        <n v="557.28"/>
        <n v="1.57"/>
        <n v="494.37"/>
        <n v="276.92"/>
        <n v="1034.25"/>
        <n v="365.92"/>
        <n v="-38.85"/>
        <n v="121.17"/>
        <n v="35.86"/>
        <n v="276.49"/>
        <n v="-10.36"/>
        <n v="29.95"/>
        <n v="635.73"/>
        <n v="31.69"/>
        <n v="95.35"/>
        <n v="-223.63"/>
        <n v="176.51"/>
        <n v="-117.16"/>
        <n v="572.95"/>
        <n v="585.8"/>
        <n v="70.21"/>
        <n v="236.83"/>
        <n v="82.2"/>
        <n v="221.34"/>
        <n v="8.43"/>
        <n v="56.65"/>
        <n v="-18.71"/>
        <n v="19.87"/>
        <n v="15.73"/>
        <n v="8.39"/>
        <n v="72.13"/>
        <n v="-48.34"/>
        <n v="-4.71"/>
        <n v="293.92"/>
        <n v="-10.73"/>
        <n v="46.78"/>
        <n v="8.77"/>
        <n v="112.55"/>
        <n v="387.81"/>
        <n v="20.93"/>
        <n v="-269.16"/>
        <n v="361.45"/>
        <n v="258.12"/>
        <n v="-30.21"/>
        <n v="266"/>
        <n v="-22.91"/>
        <n v="-22.44"/>
        <n v="-34.2"/>
        <n v="213.65"/>
        <n v="458.8"/>
        <n v="-75.71"/>
        <n v="12.04"/>
        <n v="222.78"/>
        <n v="6.83"/>
        <n v="316.1"/>
        <n v="138.37"/>
        <n v="59.18"/>
        <n v="316.33"/>
        <n v="-17.07"/>
        <n v="229.19"/>
        <n v="35.98"/>
        <n v="471.63"/>
        <n v="10.28"/>
        <n v="9.79"/>
        <n v="13.62"/>
        <n v="-58.89"/>
        <n v="0.79"/>
        <n v="-34.92"/>
        <n v="562.87"/>
        <n v="-48.27"/>
        <n v="-32.15"/>
        <n v="-199.94"/>
        <n v="333.37"/>
        <n v="1.1"/>
        <n v="265.88"/>
        <n v="19.46"/>
        <n v="-14.71"/>
        <n v="166.86"/>
        <n v="-15.83"/>
        <n v="413.61"/>
        <n v="-90.68"/>
        <n v="59"/>
        <n v="-32.7"/>
        <n v="76.62"/>
        <n v="3.84"/>
        <n v="-39.16"/>
        <n v="75.57"/>
        <n v="1129.27"/>
        <n v="-25.15"/>
        <n v="17.79"/>
        <n v="249.99"/>
        <n v="232.25"/>
        <n v="283.93"/>
        <n v="-15.02"/>
        <n v="157.04"/>
        <n v="102.86"/>
        <n v="234.07"/>
        <n v="7.33"/>
        <n v="117.49"/>
        <n v="687.76"/>
        <n v="161.92"/>
        <n v="-4.12"/>
        <n v="88.08"/>
        <n v="269.31"/>
        <n v="78.51"/>
        <n v="216.61"/>
        <n v="88.97"/>
        <n v="27.68"/>
        <n v="770.74"/>
        <n v="30.23"/>
        <n v="-173.35"/>
        <n v="1180.98"/>
        <n v="316.11"/>
        <n v="38.52"/>
        <n v="569.34"/>
        <n v="-17.58"/>
        <n v="991.47"/>
        <n v="285.65"/>
        <n v="19.93"/>
        <n v="43.25"/>
        <n v="36.57"/>
        <n v="439.79"/>
        <n v="11.62"/>
        <n v="-105.19"/>
        <n v="38.38"/>
        <n v="396.5"/>
        <n v="10.37"/>
        <n v="157.35"/>
        <n v="411.61"/>
        <n v="16.27"/>
        <n v="471.92"/>
        <n v="-32.21"/>
        <n v="-427.68"/>
        <n v="146.89"/>
        <n v="256.44"/>
        <n v="-15.55"/>
        <n v="-52.32"/>
        <n v="-14.63"/>
        <n v="301.46"/>
        <n v="28.74"/>
        <n v="1014.19"/>
        <n v="38.57"/>
        <n v="129.1"/>
        <n v="453.18"/>
        <n v="44.97"/>
        <n v="-65.22"/>
        <n v="48.63"/>
        <n v="13.39"/>
        <n v="-64.2"/>
        <n v="68.24"/>
        <n v="33.19"/>
        <n v="17.08"/>
        <n v="15.64"/>
        <n v="8.58"/>
        <n v="-51.25"/>
        <n v="-16.85"/>
        <n v="360.83"/>
        <n v="51.07"/>
        <n v="-6.31"/>
        <n v="142.84"/>
        <n v="-14.65"/>
        <n v="5.51"/>
        <n v="-10.74"/>
        <n v="636.58"/>
        <n v="-22.75"/>
        <n v="22.88"/>
        <n v="1558.63"/>
        <n v="72.05"/>
        <n v="170.15"/>
        <n v="-50.58"/>
        <n v="451.23"/>
        <n v="61.49"/>
        <n v="-97.8"/>
        <n v="82.27"/>
        <n v="8.76"/>
        <n v="382.56"/>
        <n v="12.29"/>
        <n v="-277.83"/>
        <n v="-18.41"/>
        <n v="19.95"/>
        <n v="-3.17"/>
        <n v="1.8"/>
        <n v="65.72"/>
        <n v="30.52"/>
        <n v="890.9"/>
        <n v="166.96"/>
        <n v="-48.15"/>
        <n v="552.28"/>
        <n v="190.61"/>
        <n v="183.67"/>
        <n v="458.6"/>
        <n v="-16.74"/>
        <n v="299.35"/>
        <n v="70.71"/>
        <n v="699.03"/>
        <n v="407.92"/>
        <n v="129.25"/>
        <n v="120.41"/>
        <n v="600.14"/>
        <n v="641.11"/>
        <n v="206.82"/>
        <n v="384.39"/>
        <n v="85.92"/>
        <n v="58.96"/>
        <n v="517.25"/>
        <n v="37.73"/>
        <n v="-110.4"/>
        <n v="-2.06"/>
        <n v="139.97"/>
        <n v="233.74"/>
        <n v="21.98"/>
        <n v="74.86"/>
        <n v="11.7"/>
        <n v="322.42"/>
        <n v="56.24"/>
        <n v="-316.08"/>
        <n v="120.28"/>
        <n v="-130.71"/>
        <n v="136.23"/>
        <n v="399.17"/>
        <n v="226.23"/>
        <n v="125.54"/>
        <n v="7.97"/>
        <n v="138.96"/>
        <n v="721.22"/>
        <n v="359.14"/>
        <n v="17.59"/>
        <n v="13.34"/>
        <n v="346.16"/>
        <n v="-28.86"/>
        <n v="-159.04"/>
        <n v="488.34"/>
        <n v="46.97"/>
        <n v="92.4"/>
        <n v="770.91"/>
        <n v="830.34"/>
        <n v="306.38"/>
        <n v="-368.73"/>
        <n v="67.32"/>
        <n v="17.65"/>
        <n v="-79.18"/>
        <n v="-17.47"/>
        <n v="621.18"/>
        <n v="229"/>
        <n v="930.1"/>
        <n v="533.43"/>
        <n v="227.89"/>
        <n v="-135.48"/>
        <n v="587.88"/>
        <n v="-37.62"/>
        <n v="118.4"/>
        <n v="-94.39"/>
        <n v="456.93"/>
        <n v="44.58"/>
        <n v="92.66"/>
        <n v="117.42"/>
        <n v="-55.23"/>
        <n v="202.78"/>
        <n v="10.61"/>
        <n v="336.21"/>
        <n v="18.04"/>
        <n v="36.63"/>
        <n v="5.16"/>
        <n v="-114.46"/>
        <n v="252.27"/>
        <n v="197.67"/>
        <n v="89.67"/>
        <n v="-76.38"/>
        <n v="23.86"/>
        <n v="211.33"/>
        <n v="82.36"/>
        <n v="21.58"/>
        <n v="-75.68"/>
        <n v="-58.78"/>
        <n v="210.91"/>
        <n v="-181.94"/>
        <n v="130.22"/>
        <n v="115.26"/>
        <n v="401.78"/>
        <n v="357.35"/>
        <n v="1169.3"/>
        <n v="-19.55"/>
        <n v="57.16"/>
        <n v="55.31"/>
        <n v="-180.71"/>
        <n v="669.53"/>
        <n v="-16.96"/>
        <n v="453.95"/>
        <n v="2.07"/>
        <n v="590.44"/>
        <n v="-0.22"/>
        <n v="1.54"/>
        <n v="686.27"/>
        <n v="-31.99"/>
        <n v="930.88"/>
        <n v="-33.27"/>
        <n v="99.78"/>
        <n v="-81.14"/>
        <n v="175.01"/>
        <n v="3.38"/>
        <n v="110.1"/>
        <n v="15.57"/>
        <n v="48.84"/>
        <n v="-34.06"/>
        <n v="-58.92"/>
        <n v="227.07"/>
        <n v="-32.24"/>
        <n v="186.62"/>
        <n v="541.14"/>
        <n v="128.76"/>
        <n v="11.09"/>
        <n v="16.89"/>
        <n v="29.3"/>
        <n v="507.84"/>
        <n v="177.26"/>
        <n v="-30.75"/>
        <n v="-25.23"/>
        <n v="26.8"/>
        <n v="19.04"/>
        <n v="-65.55"/>
        <n v="-36.13"/>
        <n v="9.2"/>
        <n v="107.63"/>
        <n v="534.67"/>
        <n v="25.98"/>
        <n v="-69.52"/>
        <n v="238.24"/>
        <n v="33.72"/>
        <n v="2.13"/>
        <n v="28.94"/>
        <n v="30.27"/>
        <n v="-7.57"/>
        <n v="-1.52"/>
        <n v="804.16"/>
        <n v="60.3"/>
        <n v="254.58"/>
        <n v="486.94"/>
        <n v="118.15"/>
        <n v="-51.88"/>
        <n v="46.22"/>
        <n v="372.76"/>
        <n v="9.67"/>
        <n v="-96.79"/>
        <n v="435.86"/>
        <n v="146.92"/>
        <n v="21.82"/>
        <n v="733.68"/>
        <n v="22.58"/>
        <n v="-4.6"/>
        <n v="583.97"/>
        <n v="-10.58"/>
        <n v="338.98"/>
        <n v="282.95"/>
        <n v="781.18"/>
        <n v="-6.19"/>
        <n v="58.4"/>
        <n v="47.12"/>
        <n v="-125.22"/>
        <n v="-102.62"/>
        <n v="1398.85"/>
        <n v="149.05"/>
        <n v="-46.62"/>
        <n v="22.36"/>
        <n v="-17.55"/>
        <n v="-27.44"/>
        <n v="-100.19"/>
        <n v="479.78"/>
        <n v="-141.38"/>
        <n v="96.73"/>
        <n v="46.39"/>
        <n v="-331.92"/>
        <n v="186.09"/>
        <n v="183.35"/>
        <n v="94.01"/>
        <n v="-20.69"/>
        <n v="52.96"/>
        <n v="15.91"/>
        <n v="-125.69"/>
        <n v="464.23"/>
        <n v="302.52"/>
        <n v="105.67"/>
        <n v="32.85"/>
        <n v="1115.92"/>
        <n v="-3.61"/>
        <n v="457.77"/>
        <n v="492.75"/>
        <n v="-13.96"/>
        <n v="119.43"/>
        <n v="10.33"/>
        <n v="-0.91"/>
        <n v="96.76"/>
        <n v="455"/>
        <n v="105.69"/>
        <n v="-323.01"/>
        <n v="59.54"/>
        <n v="406.79"/>
        <n v="122.57"/>
        <n v="345.14"/>
        <n v="227"/>
        <n v="37.05"/>
        <n v="-37.32"/>
        <n v="224.48"/>
        <n v="-44.84"/>
        <n v="62.34"/>
        <n v="-10.59"/>
        <n v="521.6"/>
        <n v="-133.75"/>
        <n v="20.35"/>
        <n v="49.31"/>
        <n v="162.87"/>
        <n v="-9.59"/>
        <n v="50.32"/>
        <n v="823.48"/>
        <n v="-6.09"/>
        <n v="20.21"/>
        <n v="-15.79"/>
        <n v="29.65"/>
        <n v="146.54"/>
        <n v="173.03"/>
        <n v="71.2"/>
        <n v="-19.15"/>
        <n v="-40.25"/>
        <n v="76.76"/>
        <n v="-1.45"/>
        <n v="-10.82"/>
        <n v="60.17"/>
        <n v="3.9"/>
        <n v="15.12"/>
        <n v="1.72"/>
        <n v="16.37"/>
        <n v="195.03"/>
        <n v="-25.26"/>
        <n v="-27.64"/>
        <n v="-130.64"/>
        <n v="931.25"/>
        <n v="434.86"/>
        <n v="21"/>
        <n v="604.65"/>
        <n v="9.89"/>
        <n v="-176.53"/>
        <n v="41.72"/>
        <n v="828.05"/>
        <n v="509.71"/>
        <n v="296.53"/>
        <n v="44.73"/>
        <n v="8.35"/>
        <n v="38.05"/>
        <n v="-63.78"/>
        <n v="-38.14"/>
        <n v="-30.28"/>
        <n v="-43.77"/>
        <n v="12.52"/>
        <n v="217.17"/>
        <n v="167.8"/>
        <n v="10.51"/>
        <n v="-2.32"/>
        <n v="223.56"/>
        <n v="1.86"/>
        <n v="33.65"/>
        <n v="59.45"/>
        <n v="28.14"/>
        <n v="-21.01"/>
        <n v="750.45"/>
        <n v="-44.62"/>
        <n v="525.15"/>
        <n v="19.48"/>
        <n v="395.47"/>
        <n v="-11.84"/>
        <n v="12.46"/>
        <n v="-101.38"/>
        <n v="14.01"/>
        <n v="41.22"/>
        <n v="-6.64"/>
        <n v="266.91"/>
        <n v="68.11"/>
        <n v="11.1"/>
        <n v="486.73"/>
        <n v="381.12"/>
        <n v="514"/>
        <n v="995.93"/>
        <n v="19.73"/>
        <n v="802.88"/>
        <n v="171.52"/>
        <n v="111.2"/>
        <n v="752.92"/>
        <n v="-42.28"/>
        <n v="29.19"/>
        <n v="28.19"/>
        <n v="92.76"/>
        <n v="0.8"/>
        <n v="520.27"/>
        <n v="277.58"/>
        <n v="69.01"/>
        <n v="18.37"/>
        <n v="80.21"/>
        <n v="4.66"/>
        <n v="-12.59"/>
        <n v="596.07"/>
        <n v="514.29"/>
        <n v="108.55"/>
        <n v="-27.88"/>
        <n v="109.24"/>
        <n v="-14.99"/>
        <n v="22.11"/>
        <n v="-12.09"/>
        <n v="750.3"/>
        <n v="-38.63"/>
        <n v="280.18"/>
        <n v="47.64"/>
        <n v="-140.02"/>
        <n v="-308.7"/>
        <n v="29.11"/>
        <n v="403.86"/>
        <n v="213"/>
        <n v="126.68"/>
        <n v="-74.85"/>
        <n v="177.22"/>
        <n v="93.71"/>
        <n v="-345.04"/>
        <n v="61.41"/>
        <n v="468.73"/>
        <n v="25.4"/>
        <n v="-117.58"/>
        <n v="26.17"/>
        <n v="73.93"/>
        <n v="-13.12"/>
        <n v="227.93"/>
        <n v="5.39"/>
        <n v="-13"/>
        <n v="8.98"/>
        <n v="-5.87"/>
        <n v="-142.98"/>
        <n v="41.5"/>
        <n v="99.87"/>
        <n v="-59.19"/>
        <n v="24.22"/>
        <n v="633.67"/>
        <n v="147.45"/>
        <n v="129.15"/>
        <n v="412.9"/>
        <n v="79.57"/>
        <n v="413.66"/>
        <n v="69.68"/>
        <n v="43.92"/>
        <n v="153.64"/>
        <n v="65.83"/>
        <n v="-28.18"/>
        <n v="-90.15"/>
        <n v="75.62"/>
        <n v="-43.94"/>
        <n v="147.76"/>
        <n v="336.87"/>
        <n v="212.28"/>
        <n v="-87.31"/>
        <n v="68.03"/>
        <n v="165.58"/>
        <n v="774.05"/>
        <n v="-71.77"/>
        <n v="-65.42"/>
        <n v="759.13"/>
        <n v="9.24"/>
        <n v="-22.38"/>
        <n v="76.55"/>
        <n v="-493.2"/>
        <n v="348.92"/>
        <n v="39.05"/>
        <n v="-99.7"/>
        <n v="74.27"/>
        <n v="-39.25"/>
        <n v="-50.61"/>
        <n v="16.91"/>
        <n v="1208.67"/>
        <n v="185.62"/>
        <n v="443.66"/>
        <n v="-131.05"/>
        <n v="580.56"/>
        <n v="-95.05"/>
        <n v="704.29"/>
        <n v="-72.46"/>
        <n v="56.61"/>
        <n v="407.9"/>
        <n v="-79.59"/>
        <n v="455.06"/>
        <n v="1013.78"/>
        <n v="11.11"/>
        <n v="301.03"/>
        <n v="30.42"/>
        <n v="101.43"/>
        <n v="266.94"/>
        <n v="-20.67"/>
        <n v="255.16"/>
        <n v="75.03"/>
        <n v="131.95"/>
        <n v="6.88"/>
        <n v="-82.88"/>
      </sharedItems>
    </cacheField>
    <cacheField name="Profit Margin" numFmtId="10">
      <sharedItems containsSemiMixedTypes="0" containsString="0" containsNumber="1" minValue="-0.521182266009852" maxValue="0.249346505936735" count="1045">
        <n v="0.20609131403118"/>
        <n v="0.16891288160834"/>
        <n v="-0.170114942528736"/>
        <n v="-0.0889158322903629"/>
        <n v="0.193299880525687"/>
        <n v="0.0477040816326531"/>
        <n v="0.149399161620866"/>
        <n v="0.139269602577873"/>
        <n v="0.130804020100503"/>
        <n v="0.218207765730702"/>
        <n v="-0.305811965811966"/>
        <n v="0.117221366204417"/>
        <n v="0.184268456375839"/>
        <n v="0.214181818181818"/>
        <n v="-0.0532214369846879"/>
        <n v="0.174171220400729"/>
        <n v="0.0278523489932886"/>
        <n v="0.141128205128205"/>
        <n v="0.122700421940928"/>
        <n v="0.15515873015873"/>
        <n v="0.112300975860298"/>
        <n v="0.0675887938108076"/>
        <n v="-0.158938775510204"/>
        <n v="0.0985584052510028"/>
        <n v="0.115973826020015"/>
        <n v="0.235634028892456"/>
        <n v="0.165562080536913"/>
        <n v="0.14207650273224"/>
        <n v="0.105858395989975"/>
        <n v="-0.0594877505567929"/>
        <n v="-0.0855042016806723"/>
        <n v="0.198753595397891"/>
        <n v="0.12002688172043"/>
        <n v="-0.0599109131403118"/>
        <n v="0.0931337020789624"/>
        <n v="0.248189346187122"/>
        <n v="0.0782858786310037"/>
        <n v="0.183677852348993"/>
        <n v="0.217225125940332"/>
        <n v="-0.002"/>
        <n v="0.14940412979351"/>
        <n v="-0.112727272727273"/>
        <n v="0.0993757802746567"/>
        <n v="-0.205128205128205"/>
        <n v="0.247260677466863"/>
        <n v="-0.233414043583535"/>
        <n v="0.112234706616729"/>
        <n v="0.202633744855967"/>
        <n v="0.188427947598253"/>
        <n v="0.114568210262829"/>
        <n v="0.188735193576596"/>
        <n v="0.0694444444444445"/>
        <n v="0.0837676842889054"/>
        <n v="0.19819143016138"/>
        <n v="0.218396997497915"/>
        <n v="-0.0895300462249615"/>
        <n v="0.218927328111401"/>
        <n v="0.0576779026217229"/>
        <n v="0.117963008389344"/>
        <n v="0.0504"/>
        <n v="-0.0846991404011461"/>
        <n v="0.0913142230576441"/>
        <n v="0.0600641025641026"/>
        <n v="-0.0554798761609907"/>
        <n v="0.114256917720359"/>
        <n v="0.245812238608849"/>
        <n v="-0.0860207054739322"/>
        <n v="0.146927374301676"/>
        <n v="0.144494991652755"/>
        <n v="-0.0567058636580327"/>
        <n v="0.11397231491781"/>
        <n v="-0.169101123595506"/>
        <n v="0.139669277632724"/>
        <n v="-0.0554537392846586"/>
        <n v="0.17865664845173"/>
        <n v="0.170443925233645"/>
        <n v="-0.167545638945233"/>
        <n v="0.174496644295302"/>
        <n v="0.0991323692992214"/>
        <n v="-0.193559322033898"/>
        <n v="0.218982485404504"/>
        <n v="0.0872"/>
        <n v="0.0317353787152445"/>
        <n v="0.0978285714285714"/>
        <n v="0.117147016011645"/>
        <n v="-0.138228571428571"/>
        <n v="-0.135466666666667"/>
        <n v="0.198189403420943"/>
        <n v="0.145962355798421"/>
        <n v="-0.061025641025641"/>
        <n v="0.119312933025404"/>
        <n v="-0.0926984126984127"/>
        <n v="0.169066990487756"/>
        <n v="0.176850324425382"/>
        <n v="-0.240344827586207"/>
        <n v="0.131554307116105"/>
        <n v="-0.0705158371040724"/>
        <n v="0.11017094017094"/>
        <n v="-0.110576652601969"/>
        <n v="0"/>
        <n v="0.174118516833485"/>
        <n v="0.0265934065934066"/>
        <n v="0.110433862433862"/>
        <n v="0.247646778042959"/>
        <n v="0.244239526411658"/>
        <n v="0.117635529608007"/>
        <n v="0.178263772954925"/>
        <n v="-0.0844444444444445"/>
        <n v="-0.0538029253271748"/>
        <n v="0.119650723025584"/>
        <n v="0.133879374534624"/>
        <n v="-0.0882123341139735"/>
        <n v="-0.0771428571428572"/>
        <n v="0.0914200477326969"/>
        <n v="0.239829659318637"/>
        <n v="-0.0851776083317835"/>
        <n v="0.174460032979212"/>
        <n v="0.218390175219024"/>
        <n v="0.0981744421906694"/>
        <n v="0.245920169551395"/>
        <n v="0.140601265822785"/>
        <n v="0.0883557046979866"/>
        <n v="-0.112299465240642"/>
        <n v="0.152785234899329"/>
        <n v="0.123569620253165"/>
        <n v="0.147134015848227"/>
        <n v="0.194482902418682"/>
        <n v="-0.0559205242020714"/>
        <n v="0.110952380952381"/>
        <n v="-0.0815676359039191"/>
        <n v="0.247610628951034"/>
        <n v="0.117673378076063"/>
        <n v="-0.0519579163459071"/>
        <n v="-0.142905982905983"/>
        <n v="0.192859131403118"/>
        <n v="0.248326918142161"/>
        <n v="0.062037037037037"/>
        <n v="-0.00663683818046234"/>
        <n v="-0.0455555555555556"/>
        <n v="0.114894620949984"/>
        <n v="-0.105922242314647"/>
        <n v="0.207286654227634"/>
        <n v="0.246798493408663"/>
        <n v="0.204365079365079"/>
        <n v="0.0983118741058655"/>
        <n v="0.24646363509943"/>
        <n v="0.114616955404782"/>
        <n v="0.0734290271132376"/>
        <n v="0.0863492063492064"/>
        <n v="0.152079566003617"/>
        <n v="-0.348"/>
        <n v="-0.139711538461538"/>
        <n v="0.24233918128655"/>
        <n v="0.245579831932773"/>
        <n v="0.16439400502469"/>
        <n v="0.16310216256525"/>
        <n v="-0.0932792427315754"/>
        <n v="0.110289127837515"/>
        <n v="0.0895390587093644"/>
        <n v="0.142373417721519"/>
        <n v="-0.0782252050708427"/>
        <n v="0.165374331550802"/>
        <n v="0.114015375517445"/>
        <n v="0.0962854757929883"/>
        <n v="0.216746639869363"/>
        <n v="-0.0509581120943953"/>
        <n v="0.1565"/>
        <n v="0.169414575866189"/>
        <n v="0.218576117713639"/>
        <n v="-0.0509019420946027"/>
        <n v="0.155877034358047"/>
        <n v="0.131794871794872"/>
        <n v="-0.0819127516778524"/>
        <n v="-0.0559235364396655"/>
        <n v="0.147304189435337"/>
        <n v="-0.0589163722025913"/>
        <n v="-0.0717673048600884"/>
        <n v="0.0659027315123251"/>
        <n v="-0.000703234880450071"/>
        <n v="-0.36360153256705"/>
        <n v="0.146512949039265"/>
        <n v="0.157076923076923"/>
        <n v="0.0922033898305085"/>
        <n v="0.195248677248677"/>
        <n v="-0.033448275862069"/>
        <n v="0.1987574709028"/>
        <n v="0.117826825127334"/>
        <n v="-0.0532665925101965"/>
        <n v="0.196862464752373"/>
        <n v="0.223825503355705"/>
        <n v="-0.0916821849782744"/>
        <n v="0.177588987217306"/>
        <n v="0.175783715548075"/>
        <n v="0.0871888281724347"/>
        <n v="0.11674030436917"/>
        <n v="0.117140255009107"/>
        <n v="-0.0971546513342179"/>
        <n v="-0.21447963800905"/>
        <n v="-0.10228044638525"/>
        <n v="0.0755505617977528"/>
        <n v="0.2072"/>
        <n v="-0.0542048495661341"/>
        <n v="-0.0835758193556359"/>
        <n v="0.171275167785235"/>
        <n v="0.242810239287702"/>
        <n v="0.199880753637014"/>
        <n v="0.0990176023879549"/>
        <n v="0.177263814616756"/>
        <n v="0.0951328320802005"/>
        <n v="0.0322021116138763"/>
        <n v="0.118160898379971"/>
        <n v="0.247535765379113"/>
        <n v="0.145280985373364"/>
        <n v="0.113912397921307"/>
        <n v="0.169341772151899"/>
        <n v="0.198296481713253"/>
        <n v="0.130683102208526"/>
        <n v="-0.0510066788099575"/>
        <n v="-0.260285714285714"/>
        <n v="0.144174798835816"/>
        <n v="0.21219739292365"/>
        <n v="0.0947213428550394"/>
        <n v="0.244491525423729"/>
        <n v="0.174552380952381"/>
        <n v="0.041840556447298"/>
        <n v="-0.0144827586206897"/>
        <n v="0.14879495736003"/>
        <n v="0.167114093959732"/>
        <n v="0.177368691374044"/>
        <n v="0.143742177722153"/>
        <n v="0.148663082437276"/>
        <n v="-0.0839079435783222"/>
        <n v="0.248086763070078"/>
        <n v="0.178248663101604"/>
        <n v="0.148258112644536"/>
        <n v="0.170503355704698"/>
        <n v="-0.0990263819095478"/>
        <n v="0.118687458305537"/>
        <n v="0.157269681742044"/>
        <n v="0.248394092134568"/>
        <n v="0.144103547459252"/>
        <n v="-0.131269841269841"/>
        <n v="-0.0640063846767757"/>
        <n v="0.164415330170921"/>
        <n v="0.0966182980816527"/>
        <n v="-0.0512586037364798"/>
        <n v="-0.118117647058824"/>
        <n v="0.117869875222816"/>
        <n v="0.235072625698324"/>
        <n v="0.138333333333333"/>
        <n v="-0.0496507936507937"/>
        <n v="0.110665540101391"/>
        <n v="0.150872483221477"/>
        <n v="0.115012363122572"/>
        <n v="0.24399701715138"/>
        <n v="0.0878316326530612"/>
        <n v="0.177793130675089"/>
        <n v="0.148556528994577"/>
        <n v="0.19142380085003"/>
        <n v="0.122382747068677"/>
        <n v="0.178098290598291"/>
        <n v="0.218449197860963"/>
        <n v="0.24863002787734"/>
        <n v="0.148618746564046"/>
        <n v="0.160749330954505"/>
        <n v="0.0816450216450217"/>
        <n v="0.149164515690803"/>
        <n v="0.146174715138361"/>
        <n v="0.18820608317815"/>
        <n v="0.212949715968862"/>
        <n v="0.0979879759519038"/>
        <n v="0.0791282051282051"/>
        <n v="-0.05409887359199"/>
        <n v="0.0830827067669173"/>
        <n v="0.145206300291046"/>
        <n v="0.238501540832049"/>
        <n v="0.12814606741573"/>
        <n v="0.1594656952034"/>
        <n v="0.21868530884808"/>
        <n v="0.186128851540616"/>
        <n v="-0.0594620253164557"/>
        <n v="-0.215987933634992"/>
        <n v="0.138607594936709"/>
        <n v="0.07981843575419"/>
        <n v="0.194317673378076"/>
        <n v="0.195810564663024"/>
        <n v="0.0939599651871192"/>
        <n v="0.199447236180905"/>
        <n v="0.20932183908046"/>
        <n v="0.149041384764081"/>
        <n v="0.0963713405238829"/>
        <n v="0.237666889185581"/>
        <n v="0.178101336302895"/>
        <n v="0.241877613911512"/>
        <n v="-0.0825600801068091"/>
        <n v="0.210024009603842"/>
        <n v="0.0611180904522613"/>
        <n v="0.170207956600362"/>
        <n v="0.210768374164811"/>
        <n v="0.177862779060816"/>
        <n v="0.0913966480446927"/>
        <n v="-0.0535515652312093"/>
        <n v="0.24686481303931"/>
        <n v="0.17442869057548"/>
        <n v="0.137701149425287"/>
        <n v="0.115612244897959"/>
        <n v="-0.0683656417112299"/>
        <n v="0.211313131313131"/>
        <n v="0.19420976444269"/>
        <n v="0.0161142857142857"/>
        <n v="0.0501116902457185"/>
        <n v="-0.0851708528037383"/>
        <n v="0.0886181575433912"/>
        <n v="0.118732091690544"/>
        <n v="0.0965478841870824"/>
        <n v="0.141242937853107"/>
        <n v="0.113532457188371"/>
        <n v="0.0977196885428254"/>
        <n v="0.178535724786827"/>
        <n v="-0.0888888888888889"/>
        <n v="-0.0867191977077364"/>
        <n v="-0.0604991394148021"/>
        <n v="0.169172932330827"/>
        <n v="0.0624175824175824"/>
        <n v="0.14370218579235"/>
        <n v="0.0988052347959969"/>
        <n v="0.0285411515365595"/>
        <n v="0.218459167950693"/>
        <n v="0.216036196410028"/>
        <n v="-0.0909416398138203"/>
        <n v="0.0706309324399777"/>
        <n v="0.203545904343046"/>
        <n v="-0.0879607843137255"/>
        <n v="0.134340136054422"/>
        <n v="-0.133015873015873"/>
        <n v="0.0503355704697987"/>
        <n v="0.173064644852354"/>
        <n v="-0.192571428571429"/>
        <n v="0.0974724497017491"/>
        <n v="0.118670599803343"/>
        <n v="0.239579653832568"/>
        <n v="-0.0810623556581986"/>
        <n v="0.106609195402299"/>
        <n v="-0.0561704690911829"/>
        <n v="0.0991946308724832"/>
        <n v="0.197784267912773"/>
        <n v="0.118302336671435"/>
        <n v="-0.0866809728183119"/>
        <n v="0.111145806227773"/>
        <n v="0.183535984226093"/>
        <n v="-0.0561978297161937"/>
        <n v="-0.0934920634920635"/>
        <n v="0.24842523364486"/>
        <n v="-0.121584861028977"/>
        <n v="0.0413502109704641"/>
        <n v="0.0905357142857143"/>
        <n v="0.0294755877034358"/>
        <n v="0.141557597697949"/>
        <n v="-0.109025641025641"/>
        <n v="0.0921430219146482"/>
        <n v="-0.0886432425319121"/>
        <n v="0.194"/>
        <n v="0.096710233592881"/>
        <n v="0.0891020408163265"/>
        <n v="-0.0557762593357699"/>
        <n v="-0.0735126582278481"/>
        <n v="0.14564788283986"/>
        <n v="0.199028571428571"/>
        <n v="0.178207498715973"/>
        <n v="0.170218120805369"/>
        <n v="0.0900655021834061"/>
        <n v="-0.0852996254681648"/>
        <n v="0.141143281365999"/>
        <n v="0.141423076923077"/>
        <n v="0.226272306675479"/>
        <n v="0.177723422897196"/>
        <n v="0.139176117411608"/>
        <n v="-0.0814894765245548"/>
        <n v="0.198620747164777"/>
        <n v="0.0664429530201342"/>
        <n v="0.148635634028892"/>
        <n v="-0.0593977791402684"/>
        <n v="0.117606837606838"/>
        <n v="0.196850784204327"/>
        <n v="-0.0895497863950049"/>
        <n v="0.17408938547486"/>
        <n v="0.189943010392223"/>
        <n v="0.0921029082774049"/>
        <n v="0.0989944134078212"/>
        <n v="0.148496270121712"/>
        <n v="0.144429530201342"/>
        <n v="0.186101028433152"/>
        <n v="0.18780612244898"/>
        <n v="-0.114856429463171"/>
        <n v="0.197392866307416"/>
        <n v="0.0991304347826087"/>
        <n v="0.146856234546097"/>
        <n v="0.21438175270108"/>
        <n v="0.236794315041453"/>
        <n v="0.173816425120773"/>
        <n v="0.115464384368066"/>
        <n v="0.170535714285714"/>
        <n v="0.118704131383115"/>
        <n v="0.104002808988764"/>
        <n v="0.134244966442953"/>
        <n v="0.22417420576478"/>
        <n v="-0.0833454766241652"/>
        <n v="-0.200323886639676"/>
        <n v="0.111181657848325"/>
        <n v="0.112521082102139"/>
        <n v="0.0983882783882784"/>
        <n v="-0.0276"/>
        <n v="0.109749791492911"/>
        <n v="-0.265556295802798"/>
        <n v="0.0997336351631768"/>
        <n v="0.0960300250208507"/>
        <n v="-0.0276785714285714"/>
        <n v="-0.0841659513590844"/>
        <n v="0.100042571306939"/>
        <n v="0.199216415597297"/>
        <n v="0.165309200603318"/>
        <n v="-0.165316455696203"/>
        <n v="-0.0641261624005369"/>
        <n v="0.139621365787694"/>
        <n v="0.0808438818565401"/>
        <n v="0.0762660619803477"/>
        <n v="0.0983967429453882"/>
        <n v="0.115855711422846"/>
        <n v="0.0714285714285714"/>
        <n v="0.173221288515406"/>
        <n v="0.235816554809843"/>
        <n v="-0.0741073790002645"/>
        <n v="-0.218666666666667"/>
        <n v="0.183473154362416"/>
        <n v="0.244294677190852"/>
        <n v="0.24781871225999"/>
        <n v="0.217009345794393"/>
        <n v="0.0157868275515334"/>
        <n v="0.145617083946981"/>
        <n v="0.192546238353497"/>
        <n v="0.246837708830549"/>
        <n v="0.148374016705863"/>
        <n v="-0.0763036433271138"/>
        <n v="0.134783092324805"/>
        <n v="0.215246098439376"/>
        <n v="0.147756847027388"/>
        <n v="-0.123333333333333"/>
        <n v="0.167225013958682"/>
        <n v="0.17673894912427"/>
        <n v="0.15376031052887"/>
        <n v="0.138791848617176"/>
        <n v="-0.0823137514723204"/>
        <n v="0.233478835978836"/>
        <n v="-0.0901924557351809"/>
        <n v="0.097673031026253"/>
        <n v="0.215621319199058"/>
        <n v="0.175964912280702"/>
        <n v="0.141146671434531"/>
        <n v="0.17239932885906"/>
        <n v="0.234222222222222"/>
        <n v="0.0926373626373626"/>
        <n v="0.101387024608501"/>
        <n v="-0.095948717948718"/>
        <n v="0.202755102040816"/>
        <n v="0.100833333333333"/>
        <n v="0.111792138574284"/>
        <n v="0.127179758441329"/>
        <n v="-0.100020691082144"/>
        <n v="-0.142081447963801"/>
        <n v="0.145533769063181"/>
        <n v="-0.102190476190476"/>
        <n v="0.100494092373792"/>
        <n v="0.100804597701149"/>
        <n v="0.201233684963347"/>
        <n v="0.0995150115473441"/>
        <n v="0.211414141414141"/>
        <n v="-0.0835770843036796"/>
        <n v="0.241127418278853"/>
        <n v="0.0950368188512518"/>
        <n v="-0.116753623188406"/>
        <n v="0.190681003584229"/>
        <n v="-0.117698433085024"/>
        <n v="-0.143112244897959"/>
        <n v="-0.0786026200873363"/>
        <n v="0.246424452133795"/>
        <n v="0.179068360556564"/>
        <n v="-0.0582832948421863"/>
        <n v="0.0950651401500197"/>
        <n v="0.114070660522273"/>
        <n v="0.114789915966387"/>
        <n v="0.116384388807069"/>
        <n v="0.145560698506207"/>
        <n v="0.148320802005013"/>
        <n v="0.243518090839107"/>
        <n v="-0.14515306122449"/>
        <n v="0.142080466183126"/>
        <n v="0.126334269662921"/>
        <n v="0.213736064533672"/>
        <n v="0.115182072829132"/>
        <n v="0.11953601953602"/>
        <n v="0.114936708860759"/>
        <n v="-0.0636786332179931"/>
        <n v="0.00601904761904762"/>
        <n v="-0.130786516853933"/>
        <n v="0.176794660384766"/>
        <n v="-0.0695934256055363"/>
        <n v="-0.071923937360179"/>
        <n v="-0.0834195594125501"/>
        <n v="0.247270434653612"/>
        <n v="0.00922818791946309"/>
        <n v="0.148952380952381"/>
        <n v="0.0734201094133182"/>
        <n v="-0.191038961038961"/>
        <n v="0.170875576036866"/>
        <n v="-0.0745291902071563"/>
        <n v="0.242146244365084"/>
        <n v="-0.0825113739763421"/>
        <n v="0.164712451144612"/>
        <n v="-0.116681534344335"/>
        <n v="0.193974683544304"/>
        <n v="0.0307692307692308"/>
        <n v="-0.0525637583892617"/>
        <n v="0.21108938547486"/>
        <n v="0.217334488067744"/>
        <n v="-0.0850236646382691"/>
        <n v="0.0993854748603352"/>
        <n v="0.146022196261682"/>
        <n v="0.0993285433239244"/>
        <n v="0.098710193297177"/>
        <n v="-0.256752136752137"/>
        <n v="0.210791946308725"/>
        <n v="0.0982238349885409"/>
        <n v="0.239703020993344"/>
        <n v="0.132669683257919"/>
        <n v="0.0981537176274018"/>
        <n v="0.249346505936735"/>
        <n v="0.138606403013183"/>
        <n v="-0.109866666666667"/>
        <n v="0.193880695575611"/>
        <n v="0.0981092896174863"/>
        <n v="0.23523595505618"/>
        <n v="0.172295577473751"/>
        <n v="0.170604026845638"/>
        <n v="0.148657357679914"/>
        <n v="0.148333333333333"/>
        <n v="0.126803691275168"/>
        <n v="-0.0857955951497154"/>
        <n v="0.148345685215425"/>
        <n v="0.211162324649299"/>
        <n v="0.0923298178331736"/>
        <n v="0.219314329738059"/>
        <n v="-0.19752808988764"/>
        <n v="0.217608972389272"/>
        <n v="0.0977332991189804"/>
        <n v="0.167478991596639"/>
        <n v="0.0762786596119929"/>
        <n v="0.0903855659911023"/>
        <n v="0.195984848484848"/>
        <n v="0.117373737373737"/>
        <n v="-0.0548550271172299"/>
        <n v="0.128791946308725"/>
        <n v="0.2484335839599"/>
        <n v="0.0656329113924051"/>
        <n v="0.0955373406193078"/>
        <n v="0.218025319137666"/>
        <n v="0.124103737604882"/>
        <n v="0.175076980152105"/>
        <n v="-0.0925574712643678"/>
        <n v="-0.0823094688221709"/>
        <n v="0.171050946142649"/>
        <n v="0.11427807486631"/>
        <n v="-0.132905982905983"/>
        <n v="-0.100770416024653"/>
        <n v="-0.0925949367088608"/>
        <n v="0.191829462297168"/>
        <n v="0.213998510796724"/>
        <n v="0.119668436578171"/>
        <n v="0.152270035530991"/>
        <n v="0.162185929648241"/>
        <n v="0.196360327570519"/>
        <n v="0.103737024221453"/>
        <n v="-0.062336917562724"/>
        <n v="0.206059322033898"/>
        <n v="0.171666666666667"/>
        <n v="-0.0861744966442953"/>
        <n v="0.163566634707574"/>
        <n v="0.186460674157303"/>
        <n v="0.108101265822785"/>
        <n v="0.111714285714286"/>
        <n v="0.0921589688506982"/>
        <n v="-0.0982742090124641"/>
        <n v="-0.126217228464419"/>
        <n v="0.211363969188413"/>
        <n v="0.186115160349854"/>
        <n v="-0.120765550239234"/>
        <n v="0.215933484504913"/>
        <n v="-0.0887878787878788"/>
        <n v="0.148717948717949"/>
        <n v="-0.185172413793103"/>
        <n v="0.247889408099689"/>
        <n v="-0.103409090909091"/>
        <n v="0.102371364653244"/>
        <n v="0.14879522673031"/>
        <n v="0.20422335600907"/>
        <n v="0.243558545662754"/>
        <n v="-0.0546929065743945"/>
        <n v="0.215014771752597"/>
        <n v="0.147387344199425"/>
        <n v="-0.0815679733110926"/>
        <n v="0.103354271356784"/>
        <n v="0.0489112227805695"/>
        <n v="0.147251732101617"/>
        <n v="0.094176245210728"/>
        <n v="-0.0505605095541401"/>
        <n v="-0.350666666666667"/>
        <n v="0.0722826086956522"/>
        <n v="-0.0476691729323308"/>
        <n v="0.0327272727272727"/>
        <n v="0.222779661016949"/>
        <n v="0.151501613303549"/>
        <n v="0.247678621073116"/>
        <n v="0.175636440143068"/>
        <n v="-0.0700873362445415"/>
        <n v="0.244263600176913"/>
        <n v="0.23921937751004"/>
        <n v="0.170348729363754"/>
        <n v="0.247938799232287"/>
        <n v="-0.105949367088608"/>
        <n v="0.117530427954456"/>
        <n v="0.198623595505618"/>
        <n v="0.215417565485362"/>
        <n v="0.0972048135350888"/>
        <n v="0.147142531876138"/>
        <n v="0.224478001491424"/>
        <n v="0.176771723122239"/>
        <n v="0.178234639977759"/>
        <n v="0.113812458727713"/>
        <n v="0.118456086286595"/>
        <n v="0.215338345864662"/>
        <n v="0.226769230769231"/>
        <n v="0.217331932773109"/>
        <n v="0.159872881355932"/>
        <n v="-0.0877165104083903"/>
        <n v="0.0524832214765101"/>
        <n v="-0.0261587301587302"/>
        <n v="0.23357530246141"/>
        <n v="0.11467399303341"/>
        <n v="0.146095048188767"/>
        <n v="0.179434324065197"/>
        <n v="0.0983193277310924"/>
        <n v="0.143680926916221"/>
        <n v="0.104847129008203"/>
        <n v="-0.050291169451074"/>
        <n v="0.142074179069218"/>
        <n v="-0.0818984962406015"/>
        <n v="0.228573825503356"/>
        <n v="0.0388443017656501"/>
        <n v="0.0989820841857294"/>
        <n v="0.207979774764422"/>
        <n v="0.224680089485459"/>
        <n v="0.0654351395730706"/>
        <n v="0.213702422145329"/>
        <n v="0.198289893324535"/>
        <n v="0.217858659387322"/>
        <n v="0.165630885122411"/>
        <n v="0.0562869198312236"/>
        <n v="0.0962625139043382"/>
        <n v="-0.101942776404097"/>
        <n v="-0.0542891278375149"/>
        <n v="0.217523385300668"/>
        <n v="0.0927161468614291"/>
        <n v="0.1811231990591"/>
        <n v="0.197821401077752"/>
        <n v="0.177559661277906"/>
        <n v="0.196700051361068"/>
        <n v="-0.081101946552293"/>
        <n v="0.089047619047619"/>
        <n v="0.180102040816327"/>
        <n v="-0.0826858813700919"/>
        <n v="-0.0895897435897436"/>
        <n v="0.215957446808511"/>
        <n v="0.096218487394958"/>
        <n v="0.21731308411215"/>
        <n v="0.178047396528705"/>
        <n v="0.190384294068505"/>
        <n v="-0.0528774661905041"/>
        <n v="0.245154295246038"/>
        <n v="-0.130173010380623"/>
        <n v="0.141069939235077"/>
        <n v="-0.0828673016987841"/>
        <n v="0.174533995416348"/>
        <n v="0.235873015873016"/>
        <n v="0.0909189030074081"/>
        <n v="0.196026711185309"/>
        <n v="-0.0989784946236559"/>
        <n v="0.170403361344538"/>
        <n v="0.160030165912519"/>
        <n v="0.178313444709626"/>
        <n v="0.0712198973549151"/>
        <n v="0.14911459393446"/>
        <n v="0.0411811652035116"/>
        <n v="-0.0848417463494181"/>
        <n v="0.0991939289084618"/>
        <n v="0.177123655913979"/>
        <n v="0.143151340996169"/>
        <n v="-0.0613493975903614"/>
        <n v="0.10008389261745"/>
        <n v="0.117699805068226"/>
        <n v="0.110033400133601"/>
        <n v="0.0910548523206751"/>
        <n v="0.120665593129361"/>
        <n v="-0.0526432943795214"/>
        <n v="-0.0603335899409803"/>
        <n v="0.234866369710468"/>
        <n v="-0.0828506375227687"/>
        <n v="0.237194899817851"/>
        <n v="0.193714285714286"/>
        <n v="0.147930780559647"/>
        <n v="0.146831022085259"/>
        <n v="0.248061522142668"/>
        <n v="-0.114932392710171"/>
        <n v="0.0841826215022091"/>
        <n v="0.162628638635695"/>
        <n v="-0.0822905282331512"/>
        <n v="0.197152532391048"/>
        <n v="0.108057288463228"/>
        <n v="-0.0758836689038031"/>
        <n v="0.0987706701479547"/>
        <n v="0.0707692307692308"/>
        <n v="0.246427378964942"/>
        <n v="-0.0088"/>
        <n v="0.01925"/>
        <n v="0.17953668458711"/>
        <n v="-0.108809523809524"/>
        <n v="0.217495327102804"/>
        <n v="-0.111644295302013"/>
        <n v="0.0904377775763618"/>
        <n v="-0.0555658277692176"/>
        <n v="0.245956011524137"/>
        <n v="0.0399763453577765"/>
        <n v="0.172462406015038"/>
        <n v="0.130620805369128"/>
        <n v="0.0936439459303998"/>
        <n v="-0.0874903673259697"/>
        <n v="-0.0536612021857924"/>
        <n v="0.116535796766744"/>
        <n v="-0.090561797752809"/>
        <n v="0.143664357197845"/>
        <n v="0.246420765027322"/>
        <n v="0.0947879858657244"/>
        <n v="0.0738840772818121"/>
        <n v="0.113967611336032"/>
        <n v="0.0823033707865169"/>
        <n v="0.194742594190394"/>
        <n v="0.230627114233672"/>
        <n v="-0.103187919463087"/>
        <n v="-0.0966666666666667"/>
        <n v="0.118087684512007"/>
        <n v="0.127785234899329"/>
        <n v="-0.0926174496644295"/>
        <n v="-0.129359112065879"/>
        <n v="0.164139161462979"/>
        <n v="0.199647560749397"/>
        <n v="0.198246199480905"/>
        <n v="0.0651127819548872"/>
        <n v="-0.0872489959839358"/>
        <n v="0.116930476821517"/>
        <n v="0.0947191011235955"/>
        <n v="0.0304285714285714"/>
        <n v="0.184566326530612"/>
        <n v="0.109673913043478"/>
        <n v="-0.102993197278912"/>
        <n v="-0.038974358974359"/>
        <n v="0.178851264943008"/>
        <n v="0.084744571709648"/>
        <n v="0.195981524249423"/>
        <n v="0.177391621129326"/>
        <n v="0.0985404503753128"/>
        <n v="-0.0876943881000676"/>
        <n v="0.195392094694568"/>
        <n v="0.148450816407806"/>
        <n v="0.0767460317460317"/>
        <n v="-0.0532222588804575"/>
        <n v="0.149241568224619"/>
        <n v="0.14524962926347"/>
        <n v="0.113350649350649"/>
        <n v="0.245213903743316"/>
        <n v="0.128295454545455"/>
        <n v="-0.105747126436782"/>
        <n v="0.176295491252698"/>
        <n v="-0.521182266009852"/>
        <n v="0.246934984520124"/>
        <n v="0.175407600272767"/>
        <n v="0.17770245677889"/>
        <n v="-0.0711494252873563"/>
        <n v="0.17664851784634"/>
        <n v="0.098330550918197"/>
        <n v="-0.0819341752273768"/>
        <n v="-0.082425702811245"/>
        <n v="0.248850344674227"/>
        <n v="0.110653303637713"/>
        <n v="-0.0920252664824319"/>
        <n v="0.12561797752809"/>
        <n v="-0.188506981740064"/>
        <n v="-0.124162895927602"/>
        <n v="-0.091247723132969"/>
        <n v="0.147852080123267"/>
        <n v="-0.0878900907621534"/>
        <n v="0.0935402765689972"/>
        <n v="0.210863636363636"/>
        <n v="-0.0814207918363342"/>
        <n v="0.233195488721805"/>
        <n v="0.11473717146433"/>
        <n v="0.144043514900789"/>
        <n v="-0.0578579418344519"/>
        <n v="0.124538506760729"/>
        <n v="0.108231292517007"/>
        <n v="-0.0900035803795202"/>
        <n v="0.119124967924044"/>
        <n v="0.178477876106195"/>
        <n v="0.117672605790646"/>
        <n v="0.139668367346939"/>
        <n v="0.248258064516129"/>
        <n v="-0.0641777777777778"/>
        <n v="0.247490065688103"/>
        <n v="0.17543391188251"/>
        <n v="-0.107384615384615"/>
        <n v="0.142534908700322"/>
        <n v="0.069212730318258"/>
        <n v="-0.0164556962025316"/>
        <n v="0.0876330208757868"/>
        <n v="0.219087057010786"/>
        <n v="0.197035794183445"/>
        <n v="-0.0514551971326165"/>
        <n v="0.0841257506181561"/>
        <n v="0.174109741482623"/>
        <n v="0.187846743295019"/>
        <n v="0.191984424975664"/>
        <n v="0.0987815491731941"/>
        <n v="0.1541822721598"/>
        <n v="-0.110824053452116"/>
        <n v="0.208198849935077"/>
        <n v="-0.0561201501877347"/>
        <n v="0.204863621426224"/>
        <n v="-0.249176470588235"/>
        <n v="0.217605340008344"/>
        <n v="-0.0812082574377656"/>
        <n v="0.126319056486654"/>
        <n v="0.162954395241243"/>
        <n v="0.148306319431797"/>
        <n v="-0.413362068965517"/>
        <n v="0.175698324022346"/>
        <n v="0.196534606205251"/>
        <n v="-0.0738181818181818"/>
        <n v="0.0621846153846154"/>
        <n v="-0.0904237671542754"/>
        <n v="-0.133813559322034"/>
        <n v="0.160053981106613"/>
        <n v="0.0918170426065163"/>
        <n v="0.240921748816486"/>
        <n v="0.100600494524903"/>
        <n v="-0.0769076305220884"/>
        <n v="-0.100049714143674"/>
        <n v="0.17143495254048"/>
        <n v="-0.0183544303797468"/>
        <n v="-0.0726174496644295"/>
        <n v="0.200433044636909"/>
        <n v="0.0493670886075949"/>
        <n v="0.0973913043478261"/>
        <n v="0.0312727272727273"/>
        <n v="0.155904761904762"/>
        <n v="0.144788418708241"/>
        <n v="-0.128451563691838"/>
        <n v="-0.0874683544303798"/>
        <n v="-0.0544787322768974"/>
        <n v="0.179224403387221"/>
        <n v="0.242126948775056"/>
        <n v="0.0590717299578059"/>
        <n v="0.197817836812144"/>
        <n v="0.0897052154195011"/>
        <n v="-0.0544006163328197"/>
        <n v="0.0910917030567686"/>
        <n v="0.217122254998361"/>
        <n v="0.177204144068975"/>
        <n v="0.148562124248497"/>
        <n v="0.187625838926175"/>
        <n v="0.0636918382913806"/>
        <n v="0.138363636363636"/>
        <n v="-0.0886818687430478"/>
        <n v="-0.127986577181208"/>
        <n v="-0.084675615212528"/>
        <n v="-0.0716249386352479"/>
        <n v="0.0917216117216117"/>
        <n v="0.106778523489933"/>
        <n v="0.116345226615236"/>
        <n v="0.169803683464886"/>
        <n v="0.0420568227290916"/>
        <n v="-0.0306675479180436"/>
        <n v="0.142349570200573"/>
        <n v="0.0177142857142857"/>
        <n v="0.0940995525727069"/>
        <n v="0.200675105485232"/>
        <n v="0.148417721518987"/>
        <n v="0.070337552742616"/>
        <n v="-0.101497584541063"/>
        <n v="0.19677482792527"/>
        <n v="-0.0830912476722533"/>
        <n v="0.219177796327212"/>
        <n v="0.0589231699939504"/>
        <n v="0.177181899641577"/>
        <n v="0.0953846153846154"/>
        <n v="-0.102068965517241"/>
        <n v="0.127142857142857"/>
        <n v="-0.0822155542940556"/>
        <n v="0.112259615384615"/>
        <n v="0.0738709677419355"/>
        <n v="-0.180680272108844"/>
        <n v="0.118824707846411"/>
        <n v="0.101038421599169"/>
        <n v="0.0792857142857143"/>
        <n v="0.179208394698085"/>
        <n v="0.0173033707865169"/>
        <n v="0.119249061326658"/>
        <n v="0.216275351342254"/>
        <n v="0.217618267234786"/>
        <n v="0.108406593406593"/>
        <n v="0.118418879056047"/>
        <n v="0.208243792873186"/>
        <n v="0.199015659955257"/>
        <n v="0.177366313309776"/>
        <n v="-0.0952896100969123"/>
        <n v="0.145513459621137"/>
        <n v="0.105580524344569"/>
        <n v="0.206477462437396"/>
        <n v="0.0126984126984127"/>
        <n v="0.148339178285291"/>
        <n v="0.148708882460088"/>
        <n v="0.205846383296048"/>
        <n v="0.197314715359828"/>
        <n v="0.0893455861876915"/>
        <n v="0.112832929782082"/>
        <n v="-0.0796835443037975"/>
        <n v="0.0994278565471226"/>
        <n v="0.197956120092379"/>
        <n v="0.209071648690293"/>
        <n v="-0.100831826401447"/>
        <n v="0.0889395481375941"/>
        <n v="-0.254067796610169"/>
        <n v="0.1187432867884"/>
        <n v="-0.363609022556391"/>
        <n v="0.14724034734828"/>
        <n v="-0.0683414418398939"/>
        <n v="0.118206940196182"/>
        <n v="0.164844290657439"/>
        <n v="-0.055609833591485"/>
        <n v="-0.0514929107589658"/>
        <n v="0.199042735042735"/>
        <n v="0.196582943925234"/>
        <n v="0.0983856440102543"/>
        <n v="0.169245156980628"/>
        <n v="-0.09375"/>
        <n v="0.0987023113338903"/>
        <n v="0.145965732087227"/>
        <n v="-0.0508908554572271"/>
        <n v="0.191666666666667"/>
        <n v="0.0994388756298064"/>
        <n v="0.0754268745360059"/>
        <n v="-0.084154022330375"/>
        <n v="0.126425120772947"/>
        <n v="0.195582010582011"/>
        <n v="-0.201072796934866"/>
        <n v="0.207586520947177"/>
        <n v="0.0511870845204179"/>
        <n v="-0.164556962025316"/>
        <n v="0.172030651340996"/>
        <n v="0.108499095840868"/>
        <n v="-0.0752564102564103"/>
        <n v="-0.0546142093200917"/>
        <n v="0.167676767676768"/>
        <n v="0.134053691275168"/>
        <n v="-0.0651441778560423"/>
        <n v="0.163427800269906"/>
        <n v="0.176166249652488"/>
        <n v="0.1135103926097"/>
        <n v="0.190164175807995"/>
        <n v="0.197144766997708"/>
        <n v="0.0905851548269581"/>
        <n v="0.219111181736321"/>
        <n v="0.133601763972773"/>
        <n v="0.0786040268456376"/>
        <n v="0.23673343605547"/>
        <n v="0.110955671666948"/>
        <n v="-0.12953344058837"/>
        <n v="-0.0885125184094256"/>
        <n v="0.239303797468354"/>
        <n v="-0.0737248322147651"/>
        <n v="0.246574885273258"/>
        <n v="0.191752049180328"/>
        <n v="0.217388632872504"/>
        <n v="-0.0960928901606868"/>
        <n v="0.152192393736018"/>
        <n v="0.243804755944931"/>
        <n v="0.217338200196546"/>
        <n v="-0.0939213505201858"/>
        <n v="-0.0875769745649264"/>
        <n v="0.177366822429907"/>
        <n v="0.0528"/>
        <n v="-0.199821428571429"/>
        <n v="0.214065995525727"/>
        <n v="0.00536912751677852"/>
        <n v="-0.0822548365577051"/>
        <n v="0.0970030581039755"/>
        <n v="0.154165021713383"/>
        <n v="-0.0745454545454546"/>
        <n v="-0.0862456747404844"/>
        <n v="0.213419540229885"/>
        <n v="-0.0554574355351466"/>
        <n v="-0.102428658166363"/>
        <n v="0.12108843537415"/>
        <n v="0.198077679449361"/>
        <n v="0.187665554544535"/>
        <n v="0.149342758562653"/>
        <n v="-0.0841358500256806"/>
        <n v="0.178909090909091"/>
        <n v="-0.0813644923814415"/>
        <n v="0.107936507936508"/>
        <n v="0.244851202892505"/>
        <n v="-0.0564330218068536"/>
        <n v="0.108261617900172"/>
        <n v="0.0986123198916933"/>
        <n v="0.0887919463087248"/>
        <n v="-0.0885809682804675"/>
        <n v="0.174502923976608"/>
        <n v="0.11962005899705"/>
        <n v="0.169488939740656"/>
        <n v="0.115959167950693"/>
        <n v="0.136290322580645"/>
        <n v="0.170184563758389"/>
        <n v="0.21840942562592"/>
        <n v="-0.185964912280702"/>
        <n v="0.0952978524743231"/>
        <n v="0.134317937701396"/>
        <n v="0.165599899598394"/>
        <n v="0.0577181208053691"/>
        <n v="-0.0926033519553073"/>
      </sharedItems>
    </cacheField>
    <cacheField name="Shipping_Cost" numFmtId="0">
      <sharedItems containsSemiMixedTypes="0" containsString="0" containsNumber="1" minValue="0" maxValue="49.96" count="948">
        <n v="41.63"/>
        <n v="27.83"/>
        <n v="41.83"/>
        <n v="37.99"/>
        <n v="46.75"/>
        <n v="39.81"/>
        <n v="6.45"/>
        <n v="49.96"/>
        <n v="38.2"/>
        <n v="32.25"/>
        <n v="44.03"/>
        <n v="18.04"/>
        <n v="39.07"/>
        <n v="9.86"/>
        <n v="0"/>
        <n v="21.33"/>
        <n v="35.84"/>
        <n v="5.78"/>
        <n v="32.34"/>
        <n v="39.82"/>
        <n v="49.95"/>
        <n v="46.1"/>
        <n v="32.22"/>
        <n v="29.66"/>
        <n v="17.44"/>
        <n v="11.94"/>
        <n v="22.96"/>
        <n v="24.64"/>
        <n v="45.15"/>
        <n v="14.19"/>
        <n v="9.61"/>
        <n v="14.77"/>
        <n v="22.31"/>
        <n v="12.01"/>
        <n v="19.53"/>
        <n v="37.75"/>
        <n v="40.53"/>
        <n v="34.26"/>
        <n v="43.78"/>
        <n v="11.78"/>
        <n v="24.16"/>
        <n v="11.02"/>
        <n v="49.74"/>
        <n v="18.59"/>
        <n v="42.24"/>
        <n v="8.29"/>
        <n v="49.25"/>
        <n v="15.89"/>
        <n v="43.4"/>
        <n v="47.25"/>
        <n v="41.87"/>
        <n v="29.64"/>
        <n v="13.01"/>
        <n v="32.04"/>
        <n v="41.24"/>
        <n v="16.44"/>
        <n v="43.33"/>
        <n v="34.59"/>
        <n v="12.39"/>
        <n v="8.19"/>
        <n v="36.96"/>
        <n v="20.78"/>
        <n v="30.99"/>
        <n v="41.78"/>
        <n v="25.37"/>
        <n v="32.36"/>
        <n v="47.37"/>
        <n v="43.95"/>
        <n v="28.13"/>
        <n v="32.5"/>
        <n v="42.28"/>
        <n v="29.68"/>
        <n v="9.23"/>
        <n v="9.82"/>
        <n v="19.1"/>
        <n v="21.59"/>
        <n v="7.8"/>
        <n v="5.84"/>
        <n v="42.35"/>
        <n v="12.21"/>
        <n v="11.08"/>
        <n v="30.7"/>
        <n v="47.93"/>
        <n v="47.45"/>
        <n v="33.98"/>
        <n v="22.21"/>
        <n v="14.48"/>
        <n v="46.72"/>
        <n v="41.86"/>
        <n v="9.51"/>
        <n v="16"/>
        <n v="45.01"/>
        <n v="38.19"/>
        <n v="42.58"/>
        <n v="13.12"/>
        <n v="18.88"/>
        <n v="35.02"/>
        <n v="36.24"/>
        <n v="12.22"/>
        <n v="34.47"/>
        <n v="37.43"/>
        <n v="30.14"/>
        <n v="49.29"/>
        <n v="25.29"/>
        <n v="18.9"/>
        <n v="6.92"/>
        <n v="47.26"/>
        <n v="32.92"/>
        <n v="5.24"/>
        <n v="38.54"/>
        <n v="48.96"/>
        <n v="37.21"/>
        <n v="47.94"/>
        <n v="33.83"/>
        <n v="17.06"/>
        <n v="34.14"/>
        <n v="13.73"/>
        <n v="7.17"/>
        <n v="9.63"/>
        <n v="9.91"/>
        <n v="11.58"/>
        <n v="25.17"/>
        <n v="27.03"/>
        <n v="34.79"/>
        <n v="41.28"/>
        <n v="44.1"/>
        <n v="23.34"/>
        <n v="13.68"/>
        <n v="6.19"/>
        <n v="14.87"/>
        <n v="46.42"/>
        <n v="25.43"/>
        <n v="24.53"/>
        <n v="34.2"/>
        <n v="21.73"/>
        <n v="47.84"/>
        <n v="47.68"/>
        <n v="30.57"/>
        <n v="10.81"/>
        <n v="43.14"/>
        <n v="24.94"/>
        <n v="9.19"/>
        <n v="8.86"/>
        <n v="21.2"/>
        <n v="40.85"/>
        <n v="13.87"/>
        <n v="21.21"/>
        <n v="17.66"/>
        <n v="49.66"/>
        <n v="41.41"/>
        <n v="22.92"/>
        <n v="41.64"/>
        <n v="30.03"/>
        <n v="41.22"/>
        <n v="32.72"/>
        <n v="33.86"/>
        <n v="35.92"/>
        <n v="8.04"/>
        <n v="12.62"/>
        <n v="29.17"/>
        <n v="24.22"/>
        <n v="14.84"/>
        <n v="43.16"/>
        <n v="27.07"/>
        <n v="10.95"/>
        <n v="25.59"/>
        <n v="31.44"/>
        <n v="12.6"/>
        <n v="32.54"/>
        <n v="39.9"/>
        <n v="31.69"/>
        <n v="20.67"/>
        <n v="19.73"/>
        <n v="25.23"/>
        <n v="42.65"/>
        <n v="23.88"/>
        <n v="40.32"/>
        <n v="17.39"/>
        <n v="46.5"/>
        <n v="34.11"/>
        <n v="14.98"/>
        <n v="22.58"/>
        <n v="10.54"/>
        <n v="24.74"/>
        <n v="29.37"/>
        <n v="26.33"/>
        <n v="18.83"/>
        <n v="10.23"/>
        <n v="38.37"/>
        <n v="45.02"/>
        <n v="27.67"/>
        <n v="26.16"/>
        <n v="38.8"/>
        <n v="44.59"/>
        <n v="30.62"/>
        <n v="36.25"/>
        <n v="14.28"/>
        <n v="25.94"/>
        <n v="17.33"/>
        <n v="43.06"/>
        <n v="18.64"/>
        <n v="10.01"/>
        <n v="20.45"/>
        <n v="29.98"/>
        <n v="6.67"/>
        <n v="22.97"/>
        <n v="40.87"/>
        <n v="27.33"/>
        <n v="40.38"/>
        <n v="16.34"/>
        <n v="31.33"/>
        <n v="42.05"/>
        <n v="45.37"/>
        <n v="11.18"/>
        <n v="23.91"/>
        <n v="38.12"/>
        <n v="11.14"/>
        <n v="5.42"/>
        <n v="44.11"/>
        <n v="16.23"/>
        <n v="33.33"/>
        <n v="12.43"/>
        <n v="21.95"/>
        <n v="11.46"/>
        <n v="8.73"/>
        <n v="23.36"/>
        <n v="49.16"/>
        <n v="20.18"/>
        <n v="26.24"/>
        <n v="45.24"/>
        <n v="9.13"/>
        <n v="26.39"/>
        <n v="21.53"/>
        <n v="5.86"/>
        <n v="34.51"/>
        <n v="27.49"/>
        <n v="12.81"/>
        <n v="14.34"/>
        <n v="44.53"/>
        <n v="39.29"/>
        <n v="47.87"/>
        <n v="34.35"/>
        <n v="49.53"/>
        <n v="13.42"/>
        <n v="42.04"/>
        <n v="37.51"/>
        <n v="22.05"/>
        <n v="11.54"/>
        <n v="37.66"/>
        <n v="43.96"/>
        <n v="13.07"/>
        <n v="21.07"/>
        <n v="11.48"/>
        <n v="13.4"/>
        <n v="7.34"/>
        <n v="7.06"/>
        <n v="15.36"/>
        <n v="32.89"/>
        <n v="22.34"/>
        <n v="12.56"/>
        <n v="26.58"/>
        <n v="34.92"/>
        <n v="49.1"/>
        <n v="37.34"/>
        <n v="39.8"/>
        <n v="30.77"/>
        <n v="28.17"/>
        <n v="10.49"/>
        <n v="41.26"/>
        <n v="9.97"/>
        <n v="40.45"/>
        <n v="46.92"/>
        <n v="33.51"/>
        <n v="19.12"/>
        <n v="15.32"/>
        <n v="23.14"/>
        <n v="13.64"/>
        <n v="30.96"/>
        <n v="9.09"/>
        <n v="15.71"/>
        <n v="49.26"/>
        <n v="11.38"/>
        <n v="24.61"/>
        <n v="20.46"/>
        <n v="5.54"/>
        <n v="31.24"/>
        <n v="21.96"/>
        <n v="27.65"/>
        <n v="14.81"/>
        <n v="14.89"/>
        <n v="5.44"/>
        <n v="22.26"/>
        <n v="28.52"/>
        <n v="44.93"/>
        <n v="36.62"/>
        <n v="12.78"/>
        <n v="32.66"/>
        <n v="48.94"/>
        <n v="22.35"/>
        <n v="23.6"/>
        <n v="22.75"/>
        <n v="5.91"/>
        <n v="35.1"/>
        <n v="27.32"/>
        <n v="12.17"/>
        <n v="39.97"/>
        <n v="15.62"/>
        <n v="24.39"/>
        <n v="34.56"/>
        <n v="28.44"/>
        <n v="46.09"/>
        <n v="25.86"/>
        <n v="33.71"/>
        <n v="9.99"/>
        <n v="44.52"/>
        <n v="5.1"/>
        <n v="35.06"/>
        <n v="39.92"/>
        <n v="47.35"/>
        <n v="19.2"/>
        <n v="17.45"/>
        <n v="27.69"/>
        <n v="39.22"/>
        <n v="48.14"/>
        <n v="16.67"/>
        <n v="11.26"/>
        <n v="19.66"/>
        <n v="9.2"/>
        <n v="7.78"/>
        <n v="20.68"/>
        <n v="18.96"/>
        <n v="17.81"/>
        <n v="46.69"/>
        <n v="34.03"/>
        <n v="33.4"/>
        <n v="19.79"/>
        <n v="16.99"/>
        <n v="22.48"/>
        <n v="40.34"/>
        <n v="43.51"/>
        <n v="10.99"/>
        <n v="12.99"/>
        <n v="30.3"/>
        <n v="18.86"/>
        <n v="28.39"/>
        <n v="10.94"/>
        <n v="9.1"/>
        <n v="39.44"/>
        <n v="48.47"/>
        <n v="24.75"/>
        <n v="12.24"/>
        <n v="11.63"/>
        <n v="35.51"/>
        <n v="36.56"/>
        <n v="5.65"/>
        <n v="19.88"/>
        <n v="33.45"/>
        <n v="23.95"/>
        <n v="20.77"/>
        <n v="43.28"/>
        <n v="5.07"/>
        <n v="27.58"/>
        <n v="46.44"/>
        <n v="6.52"/>
        <n v="45.99"/>
        <n v="48.21"/>
        <n v="16.94"/>
        <n v="19.37"/>
        <n v="17.63"/>
        <n v="34.99"/>
        <n v="11.77"/>
        <n v="12.53"/>
        <n v="12.77"/>
        <n v="5.52"/>
        <n v="15.92"/>
        <n v="17.32"/>
        <n v="42.33"/>
        <n v="40.95"/>
        <n v="5.93"/>
        <n v="23.39"/>
        <n v="16.73"/>
        <n v="47.8"/>
        <n v="16.69"/>
        <n v="15.39"/>
        <n v="16.82"/>
        <n v="21.84"/>
        <n v="31.3"/>
        <n v="40.91"/>
        <n v="18.38"/>
        <n v="24.76"/>
        <n v="32.51"/>
        <n v="37.12"/>
        <n v="23.13"/>
        <n v="40.98"/>
        <n v="46.43"/>
        <n v="5.9"/>
        <n v="31.73"/>
        <n v="23.84"/>
        <n v="36.39"/>
        <n v="31.26"/>
        <n v="10.52"/>
        <n v="7.68"/>
        <n v="22.46"/>
        <n v="49.11"/>
        <n v="19.91"/>
        <n v="15.47"/>
        <n v="19.29"/>
        <n v="19.04"/>
        <n v="15.01"/>
        <n v="7.98"/>
        <n v="21.14"/>
        <n v="15.18"/>
        <n v="40.05"/>
        <n v="46.99"/>
        <n v="5.36"/>
        <n v="25.6"/>
        <n v="27.93"/>
        <n v="49.59"/>
        <n v="35.75"/>
        <n v="44.17"/>
        <n v="13.35"/>
        <n v="44.64"/>
        <n v="45.61"/>
        <n v="19.31"/>
        <n v="13.99"/>
        <n v="12.12"/>
        <n v="19.58"/>
        <n v="39.1"/>
        <n v="31.78"/>
        <n v="25.68"/>
        <n v="20.95"/>
        <n v="41.62"/>
        <n v="44.13"/>
        <n v="45.51"/>
        <n v="39.67"/>
        <n v="31.96"/>
        <n v="12.07"/>
        <n v="49.7"/>
        <n v="17.41"/>
        <n v="34.66"/>
        <n v="10.36"/>
        <n v="5.62"/>
        <n v="25.56"/>
        <n v="43.15"/>
        <n v="32.24"/>
        <n v="28.95"/>
        <n v="30.07"/>
        <n v="7.76"/>
        <n v="30.25"/>
        <n v="5.58"/>
        <n v="34.97"/>
        <n v="6.3"/>
        <n v="12.73"/>
        <n v="38.4"/>
        <n v="44.34"/>
        <n v="44.94"/>
        <n v="31.71"/>
        <n v="43.34"/>
        <n v="24.46"/>
        <n v="48.67"/>
        <n v="41.48"/>
        <n v="10.33"/>
        <n v="7.96"/>
        <n v="35.86"/>
        <n v="35.87"/>
        <n v="38.61"/>
        <n v="6.98"/>
        <n v="14.08"/>
        <n v="42.12"/>
        <n v="28.05"/>
        <n v="37.3"/>
        <n v="42.57"/>
        <n v="22.47"/>
        <n v="46.07"/>
        <n v="40.11"/>
        <n v="35.61"/>
        <n v="33.6"/>
        <n v="42.18"/>
        <n v="41.1"/>
        <n v="45.21"/>
        <n v="34.01"/>
        <n v="45.3"/>
        <n v="32.67"/>
        <n v="12.27"/>
        <n v="36.07"/>
        <n v="6.22"/>
        <n v="23.5"/>
        <n v="36.21"/>
        <n v="29.71"/>
        <n v="17.36"/>
        <n v="44.73"/>
        <n v="9.21"/>
        <n v="18.26"/>
        <n v="34.27"/>
        <n v="7.94"/>
        <n v="6.36"/>
        <n v="10.63"/>
        <n v="46.16"/>
        <n v="34.52"/>
        <n v="48.09"/>
        <n v="22.71"/>
        <n v="5.25"/>
        <n v="12.36"/>
        <n v="34.45"/>
        <n v="22.88"/>
        <n v="6.21"/>
        <n v="16.08"/>
        <n v="7.36"/>
        <n v="6.01"/>
        <n v="44.37"/>
        <n v="28.73"/>
        <n v="39.54"/>
        <n v="17.31"/>
        <n v="16.42"/>
        <n v="32.27"/>
        <n v="16.33"/>
        <n v="44.27"/>
        <n v="28.87"/>
        <n v="39.03"/>
        <n v="43.91"/>
        <n v="10.68"/>
        <n v="5.92"/>
        <n v="43.77"/>
        <n v="36.3"/>
        <n v="22.07"/>
        <n v="32.74"/>
        <n v="44.84"/>
        <n v="12.97"/>
        <n v="30.05"/>
        <n v="27.28"/>
        <n v="31.04"/>
        <n v="8.35"/>
        <n v="44.44"/>
        <n v="24.51"/>
        <n v="24.44"/>
        <n v="44.22"/>
        <n v="49.38"/>
        <n v="40"/>
        <n v="42.79"/>
        <n v="20.64"/>
        <n v="35.96"/>
        <n v="22.43"/>
        <n v="16.12"/>
        <n v="9.38"/>
        <n v="23.4"/>
        <n v="28.01"/>
        <n v="23.51"/>
        <n v="43.04"/>
        <n v="10.97"/>
        <n v="20.36"/>
        <n v="15.34"/>
        <n v="22.86"/>
        <n v="8.02"/>
        <n v="6.26"/>
        <n v="41.21"/>
        <n v="27.27"/>
        <n v="31.76"/>
        <n v="20.56"/>
        <n v="31"/>
        <n v="7.11"/>
        <n v="8.96"/>
        <n v="6.33"/>
        <n v="20.33"/>
        <n v="18.07"/>
        <n v="17.16"/>
        <n v="13.14"/>
        <n v="42.06"/>
        <n v="18.54"/>
        <n v="15"/>
        <n v="14.47"/>
        <n v="34.87"/>
        <n v="45.36"/>
        <n v="6.25"/>
        <n v="44.15"/>
        <n v="30.5"/>
        <n v="23.8"/>
        <n v="46.02"/>
        <n v="10.27"/>
        <n v="25.5"/>
        <n v="37.15"/>
        <n v="16.01"/>
        <n v="26.76"/>
        <n v="27.82"/>
        <n v="13.84"/>
        <n v="46.01"/>
        <n v="43.22"/>
        <n v="28.62"/>
        <n v="34.68"/>
        <n v="12.71"/>
        <n v="29.46"/>
        <n v="20.97"/>
        <n v="25.36"/>
        <n v="49.56"/>
        <n v="39.09"/>
        <n v="8.37"/>
        <n v="45.63"/>
        <n v="36.54"/>
        <n v="21.16"/>
        <n v="37.49"/>
        <n v="16.71"/>
        <n v="20.13"/>
        <n v="21.17"/>
        <n v="15.83"/>
        <n v="32.37"/>
        <n v="23.59"/>
        <n v="46.23"/>
        <n v="32.8"/>
        <n v="36.2"/>
        <n v="27.05"/>
        <n v="28.59"/>
        <n v="8.59"/>
        <n v="47.28"/>
        <n v="27.09"/>
        <n v="6.11"/>
        <n v="22.38"/>
        <n v="10.09"/>
        <n v="37.61"/>
        <n v="43.57"/>
        <n v="47.16"/>
        <n v="14.03"/>
        <n v="13.65"/>
        <n v="20.74"/>
        <n v="29.87"/>
        <n v="34.53"/>
        <n v="44.8"/>
        <n v="20.72"/>
        <n v="41.9"/>
        <n v="18.52"/>
        <n v="32.1"/>
        <n v="28.3"/>
        <n v="38.03"/>
        <n v="17.15"/>
        <n v="16.7"/>
        <n v="27.6"/>
        <n v="22.84"/>
        <n v="8.56"/>
        <n v="25.74"/>
        <n v="38.77"/>
        <n v="30.01"/>
        <n v="38.35"/>
        <n v="19.51"/>
        <n v="38.36"/>
        <n v="24.56"/>
        <n v="38.75"/>
        <n v="48.32"/>
        <n v="24.97"/>
        <n v="10.88"/>
        <n v="47.69"/>
        <n v="8.91"/>
        <n v="30.85"/>
        <n v="47.88"/>
        <n v="35.31"/>
        <n v="38.08"/>
        <n v="19.9"/>
        <n v="10.61"/>
        <n v="41.18"/>
        <n v="41.67"/>
        <n v="17.92"/>
        <n v="24.58"/>
        <n v="21.76"/>
        <n v="6.82"/>
        <n v="10.71"/>
        <n v="14.31"/>
        <n v="47.1"/>
        <n v="13.76"/>
        <n v="24.86"/>
        <n v="7.07"/>
        <n v="18.23"/>
        <n v="12.68"/>
        <n v="33.57"/>
        <n v="45.31"/>
        <n v="20.88"/>
        <n v="23.43"/>
        <n v="12.47"/>
        <n v="18.72"/>
        <n v="25.71"/>
        <n v="30.45"/>
        <n v="19.81"/>
        <n v="35.8"/>
        <n v="42.37"/>
        <n v="16.75"/>
        <n v="22.65"/>
        <n v="19.27"/>
        <n v="7.71"/>
        <n v="28.54"/>
        <n v="21.57"/>
        <n v="21.54"/>
        <n v="5.89"/>
        <n v="28.25"/>
        <n v="31.42"/>
        <n v="35.16"/>
        <n v="27.08"/>
        <n v="9.58"/>
        <n v="31.02"/>
        <n v="16.03"/>
        <n v="11.05"/>
        <n v="48.64"/>
        <n v="13.41"/>
        <n v="22.49"/>
        <n v="27.42"/>
        <n v="26.19"/>
        <n v="23.61"/>
        <n v="38.09"/>
        <n v="32.63"/>
        <n v="21.01"/>
        <n v="45.7"/>
        <n v="49.64"/>
        <n v="23.05"/>
        <n v="14.51"/>
        <n v="24.13"/>
        <n v="25.92"/>
        <n v="29.77"/>
        <n v="45.95"/>
        <n v="10.43"/>
        <n v="36.57"/>
        <n v="15.78"/>
        <n v="46.41"/>
        <n v="19.24"/>
        <n v="20.85"/>
        <n v="18.51"/>
        <n v="5.64"/>
        <n v="24.57"/>
        <n v="17.2"/>
        <n v="36.19"/>
        <n v="23.85"/>
        <n v="5.85"/>
        <n v="15.16"/>
        <n v="43.07"/>
        <n v="12.95"/>
        <n v="43.36"/>
        <n v="19.52"/>
        <n v="7.39"/>
        <n v="47.72"/>
        <n v="42.07"/>
        <n v="41.42"/>
        <n v="40.92"/>
        <n v="36.34"/>
        <n v="47.46"/>
        <n v="14.04"/>
        <n v="24.69"/>
        <n v="33.66"/>
        <n v="6.14"/>
        <n v="25.73"/>
        <n v="34.61"/>
        <n v="9.85"/>
        <n v="10.06"/>
        <n v="41.97"/>
        <n v="20.29"/>
        <n v="32.26"/>
        <n v="42.99"/>
        <n v="32.53"/>
        <n v="41.15"/>
        <n v="23.24"/>
        <n v="42.29"/>
        <n v="6.7"/>
        <n v="44.7"/>
        <n v="28.02"/>
        <n v="36.08"/>
        <n v="44.96"/>
        <n v="46.56"/>
        <n v="11.37"/>
        <n v="47.31"/>
        <n v="26.11"/>
        <n v="40.16"/>
        <n v="15.48"/>
        <n v="42.76"/>
        <n v="24.88"/>
        <n v="40.2"/>
        <n v="45.52"/>
        <n v="6.31"/>
        <n v="5.29"/>
        <n v="30.46"/>
        <n v="37.46"/>
        <n v="45.88"/>
        <n v="26.42"/>
        <n v="48.03"/>
        <n v="9.32"/>
        <n v="34.6"/>
        <n v="42.42"/>
        <n v="16.31"/>
        <n v="15.35"/>
        <n v="23.98"/>
        <n v="19.14"/>
        <n v="6.64"/>
        <n v="28.81"/>
        <n v="17.21"/>
        <n v="47.44"/>
        <n v="48.4"/>
        <n v="6.55"/>
        <n v="46.08"/>
        <n v="21.18"/>
        <n v="12.32"/>
        <n v="43.55"/>
        <n v="21.72"/>
        <n v="45.78"/>
        <n v="22.32"/>
        <n v="26.87"/>
        <n v="36.43"/>
        <n v="11.24"/>
        <n v="19.59"/>
        <n v="13.33"/>
        <n v="42.75"/>
        <n v="16.26"/>
        <n v="32.94"/>
        <n v="31.77"/>
        <n v="39.48"/>
        <n v="35.81"/>
        <n v="13.43"/>
        <n v="47.15"/>
        <n v="48.5"/>
        <n v="22.23"/>
        <n v="22.16"/>
        <n v="47.61"/>
        <n v="44.14"/>
        <n v="36.58"/>
        <n v="26.79"/>
        <n v="49.58"/>
        <n v="38.16"/>
        <n v="20.82"/>
        <n v="47.66"/>
        <n v="5.56"/>
        <n v="44.04"/>
        <n v="40.18"/>
        <n v="46.31"/>
        <n v="22.74"/>
        <n v="48.27"/>
        <n v="45.55"/>
        <n v="30.86"/>
        <n v="19.09"/>
        <n v="32.59"/>
        <n v="39.23"/>
        <n v="35.53"/>
        <n v="40.99"/>
        <n v="6.56"/>
        <n v="45.27"/>
        <n v="20.15"/>
        <n v="17.26"/>
        <n v="9.11"/>
        <n v="28.19"/>
        <n v="48.6"/>
        <n v="49.07"/>
        <n v="8.81"/>
        <n v="42.59"/>
        <n v="18.99"/>
        <n v="7.16"/>
        <n v="39.36"/>
        <n v="8"/>
        <n v="29.5"/>
        <n v="25.25"/>
        <n v="35.72"/>
        <n v="32.29"/>
        <n v="39.08"/>
        <n v="37.27"/>
        <n v="22.6"/>
        <n v="36.42"/>
        <n v="12.82"/>
        <n v="20.25"/>
        <n v="43.52"/>
        <n v="19.42"/>
        <n v="15.82"/>
        <n v="7.05"/>
        <n v="31.89"/>
        <n v="14.76"/>
        <n v="15.64"/>
        <n v="11.45"/>
        <n v="17.7"/>
        <n v="18.92"/>
        <n v="46.86"/>
        <n v="34.23"/>
        <n v="19.39"/>
        <n v="46.89"/>
        <n v="14.17"/>
        <n v="47.07"/>
        <n v="29.84"/>
        <n v="23.41"/>
        <n v="11.66"/>
        <n v="26.83"/>
        <n v="36.6"/>
        <n v="8.63"/>
        <n v="20.14"/>
        <n v="8.82"/>
        <n v="27.59"/>
        <n v="19.34"/>
        <n v="16.28"/>
        <n v="5.57"/>
        <n v="32.86"/>
        <n v="45.43"/>
        <n v="34.67"/>
        <n v="22.28"/>
        <n v="8.36"/>
        <n v="16.88"/>
        <n v="6.58"/>
        <n v="40.26"/>
        <n v="10.15"/>
        <n v="39.59"/>
        <n v="45.85"/>
        <n v="18.06"/>
        <n v="45.97"/>
        <n v="28.1"/>
        <n v="19.93"/>
        <n v="5.61"/>
        <n v="28.51"/>
        <n v="39.86"/>
        <n v="28.69"/>
        <n v="17.9"/>
        <n v="35.93"/>
        <n v="28.91"/>
        <n v="11.25"/>
        <n v="47.14"/>
        <n v="6.84"/>
        <n v="48.31"/>
        <n v="8.49"/>
        <n v="48.73"/>
        <n v="41.44"/>
        <n v="31.6"/>
        <n v="35.46"/>
        <n v="37.56"/>
        <n v="39.21"/>
        <n v="47.01"/>
        <n v="45.08"/>
        <n v="35.95"/>
        <n v="21.83"/>
        <n v="22.39"/>
        <n v="24.06"/>
        <n v="42.45"/>
        <n v="12.87"/>
        <n v="36.93"/>
        <n v="36.75"/>
        <n v="40.68"/>
        <n v="6.51"/>
        <n v="21.47"/>
        <n v="11.8"/>
        <n v="5.3"/>
        <n v="7.08"/>
        <n v="27.54"/>
        <n v="19.13"/>
        <n v="46.49"/>
        <n v="47.77"/>
        <n v="10.72"/>
        <n v="17.6"/>
        <n v="34.95"/>
        <n v="47.41"/>
        <n v="6.47"/>
        <n v="39.27"/>
        <n v="41.98"/>
        <n v="29.2"/>
        <n v="38.26"/>
        <n v="37.6"/>
      </sharedItems>
    </cacheField>
    <cacheField name="Payment_Method" numFmtId="0">
      <sharedItems count="9">
        <s v="PayPal"/>
        <s v="UPI"/>
        <s v="Wallet"/>
        <s v="Cash on Delivery"/>
        <s v="Credit Card"/>
        <s v="EMI"/>
        <s v="Net Banking"/>
        <s v="Debit Card"/>
        <s v="Unknown"/>
      </sharedItems>
    </cacheField>
    <cacheField name="Order_Size" numFmtId="0">
      <sharedItems count="3">
        <s v="Medium"/>
        <s v="Small"/>
        <s v="Larg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1"/>
    <x v="2"/>
    <x v="2"/>
    <x v="2"/>
    <x v="2"/>
    <x v="1"/>
    <x v="2"/>
    <x v="2"/>
    <x v="2"/>
    <x v="2"/>
    <x v="2"/>
    <x v="1"/>
    <x v="2"/>
    <x v="2"/>
    <x v="2"/>
    <x v="2"/>
    <x v="1"/>
  </r>
  <r>
    <x v="3"/>
    <x v="3"/>
    <x v="3"/>
    <x v="3"/>
    <x v="3"/>
    <x v="3"/>
    <x v="3"/>
    <x v="3"/>
    <x v="1"/>
    <x v="1"/>
    <x v="0"/>
    <x v="0"/>
    <x v="0"/>
    <x v="3"/>
    <x v="2"/>
    <x v="3"/>
    <x v="3"/>
    <x v="3"/>
    <x v="0"/>
    <x v="2"/>
    <x v="1"/>
    <x v="3"/>
    <x v="3"/>
    <x v="3"/>
    <x v="3"/>
    <x v="0"/>
  </r>
  <r>
    <x v="4"/>
    <x v="4"/>
    <x v="4"/>
    <x v="2"/>
    <x v="2"/>
    <x v="4"/>
    <x v="4"/>
    <x v="4"/>
    <x v="2"/>
    <x v="0"/>
    <x v="3"/>
    <x v="3"/>
    <x v="3"/>
    <x v="4"/>
    <x v="0"/>
    <x v="4"/>
    <x v="4"/>
    <x v="4"/>
    <x v="0"/>
    <x v="3"/>
    <x v="2"/>
    <x v="4"/>
    <x v="4"/>
    <x v="4"/>
    <x v="4"/>
    <x v="2"/>
  </r>
  <r>
    <x v="5"/>
    <x v="5"/>
    <x v="0"/>
    <x v="4"/>
    <x v="4"/>
    <x v="5"/>
    <x v="5"/>
    <x v="5"/>
    <x v="2"/>
    <x v="0"/>
    <x v="4"/>
    <x v="4"/>
    <x v="0"/>
    <x v="5"/>
    <x v="2"/>
    <x v="5"/>
    <x v="5"/>
    <x v="5"/>
    <x v="0"/>
    <x v="2"/>
    <x v="1"/>
    <x v="5"/>
    <x v="5"/>
    <x v="5"/>
    <x v="1"/>
    <x v="1"/>
  </r>
  <r>
    <x v="6"/>
    <x v="6"/>
    <x v="3"/>
    <x v="5"/>
    <x v="5"/>
    <x v="6"/>
    <x v="6"/>
    <x v="6"/>
    <x v="1"/>
    <x v="0"/>
    <x v="5"/>
    <x v="5"/>
    <x v="3"/>
    <x v="6"/>
    <x v="0"/>
    <x v="0"/>
    <x v="6"/>
    <x v="6"/>
    <x v="0"/>
    <x v="4"/>
    <x v="3"/>
    <x v="6"/>
    <x v="6"/>
    <x v="6"/>
    <x v="5"/>
    <x v="2"/>
  </r>
  <r>
    <x v="7"/>
    <x v="7"/>
    <x v="0"/>
    <x v="5"/>
    <x v="5"/>
    <x v="7"/>
    <x v="7"/>
    <x v="7"/>
    <x v="2"/>
    <x v="1"/>
    <x v="6"/>
    <x v="6"/>
    <x v="0"/>
    <x v="7"/>
    <x v="2"/>
    <x v="6"/>
    <x v="7"/>
    <x v="7"/>
    <x v="3"/>
    <x v="5"/>
    <x v="2"/>
    <x v="7"/>
    <x v="7"/>
    <x v="7"/>
    <x v="2"/>
    <x v="0"/>
  </r>
  <r>
    <x v="8"/>
    <x v="8"/>
    <x v="4"/>
    <x v="3"/>
    <x v="3"/>
    <x v="8"/>
    <x v="8"/>
    <x v="8"/>
    <x v="0"/>
    <x v="0"/>
    <x v="7"/>
    <x v="7"/>
    <x v="2"/>
    <x v="8"/>
    <x v="0"/>
    <x v="7"/>
    <x v="8"/>
    <x v="8"/>
    <x v="1"/>
    <x v="3"/>
    <x v="2"/>
    <x v="8"/>
    <x v="8"/>
    <x v="8"/>
    <x v="5"/>
    <x v="0"/>
  </r>
  <r>
    <x v="9"/>
    <x v="9"/>
    <x v="3"/>
    <x v="6"/>
    <x v="6"/>
    <x v="9"/>
    <x v="9"/>
    <x v="9"/>
    <x v="2"/>
    <x v="1"/>
    <x v="8"/>
    <x v="8"/>
    <x v="0"/>
    <x v="9"/>
    <x v="2"/>
    <x v="8"/>
    <x v="9"/>
    <x v="9"/>
    <x v="3"/>
    <x v="6"/>
    <x v="3"/>
    <x v="9"/>
    <x v="9"/>
    <x v="9"/>
    <x v="6"/>
    <x v="2"/>
  </r>
  <r>
    <x v="10"/>
    <x v="10"/>
    <x v="0"/>
    <x v="7"/>
    <x v="7"/>
    <x v="10"/>
    <x v="10"/>
    <x v="10"/>
    <x v="0"/>
    <x v="1"/>
    <x v="9"/>
    <x v="9"/>
    <x v="2"/>
    <x v="10"/>
    <x v="1"/>
    <x v="9"/>
    <x v="10"/>
    <x v="10"/>
    <x v="2"/>
    <x v="6"/>
    <x v="3"/>
    <x v="10"/>
    <x v="10"/>
    <x v="10"/>
    <x v="6"/>
    <x v="1"/>
  </r>
  <r>
    <x v="11"/>
    <x v="11"/>
    <x v="4"/>
    <x v="8"/>
    <x v="8"/>
    <x v="11"/>
    <x v="11"/>
    <x v="11"/>
    <x v="0"/>
    <x v="0"/>
    <x v="10"/>
    <x v="10"/>
    <x v="0"/>
    <x v="11"/>
    <x v="2"/>
    <x v="3"/>
    <x v="11"/>
    <x v="11"/>
    <x v="4"/>
    <x v="0"/>
    <x v="0"/>
    <x v="11"/>
    <x v="11"/>
    <x v="11"/>
    <x v="7"/>
    <x v="0"/>
  </r>
  <r>
    <x v="12"/>
    <x v="12"/>
    <x v="1"/>
    <x v="9"/>
    <x v="9"/>
    <x v="12"/>
    <x v="12"/>
    <x v="12"/>
    <x v="0"/>
    <x v="1"/>
    <x v="4"/>
    <x v="4"/>
    <x v="0"/>
    <x v="12"/>
    <x v="0"/>
    <x v="7"/>
    <x v="12"/>
    <x v="12"/>
    <x v="3"/>
    <x v="0"/>
    <x v="0"/>
    <x v="12"/>
    <x v="12"/>
    <x v="12"/>
    <x v="2"/>
    <x v="0"/>
  </r>
  <r>
    <x v="13"/>
    <x v="13"/>
    <x v="4"/>
    <x v="7"/>
    <x v="7"/>
    <x v="13"/>
    <x v="13"/>
    <x v="13"/>
    <x v="2"/>
    <x v="0"/>
    <x v="11"/>
    <x v="11"/>
    <x v="0"/>
    <x v="13"/>
    <x v="1"/>
    <x v="2"/>
    <x v="13"/>
    <x v="13"/>
    <x v="0"/>
    <x v="3"/>
    <x v="2"/>
    <x v="13"/>
    <x v="13"/>
    <x v="13"/>
    <x v="2"/>
    <x v="1"/>
  </r>
  <r>
    <x v="14"/>
    <x v="14"/>
    <x v="2"/>
    <x v="10"/>
    <x v="10"/>
    <x v="14"/>
    <x v="14"/>
    <x v="14"/>
    <x v="0"/>
    <x v="1"/>
    <x v="12"/>
    <x v="12"/>
    <x v="2"/>
    <x v="14"/>
    <x v="2"/>
    <x v="8"/>
    <x v="14"/>
    <x v="14"/>
    <x v="1"/>
    <x v="0"/>
    <x v="0"/>
    <x v="14"/>
    <x v="14"/>
    <x v="14"/>
    <x v="3"/>
    <x v="2"/>
  </r>
  <r>
    <x v="15"/>
    <x v="15"/>
    <x v="2"/>
    <x v="6"/>
    <x v="6"/>
    <x v="15"/>
    <x v="15"/>
    <x v="15"/>
    <x v="1"/>
    <x v="0"/>
    <x v="13"/>
    <x v="13"/>
    <x v="3"/>
    <x v="15"/>
    <x v="0"/>
    <x v="10"/>
    <x v="15"/>
    <x v="15"/>
    <x v="0"/>
    <x v="0"/>
    <x v="0"/>
    <x v="15"/>
    <x v="15"/>
    <x v="15"/>
    <x v="3"/>
    <x v="0"/>
  </r>
  <r>
    <x v="16"/>
    <x v="16"/>
    <x v="3"/>
    <x v="2"/>
    <x v="2"/>
    <x v="16"/>
    <x v="16"/>
    <x v="16"/>
    <x v="2"/>
    <x v="1"/>
    <x v="14"/>
    <x v="14"/>
    <x v="3"/>
    <x v="16"/>
    <x v="1"/>
    <x v="1"/>
    <x v="16"/>
    <x v="16"/>
    <x v="2"/>
    <x v="0"/>
    <x v="0"/>
    <x v="16"/>
    <x v="16"/>
    <x v="16"/>
    <x v="2"/>
    <x v="1"/>
  </r>
  <r>
    <x v="17"/>
    <x v="17"/>
    <x v="0"/>
    <x v="5"/>
    <x v="5"/>
    <x v="17"/>
    <x v="17"/>
    <x v="17"/>
    <x v="2"/>
    <x v="1"/>
    <x v="15"/>
    <x v="15"/>
    <x v="1"/>
    <x v="10"/>
    <x v="1"/>
    <x v="9"/>
    <x v="10"/>
    <x v="17"/>
    <x v="1"/>
    <x v="3"/>
    <x v="2"/>
    <x v="17"/>
    <x v="17"/>
    <x v="17"/>
    <x v="2"/>
    <x v="1"/>
  </r>
  <r>
    <x v="18"/>
    <x v="18"/>
    <x v="0"/>
    <x v="7"/>
    <x v="7"/>
    <x v="18"/>
    <x v="18"/>
    <x v="18"/>
    <x v="0"/>
    <x v="1"/>
    <x v="16"/>
    <x v="16"/>
    <x v="1"/>
    <x v="17"/>
    <x v="1"/>
    <x v="9"/>
    <x v="17"/>
    <x v="18"/>
    <x v="3"/>
    <x v="6"/>
    <x v="3"/>
    <x v="18"/>
    <x v="18"/>
    <x v="18"/>
    <x v="1"/>
    <x v="1"/>
  </r>
  <r>
    <x v="19"/>
    <x v="19"/>
    <x v="2"/>
    <x v="3"/>
    <x v="3"/>
    <x v="19"/>
    <x v="19"/>
    <x v="19"/>
    <x v="1"/>
    <x v="1"/>
    <x v="17"/>
    <x v="17"/>
    <x v="0"/>
    <x v="18"/>
    <x v="1"/>
    <x v="11"/>
    <x v="18"/>
    <x v="19"/>
    <x v="1"/>
    <x v="6"/>
    <x v="3"/>
    <x v="19"/>
    <x v="19"/>
    <x v="19"/>
    <x v="2"/>
    <x v="1"/>
  </r>
  <r>
    <x v="20"/>
    <x v="20"/>
    <x v="0"/>
    <x v="10"/>
    <x v="10"/>
    <x v="20"/>
    <x v="20"/>
    <x v="20"/>
    <x v="2"/>
    <x v="1"/>
    <x v="1"/>
    <x v="18"/>
    <x v="1"/>
    <x v="11"/>
    <x v="2"/>
    <x v="3"/>
    <x v="11"/>
    <x v="11"/>
    <x v="4"/>
    <x v="0"/>
    <x v="0"/>
    <x v="20"/>
    <x v="20"/>
    <x v="20"/>
    <x v="5"/>
    <x v="0"/>
  </r>
  <r>
    <x v="21"/>
    <x v="21"/>
    <x v="4"/>
    <x v="6"/>
    <x v="6"/>
    <x v="21"/>
    <x v="21"/>
    <x v="21"/>
    <x v="2"/>
    <x v="1"/>
    <x v="18"/>
    <x v="19"/>
    <x v="1"/>
    <x v="19"/>
    <x v="0"/>
    <x v="12"/>
    <x v="19"/>
    <x v="20"/>
    <x v="2"/>
    <x v="4"/>
    <x v="3"/>
    <x v="21"/>
    <x v="21"/>
    <x v="21"/>
    <x v="4"/>
    <x v="1"/>
  </r>
  <r>
    <x v="22"/>
    <x v="22"/>
    <x v="0"/>
    <x v="8"/>
    <x v="8"/>
    <x v="22"/>
    <x v="22"/>
    <x v="22"/>
    <x v="2"/>
    <x v="0"/>
    <x v="12"/>
    <x v="20"/>
    <x v="2"/>
    <x v="20"/>
    <x v="1"/>
    <x v="9"/>
    <x v="20"/>
    <x v="21"/>
    <x v="3"/>
    <x v="5"/>
    <x v="2"/>
    <x v="22"/>
    <x v="22"/>
    <x v="22"/>
    <x v="1"/>
    <x v="1"/>
  </r>
  <r>
    <x v="23"/>
    <x v="23"/>
    <x v="4"/>
    <x v="2"/>
    <x v="2"/>
    <x v="23"/>
    <x v="23"/>
    <x v="23"/>
    <x v="1"/>
    <x v="1"/>
    <x v="19"/>
    <x v="21"/>
    <x v="0"/>
    <x v="21"/>
    <x v="0"/>
    <x v="0"/>
    <x v="21"/>
    <x v="22"/>
    <x v="3"/>
    <x v="4"/>
    <x v="3"/>
    <x v="23"/>
    <x v="23"/>
    <x v="23"/>
    <x v="0"/>
    <x v="2"/>
  </r>
  <r>
    <x v="24"/>
    <x v="24"/>
    <x v="2"/>
    <x v="0"/>
    <x v="0"/>
    <x v="24"/>
    <x v="24"/>
    <x v="24"/>
    <x v="0"/>
    <x v="1"/>
    <x v="11"/>
    <x v="11"/>
    <x v="0"/>
    <x v="21"/>
    <x v="0"/>
    <x v="0"/>
    <x v="21"/>
    <x v="23"/>
    <x v="2"/>
    <x v="0"/>
    <x v="0"/>
    <x v="24"/>
    <x v="24"/>
    <x v="24"/>
    <x v="3"/>
    <x v="0"/>
  </r>
  <r>
    <x v="25"/>
    <x v="25"/>
    <x v="4"/>
    <x v="4"/>
    <x v="4"/>
    <x v="25"/>
    <x v="25"/>
    <x v="25"/>
    <x v="1"/>
    <x v="0"/>
    <x v="6"/>
    <x v="6"/>
    <x v="0"/>
    <x v="22"/>
    <x v="1"/>
    <x v="2"/>
    <x v="22"/>
    <x v="24"/>
    <x v="1"/>
    <x v="5"/>
    <x v="2"/>
    <x v="25"/>
    <x v="25"/>
    <x v="25"/>
    <x v="3"/>
    <x v="1"/>
  </r>
  <r>
    <x v="26"/>
    <x v="26"/>
    <x v="2"/>
    <x v="11"/>
    <x v="11"/>
    <x v="26"/>
    <x v="26"/>
    <x v="26"/>
    <x v="1"/>
    <x v="1"/>
    <x v="1"/>
    <x v="18"/>
    <x v="1"/>
    <x v="23"/>
    <x v="2"/>
    <x v="6"/>
    <x v="23"/>
    <x v="25"/>
    <x v="1"/>
    <x v="0"/>
    <x v="0"/>
    <x v="26"/>
    <x v="26"/>
    <x v="26"/>
    <x v="5"/>
    <x v="1"/>
  </r>
  <r>
    <x v="27"/>
    <x v="27"/>
    <x v="4"/>
    <x v="8"/>
    <x v="8"/>
    <x v="27"/>
    <x v="27"/>
    <x v="27"/>
    <x v="2"/>
    <x v="1"/>
    <x v="20"/>
    <x v="22"/>
    <x v="1"/>
    <x v="24"/>
    <x v="0"/>
    <x v="4"/>
    <x v="24"/>
    <x v="26"/>
    <x v="0"/>
    <x v="1"/>
    <x v="1"/>
    <x v="27"/>
    <x v="27"/>
    <x v="27"/>
    <x v="6"/>
    <x v="0"/>
  </r>
  <r>
    <x v="28"/>
    <x v="21"/>
    <x v="4"/>
    <x v="6"/>
    <x v="6"/>
    <x v="28"/>
    <x v="28"/>
    <x v="28"/>
    <x v="2"/>
    <x v="1"/>
    <x v="21"/>
    <x v="23"/>
    <x v="1"/>
    <x v="7"/>
    <x v="2"/>
    <x v="6"/>
    <x v="7"/>
    <x v="27"/>
    <x v="4"/>
    <x v="2"/>
    <x v="1"/>
    <x v="28"/>
    <x v="28"/>
    <x v="28"/>
    <x v="5"/>
    <x v="0"/>
  </r>
  <r>
    <x v="29"/>
    <x v="28"/>
    <x v="2"/>
    <x v="6"/>
    <x v="6"/>
    <x v="29"/>
    <x v="29"/>
    <x v="29"/>
    <x v="2"/>
    <x v="1"/>
    <x v="22"/>
    <x v="24"/>
    <x v="3"/>
    <x v="0"/>
    <x v="0"/>
    <x v="0"/>
    <x v="0"/>
    <x v="28"/>
    <x v="2"/>
    <x v="0"/>
    <x v="0"/>
    <x v="29"/>
    <x v="29"/>
    <x v="29"/>
    <x v="4"/>
    <x v="1"/>
  </r>
  <r>
    <x v="30"/>
    <x v="29"/>
    <x v="3"/>
    <x v="8"/>
    <x v="8"/>
    <x v="30"/>
    <x v="30"/>
    <x v="30"/>
    <x v="2"/>
    <x v="0"/>
    <x v="0"/>
    <x v="25"/>
    <x v="0"/>
    <x v="25"/>
    <x v="2"/>
    <x v="13"/>
    <x v="25"/>
    <x v="29"/>
    <x v="2"/>
    <x v="5"/>
    <x v="2"/>
    <x v="30"/>
    <x v="30"/>
    <x v="30"/>
    <x v="2"/>
    <x v="0"/>
  </r>
  <r>
    <x v="31"/>
    <x v="30"/>
    <x v="0"/>
    <x v="7"/>
    <x v="7"/>
    <x v="31"/>
    <x v="31"/>
    <x v="31"/>
    <x v="0"/>
    <x v="1"/>
    <x v="23"/>
    <x v="26"/>
    <x v="3"/>
    <x v="12"/>
    <x v="0"/>
    <x v="7"/>
    <x v="12"/>
    <x v="30"/>
    <x v="0"/>
    <x v="5"/>
    <x v="2"/>
    <x v="31"/>
    <x v="31"/>
    <x v="31"/>
    <x v="3"/>
    <x v="1"/>
  </r>
  <r>
    <x v="32"/>
    <x v="31"/>
    <x v="4"/>
    <x v="6"/>
    <x v="6"/>
    <x v="32"/>
    <x v="32"/>
    <x v="32"/>
    <x v="1"/>
    <x v="1"/>
    <x v="24"/>
    <x v="27"/>
    <x v="2"/>
    <x v="26"/>
    <x v="2"/>
    <x v="5"/>
    <x v="26"/>
    <x v="31"/>
    <x v="2"/>
    <x v="2"/>
    <x v="1"/>
    <x v="32"/>
    <x v="32"/>
    <x v="32"/>
    <x v="6"/>
    <x v="1"/>
  </r>
  <r>
    <x v="33"/>
    <x v="32"/>
    <x v="0"/>
    <x v="1"/>
    <x v="1"/>
    <x v="33"/>
    <x v="33"/>
    <x v="33"/>
    <x v="1"/>
    <x v="1"/>
    <x v="5"/>
    <x v="28"/>
    <x v="3"/>
    <x v="0"/>
    <x v="0"/>
    <x v="0"/>
    <x v="0"/>
    <x v="0"/>
    <x v="0"/>
    <x v="0"/>
    <x v="0"/>
    <x v="33"/>
    <x v="33"/>
    <x v="23"/>
    <x v="0"/>
    <x v="0"/>
  </r>
  <r>
    <x v="34"/>
    <x v="33"/>
    <x v="2"/>
    <x v="1"/>
    <x v="1"/>
    <x v="34"/>
    <x v="34"/>
    <x v="34"/>
    <x v="2"/>
    <x v="0"/>
    <x v="25"/>
    <x v="29"/>
    <x v="1"/>
    <x v="27"/>
    <x v="2"/>
    <x v="6"/>
    <x v="27"/>
    <x v="32"/>
    <x v="2"/>
    <x v="5"/>
    <x v="2"/>
    <x v="34"/>
    <x v="34"/>
    <x v="33"/>
    <x v="1"/>
    <x v="0"/>
  </r>
  <r>
    <x v="35"/>
    <x v="34"/>
    <x v="0"/>
    <x v="3"/>
    <x v="3"/>
    <x v="35"/>
    <x v="4"/>
    <x v="4"/>
    <x v="2"/>
    <x v="0"/>
    <x v="3"/>
    <x v="3"/>
    <x v="3"/>
    <x v="28"/>
    <x v="0"/>
    <x v="12"/>
    <x v="28"/>
    <x v="33"/>
    <x v="1"/>
    <x v="6"/>
    <x v="3"/>
    <x v="35"/>
    <x v="35"/>
    <x v="34"/>
    <x v="3"/>
    <x v="2"/>
  </r>
  <r>
    <x v="36"/>
    <x v="35"/>
    <x v="0"/>
    <x v="7"/>
    <x v="7"/>
    <x v="36"/>
    <x v="2"/>
    <x v="2"/>
    <x v="2"/>
    <x v="1"/>
    <x v="2"/>
    <x v="2"/>
    <x v="2"/>
    <x v="15"/>
    <x v="0"/>
    <x v="10"/>
    <x v="15"/>
    <x v="34"/>
    <x v="2"/>
    <x v="4"/>
    <x v="3"/>
    <x v="36"/>
    <x v="36"/>
    <x v="35"/>
    <x v="0"/>
    <x v="0"/>
  </r>
  <r>
    <x v="37"/>
    <x v="36"/>
    <x v="2"/>
    <x v="0"/>
    <x v="0"/>
    <x v="37"/>
    <x v="35"/>
    <x v="35"/>
    <x v="2"/>
    <x v="1"/>
    <x v="26"/>
    <x v="30"/>
    <x v="3"/>
    <x v="29"/>
    <x v="0"/>
    <x v="12"/>
    <x v="29"/>
    <x v="12"/>
    <x v="3"/>
    <x v="0"/>
    <x v="0"/>
    <x v="37"/>
    <x v="37"/>
    <x v="36"/>
    <x v="6"/>
    <x v="0"/>
  </r>
  <r>
    <x v="38"/>
    <x v="37"/>
    <x v="4"/>
    <x v="4"/>
    <x v="4"/>
    <x v="38"/>
    <x v="36"/>
    <x v="36"/>
    <x v="0"/>
    <x v="1"/>
    <x v="16"/>
    <x v="31"/>
    <x v="1"/>
    <x v="30"/>
    <x v="0"/>
    <x v="10"/>
    <x v="30"/>
    <x v="35"/>
    <x v="4"/>
    <x v="4"/>
    <x v="3"/>
    <x v="38"/>
    <x v="38"/>
    <x v="37"/>
    <x v="0"/>
    <x v="2"/>
  </r>
  <r>
    <x v="39"/>
    <x v="38"/>
    <x v="0"/>
    <x v="1"/>
    <x v="1"/>
    <x v="39"/>
    <x v="37"/>
    <x v="37"/>
    <x v="0"/>
    <x v="0"/>
    <x v="27"/>
    <x v="32"/>
    <x v="1"/>
    <x v="10"/>
    <x v="1"/>
    <x v="9"/>
    <x v="10"/>
    <x v="36"/>
    <x v="2"/>
    <x v="0"/>
    <x v="0"/>
    <x v="39"/>
    <x v="39"/>
    <x v="38"/>
    <x v="1"/>
    <x v="1"/>
  </r>
  <r>
    <x v="40"/>
    <x v="39"/>
    <x v="0"/>
    <x v="2"/>
    <x v="2"/>
    <x v="40"/>
    <x v="38"/>
    <x v="38"/>
    <x v="0"/>
    <x v="1"/>
    <x v="28"/>
    <x v="33"/>
    <x v="3"/>
    <x v="6"/>
    <x v="0"/>
    <x v="0"/>
    <x v="6"/>
    <x v="37"/>
    <x v="3"/>
    <x v="5"/>
    <x v="2"/>
    <x v="40"/>
    <x v="40"/>
    <x v="39"/>
    <x v="2"/>
    <x v="2"/>
  </r>
  <r>
    <x v="41"/>
    <x v="40"/>
    <x v="4"/>
    <x v="2"/>
    <x v="2"/>
    <x v="41"/>
    <x v="37"/>
    <x v="37"/>
    <x v="0"/>
    <x v="0"/>
    <x v="27"/>
    <x v="24"/>
    <x v="1"/>
    <x v="13"/>
    <x v="1"/>
    <x v="2"/>
    <x v="13"/>
    <x v="38"/>
    <x v="4"/>
    <x v="5"/>
    <x v="2"/>
    <x v="41"/>
    <x v="41"/>
    <x v="40"/>
    <x v="7"/>
    <x v="1"/>
  </r>
  <r>
    <x v="42"/>
    <x v="41"/>
    <x v="4"/>
    <x v="8"/>
    <x v="8"/>
    <x v="42"/>
    <x v="39"/>
    <x v="39"/>
    <x v="2"/>
    <x v="1"/>
    <x v="8"/>
    <x v="8"/>
    <x v="0"/>
    <x v="22"/>
    <x v="1"/>
    <x v="2"/>
    <x v="22"/>
    <x v="39"/>
    <x v="0"/>
    <x v="6"/>
    <x v="3"/>
    <x v="42"/>
    <x v="42"/>
    <x v="41"/>
    <x v="7"/>
    <x v="1"/>
  </r>
  <r>
    <x v="43"/>
    <x v="42"/>
    <x v="2"/>
    <x v="1"/>
    <x v="1"/>
    <x v="43"/>
    <x v="40"/>
    <x v="40"/>
    <x v="0"/>
    <x v="1"/>
    <x v="15"/>
    <x v="34"/>
    <x v="1"/>
    <x v="31"/>
    <x v="1"/>
    <x v="1"/>
    <x v="31"/>
    <x v="40"/>
    <x v="2"/>
    <x v="6"/>
    <x v="3"/>
    <x v="43"/>
    <x v="43"/>
    <x v="42"/>
    <x v="0"/>
    <x v="1"/>
  </r>
  <r>
    <x v="44"/>
    <x v="43"/>
    <x v="4"/>
    <x v="8"/>
    <x v="8"/>
    <x v="44"/>
    <x v="3"/>
    <x v="3"/>
    <x v="1"/>
    <x v="1"/>
    <x v="0"/>
    <x v="0"/>
    <x v="0"/>
    <x v="32"/>
    <x v="2"/>
    <x v="13"/>
    <x v="32"/>
    <x v="41"/>
    <x v="4"/>
    <x v="0"/>
    <x v="0"/>
    <x v="44"/>
    <x v="44"/>
    <x v="43"/>
    <x v="7"/>
    <x v="2"/>
  </r>
  <r>
    <x v="45"/>
    <x v="44"/>
    <x v="4"/>
    <x v="9"/>
    <x v="9"/>
    <x v="45"/>
    <x v="41"/>
    <x v="41"/>
    <x v="1"/>
    <x v="0"/>
    <x v="29"/>
    <x v="16"/>
    <x v="1"/>
    <x v="33"/>
    <x v="1"/>
    <x v="11"/>
    <x v="33"/>
    <x v="42"/>
    <x v="0"/>
    <x v="5"/>
    <x v="2"/>
    <x v="45"/>
    <x v="45"/>
    <x v="44"/>
    <x v="0"/>
    <x v="1"/>
  </r>
  <r>
    <x v="46"/>
    <x v="45"/>
    <x v="1"/>
    <x v="4"/>
    <x v="4"/>
    <x v="46"/>
    <x v="42"/>
    <x v="42"/>
    <x v="2"/>
    <x v="1"/>
    <x v="30"/>
    <x v="35"/>
    <x v="2"/>
    <x v="22"/>
    <x v="1"/>
    <x v="2"/>
    <x v="22"/>
    <x v="43"/>
    <x v="1"/>
    <x v="6"/>
    <x v="3"/>
    <x v="46"/>
    <x v="46"/>
    <x v="45"/>
    <x v="4"/>
    <x v="1"/>
  </r>
  <r>
    <x v="47"/>
    <x v="46"/>
    <x v="3"/>
    <x v="1"/>
    <x v="1"/>
    <x v="47"/>
    <x v="43"/>
    <x v="43"/>
    <x v="0"/>
    <x v="1"/>
    <x v="31"/>
    <x v="36"/>
    <x v="2"/>
    <x v="34"/>
    <x v="1"/>
    <x v="11"/>
    <x v="34"/>
    <x v="44"/>
    <x v="3"/>
    <x v="6"/>
    <x v="3"/>
    <x v="47"/>
    <x v="47"/>
    <x v="46"/>
    <x v="4"/>
    <x v="0"/>
  </r>
  <r>
    <x v="48"/>
    <x v="47"/>
    <x v="1"/>
    <x v="5"/>
    <x v="5"/>
    <x v="48"/>
    <x v="44"/>
    <x v="44"/>
    <x v="2"/>
    <x v="1"/>
    <x v="12"/>
    <x v="37"/>
    <x v="2"/>
    <x v="35"/>
    <x v="0"/>
    <x v="4"/>
    <x v="35"/>
    <x v="45"/>
    <x v="0"/>
    <x v="6"/>
    <x v="3"/>
    <x v="48"/>
    <x v="48"/>
    <x v="47"/>
    <x v="0"/>
    <x v="1"/>
  </r>
  <r>
    <x v="49"/>
    <x v="48"/>
    <x v="0"/>
    <x v="2"/>
    <x v="2"/>
    <x v="49"/>
    <x v="45"/>
    <x v="45"/>
    <x v="2"/>
    <x v="1"/>
    <x v="18"/>
    <x v="19"/>
    <x v="1"/>
    <x v="36"/>
    <x v="0"/>
    <x v="10"/>
    <x v="36"/>
    <x v="46"/>
    <x v="4"/>
    <x v="0"/>
    <x v="0"/>
    <x v="49"/>
    <x v="49"/>
    <x v="48"/>
    <x v="7"/>
    <x v="2"/>
  </r>
  <r>
    <x v="50"/>
    <x v="49"/>
    <x v="4"/>
    <x v="6"/>
    <x v="6"/>
    <x v="50"/>
    <x v="46"/>
    <x v="46"/>
    <x v="2"/>
    <x v="1"/>
    <x v="32"/>
    <x v="38"/>
    <x v="0"/>
    <x v="37"/>
    <x v="2"/>
    <x v="3"/>
    <x v="37"/>
    <x v="47"/>
    <x v="4"/>
    <x v="5"/>
    <x v="2"/>
    <x v="50"/>
    <x v="50"/>
    <x v="49"/>
    <x v="6"/>
    <x v="0"/>
  </r>
  <r>
    <x v="51"/>
    <x v="50"/>
    <x v="4"/>
    <x v="4"/>
    <x v="4"/>
    <x v="51"/>
    <x v="47"/>
    <x v="47"/>
    <x v="0"/>
    <x v="1"/>
    <x v="19"/>
    <x v="39"/>
    <x v="0"/>
    <x v="38"/>
    <x v="1"/>
    <x v="1"/>
    <x v="38"/>
    <x v="48"/>
    <x v="1"/>
    <x v="6"/>
    <x v="3"/>
    <x v="51"/>
    <x v="51"/>
    <x v="50"/>
    <x v="3"/>
    <x v="1"/>
  </r>
  <r>
    <x v="52"/>
    <x v="51"/>
    <x v="2"/>
    <x v="7"/>
    <x v="7"/>
    <x v="52"/>
    <x v="48"/>
    <x v="48"/>
    <x v="1"/>
    <x v="0"/>
    <x v="14"/>
    <x v="40"/>
    <x v="3"/>
    <x v="1"/>
    <x v="1"/>
    <x v="1"/>
    <x v="1"/>
    <x v="49"/>
    <x v="0"/>
    <x v="1"/>
    <x v="1"/>
    <x v="52"/>
    <x v="52"/>
    <x v="51"/>
    <x v="7"/>
    <x v="1"/>
  </r>
  <r>
    <x v="53"/>
    <x v="52"/>
    <x v="2"/>
    <x v="9"/>
    <x v="9"/>
    <x v="53"/>
    <x v="49"/>
    <x v="49"/>
    <x v="1"/>
    <x v="0"/>
    <x v="4"/>
    <x v="41"/>
    <x v="0"/>
    <x v="39"/>
    <x v="0"/>
    <x v="12"/>
    <x v="39"/>
    <x v="50"/>
    <x v="1"/>
    <x v="6"/>
    <x v="3"/>
    <x v="53"/>
    <x v="53"/>
    <x v="52"/>
    <x v="3"/>
    <x v="2"/>
  </r>
  <r>
    <x v="54"/>
    <x v="53"/>
    <x v="4"/>
    <x v="11"/>
    <x v="11"/>
    <x v="54"/>
    <x v="50"/>
    <x v="50"/>
    <x v="1"/>
    <x v="1"/>
    <x v="1"/>
    <x v="18"/>
    <x v="1"/>
    <x v="9"/>
    <x v="2"/>
    <x v="8"/>
    <x v="9"/>
    <x v="51"/>
    <x v="3"/>
    <x v="0"/>
    <x v="0"/>
    <x v="54"/>
    <x v="54"/>
    <x v="53"/>
    <x v="3"/>
    <x v="2"/>
  </r>
  <r>
    <x v="55"/>
    <x v="54"/>
    <x v="3"/>
    <x v="7"/>
    <x v="7"/>
    <x v="55"/>
    <x v="51"/>
    <x v="51"/>
    <x v="1"/>
    <x v="1"/>
    <x v="3"/>
    <x v="3"/>
    <x v="3"/>
    <x v="40"/>
    <x v="0"/>
    <x v="10"/>
    <x v="40"/>
    <x v="52"/>
    <x v="0"/>
    <x v="0"/>
    <x v="0"/>
    <x v="55"/>
    <x v="55"/>
    <x v="54"/>
    <x v="3"/>
    <x v="0"/>
  </r>
  <r>
    <x v="56"/>
    <x v="55"/>
    <x v="3"/>
    <x v="5"/>
    <x v="5"/>
    <x v="56"/>
    <x v="52"/>
    <x v="52"/>
    <x v="2"/>
    <x v="0"/>
    <x v="33"/>
    <x v="42"/>
    <x v="2"/>
    <x v="41"/>
    <x v="2"/>
    <x v="8"/>
    <x v="41"/>
    <x v="53"/>
    <x v="1"/>
    <x v="0"/>
    <x v="0"/>
    <x v="56"/>
    <x v="56"/>
    <x v="55"/>
    <x v="6"/>
    <x v="2"/>
  </r>
  <r>
    <x v="57"/>
    <x v="56"/>
    <x v="4"/>
    <x v="5"/>
    <x v="5"/>
    <x v="57"/>
    <x v="53"/>
    <x v="53"/>
    <x v="0"/>
    <x v="1"/>
    <x v="3"/>
    <x v="43"/>
    <x v="3"/>
    <x v="42"/>
    <x v="1"/>
    <x v="11"/>
    <x v="42"/>
    <x v="54"/>
    <x v="2"/>
    <x v="6"/>
    <x v="3"/>
    <x v="57"/>
    <x v="57"/>
    <x v="56"/>
    <x v="6"/>
    <x v="1"/>
  </r>
  <r>
    <x v="58"/>
    <x v="57"/>
    <x v="1"/>
    <x v="8"/>
    <x v="8"/>
    <x v="58"/>
    <x v="54"/>
    <x v="54"/>
    <x v="1"/>
    <x v="1"/>
    <x v="29"/>
    <x v="16"/>
    <x v="1"/>
    <x v="9"/>
    <x v="2"/>
    <x v="8"/>
    <x v="9"/>
    <x v="55"/>
    <x v="3"/>
    <x v="1"/>
    <x v="1"/>
    <x v="58"/>
    <x v="58"/>
    <x v="57"/>
    <x v="2"/>
    <x v="2"/>
  </r>
  <r>
    <x v="59"/>
    <x v="58"/>
    <x v="4"/>
    <x v="3"/>
    <x v="3"/>
    <x v="59"/>
    <x v="55"/>
    <x v="55"/>
    <x v="0"/>
    <x v="0"/>
    <x v="18"/>
    <x v="44"/>
    <x v="1"/>
    <x v="43"/>
    <x v="1"/>
    <x v="9"/>
    <x v="43"/>
    <x v="56"/>
    <x v="4"/>
    <x v="0"/>
    <x v="0"/>
    <x v="59"/>
    <x v="59"/>
    <x v="58"/>
    <x v="4"/>
    <x v="1"/>
  </r>
  <r>
    <x v="60"/>
    <x v="59"/>
    <x v="0"/>
    <x v="5"/>
    <x v="5"/>
    <x v="60"/>
    <x v="7"/>
    <x v="7"/>
    <x v="2"/>
    <x v="1"/>
    <x v="6"/>
    <x v="6"/>
    <x v="0"/>
    <x v="44"/>
    <x v="2"/>
    <x v="5"/>
    <x v="44"/>
    <x v="57"/>
    <x v="0"/>
    <x v="3"/>
    <x v="2"/>
    <x v="60"/>
    <x v="60"/>
    <x v="59"/>
    <x v="7"/>
    <x v="0"/>
  </r>
  <r>
    <x v="61"/>
    <x v="60"/>
    <x v="4"/>
    <x v="2"/>
    <x v="2"/>
    <x v="41"/>
    <x v="56"/>
    <x v="56"/>
    <x v="0"/>
    <x v="1"/>
    <x v="17"/>
    <x v="17"/>
    <x v="0"/>
    <x v="7"/>
    <x v="2"/>
    <x v="6"/>
    <x v="7"/>
    <x v="58"/>
    <x v="1"/>
    <x v="2"/>
    <x v="1"/>
    <x v="61"/>
    <x v="61"/>
    <x v="60"/>
    <x v="2"/>
    <x v="0"/>
  </r>
  <r>
    <x v="62"/>
    <x v="61"/>
    <x v="2"/>
    <x v="6"/>
    <x v="6"/>
    <x v="61"/>
    <x v="57"/>
    <x v="57"/>
    <x v="2"/>
    <x v="1"/>
    <x v="19"/>
    <x v="45"/>
    <x v="0"/>
    <x v="45"/>
    <x v="1"/>
    <x v="2"/>
    <x v="45"/>
    <x v="59"/>
    <x v="1"/>
    <x v="0"/>
    <x v="0"/>
    <x v="62"/>
    <x v="62"/>
    <x v="61"/>
    <x v="0"/>
    <x v="1"/>
  </r>
  <r>
    <x v="63"/>
    <x v="62"/>
    <x v="2"/>
    <x v="2"/>
    <x v="2"/>
    <x v="62"/>
    <x v="58"/>
    <x v="58"/>
    <x v="2"/>
    <x v="0"/>
    <x v="26"/>
    <x v="46"/>
    <x v="3"/>
    <x v="46"/>
    <x v="2"/>
    <x v="13"/>
    <x v="46"/>
    <x v="60"/>
    <x v="3"/>
    <x v="1"/>
    <x v="1"/>
    <x v="63"/>
    <x v="63"/>
    <x v="62"/>
    <x v="6"/>
    <x v="0"/>
  </r>
  <r>
    <x v="64"/>
    <x v="63"/>
    <x v="1"/>
    <x v="10"/>
    <x v="10"/>
    <x v="63"/>
    <x v="59"/>
    <x v="59"/>
    <x v="1"/>
    <x v="1"/>
    <x v="6"/>
    <x v="47"/>
    <x v="0"/>
    <x v="47"/>
    <x v="2"/>
    <x v="13"/>
    <x v="47"/>
    <x v="61"/>
    <x v="4"/>
    <x v="1"/>
    <x v="1"/>
    <x v="64"/>
    <x v="64"/>
    <x v="63"/>
    <x v="7"/>
    <x v="2"/>
  </r>
  <r>
    <x v="65"/>
    <x v="64"/>
    <x v="2"/>
    <x v="10"/>
    <x v="10"/>
    <x v="64"/>
    <x v="48"/>
    <x v="48"/>
    <x v="1"/>
    <x v="0"/>
    <x v="14"/>
    <x v="40"/>
    <x v="3"/>
    <x v="48"/>
    <x v="2"/>
    <x v="6"/>
    <x v="48"/>
    <x v="62"/>
    <x v="1"/>
    <x v="5"/>
    <x v="2"/>
    <x v="65"/>
    <x v="65"/>
    <x v="64"/>
    <x v="7"/>
    <x v="0"/>
  </r>
  <r>
    <x v="66"/>
    <x v="65"/>
    <x v="3"/>
    <x v="2"/>
    <x v="2"/>
    <x v="65"/>
    <x v="1"/>
    <x v="1"/>
    <x v="1"/>
    <x v="1"/>
    <x v="1"/>
    <x v="24"/>
    <x v="1"/>
    <x v="14"/>
    <x v="2"/>
    <x v="8"/>
    <x v="14"/>
    <x v="63"/>
    <x v="0"/>
    <x v="4"/>
    <x v="3"/>
    <x v="66"/>
    <x v="66"/>
    <x v="65"/>
    <x v="3"/>
    <x v="0"/>
  </r>
  <r>
    <x v="67"/>
    <x v="66"/>
    <x v="4"/>
    <x v="2"/>
    <x v="2"/>
    <x v="23"/>
    <x v="60"/>
    <x v="60"/>
    <x v="0"/>
    <x v="0"/>
    <x v="33"/>
    <x v="42"/>
    <x v="2"/>
    <x v="49"/>
    <x v="2"/>
    <x v="5"/>
    <x v="49"/>
    <x v="64"/>
    <x v="4"/>
    <x v="2"/>
    <x v="1"/>
    <x v="67"/>
    <x v="67"/>
    <x v="66"/>
    <x v="4"/>
    <x v="1"/>
  </r>
  <r>
    <x v="68"/>
    <x v="67"/>
    <x v="2"/>
    <x v="5"/>
    <x v="5"/>
    <x v="66"/>
    <x v="61"/>
    <x v="61"/>
    <x v="1"/>
    <x v="1"/>
    <x v="23"/>
    <x v="26"/>
    <x v="3"/>
    <x v="39"/>
    <x v="0"/>
    <x v="12"/>
    <x v="39"/>
    <x v="65"/>
    <x v="1"/>
    <x v="0"/>
    <x v="0"/>
    <x v="68"/>
    <x v="68"/>
    <x v="67"/>
    <x v="2"/>
    <x v="2"/>
  </r>
  <r>
    <x v="69"/>
    <x v="68"/>
    <x v="3"/>
    <x v="3"/>
    <x v="3"/>
    <x v="67"/>
    <x v="62"/>
    <x v="62"/>
    <x v="2"/>
    <x v="1"/>
    <x v="34"/>
    <x v="48"/>
    <x v="3"/>
    <x v="28"/>
    <x v="0"/>
    <x v="12"/>
    <x v="28"/>
    <x v="66"/>
    <x v="0"/>
    <x v="5"/>
    <x v="2"/>
    <x v="69"/>
    <x v="69"/>
    <x v="68"/>
    <x v="5"/>
    <x v="0"/>
  </r>
  <r>
    <x v="70"/>
    <x v="69"/>
    <x v="4"/>
    <x v="11"/>
    <x v="11"/>
    <x v="68"/>
    <x v="36"/>
    <x v="36"/>
    <x v="0"/>
    <x v="1"/>
    <x v="16"/>
    <x v="31"/>
    <x v="1"/>
    <x v="50"/>
    <x v="2"/>
    <x v="3"/>
    <x v="50"/>
    <x v="67"/>
    <x v="0"/>
    <x v="6"/>
    <x v="3"/>
    <x v="70"/>
    <x v="70"/>
    <x v="69"/>
    <x v="1"/>
    <x v="0"/>
  </r>
  <r>
    <x v="71"/>
    <x v="70"/>
    <x v="1"/>
    <x v="6"/>
    <x v="6"/>
    <x v="69"/>
    <x v="63"/>
    <x v="63"/>
    <x v="1"/>
    <x v="1"/>
    <x v="19"/>
    <x v="39"/>
    <x v="0"/>
    <x v="22"/>
    <x v="1"/>
    <x v="2"/>
    <x v="22"/>
    <x v="68"/>
    <x v="0"/>
    <x v="2"/>
    <x v="1"/>
    <x v="71"/>
    <x v="71"/>
    <x v="70"/>
    <x v="1"/>
    <x v="1"/>
  </r>
  <r>
    <x v="72"/>
    <x v="71"/>
    <x v="3"/>
    <x v="1"/>
    <x v="1"/>
    <x v="70"/>
    <x v="64"/>
    <x v="64"/>
    <x v="2"/>
    <x v="1"/>
    <x v="31"/>
    <x v="36"/>
    <x v="2"/>
    <x v="41"/>
    <x v="2"/>
    <x v="8"/>
    <x v="41"/>
    <x v="69"/>
    <x v="2"/>
    <x v="3"/>
    <x v="2"/>
    <x v="72"/>
    <x v="72"/>
    <x v="71"/>
    <x v="0"/>
    <x v="0"/>
  </r>
  <r>
    <x v="73"/>
    <x v="72"/>
    <x v="3"/>
    <x v="8"/>
    <x v="8"/>
    <x v="71"/>
    <x v="65"/>
    <x v="65"/>
    <x v="1"/>
    <x v="1"/>
    <x v="18"/>
    <x v="44"/>
    <x v="1"/>
    <x v="8"/>
    <x v="0"/>
    <x v="7"/>
    <x v="8"/>
    <x v="70"/>
    <x v="4"/>
    <x v="1"/>
    <x v="1"/>
    <x v="73"/>
    <x v="73"/>
    <x v="72"/>
    <x v="5"/>
    <x v="0"/>
  </r>
  <r>
    <x v="74"/>
    <x v="73"/>
    <x v="0"/>
    <x v="1"/>
    <x v="1"/>
    <x v="72"/>
    <x v="66"/>
    <x v="66"/>
    <x v="0"/>
    <x v="1"/>
    <x v="1"/>
    <x v="1"/>
    <x v="1"/>
    <x v="24"/>
    <x v="0"/>
    <x v="4"/>
    <x v="24"/>
    <x v="71"/>
    <x v="1"/>
    <x v="0"/>
    <x v="0"/>
    <x v="74"/>
    <x v="74"/>
    <x v="73"/>
    <x v="1"/>
    <x v="2"/>
  </r>
  <r>
    <x v="75"/>
    <x v="74"/>
    <x v="3"/>
    <x v="10"/>
    <x v="10"/>
    <x v="73"/>
    <x v="44"/>
    <x v="44"/>
    <x v="2"/>
    <x v="1"/>
    <x v="12"/>
    <x v="37"/>
    <x v="2"/>
    <x v="27"/>
    <x v="2"/>
    <x v="6"/>
    <x v="27"/>
    <x v="72"/>
    <x v="2"/>
    <x v="2"/>
    <x v="1"/>
    <x v="75"/>
    <x v="75"/>
    <x v="74"/>
    <x v="1"/>
    <x v="0"/>
  </r>
  <r>
    <x v="76"/>
    <x v="75"/>
    <x v="3"/>
    <x v="1"/>
    <x v="1"/>
    <x v="74"/>
    <x v="67"/>
    <x v="67"/>
    <x v="0"/>
    <x v="1"/>
    <x v="12"/>
    <x v="20"/>
    <x v="2"/>
    <x v="51"/>
    <x v="1"/>
    <x v="9"/>
    <x v="51"/>
    <x v="73"/>
    <x v="4"/>
    <x v="1"/>
    <x v="1"/>
    <x v="76"/>
    <x v="76"/>
    <x v="75"/>
    <x v="7"/>
    <x v="1"/>
  </r>
  <r>
    <x v="77"/>
    <x v="76"/>
    <x v="2"/>
    <x v="10"/>
    <x v="10"/>
    <x v="75"/>
    <x v="68"/>
    <x v="68"/>
    <x v="2"/>
    <x v="1"/>
    <x v="1"/>
    <x v="1"/>
    <x v="1"/>
    <x v="12"/>
    <x v="0"/>
    <x v="7"/>
    <x v="12"/>
    <x v="74"/>
    <x v="4"/>
    <x v="4"/>
    <x v="3"/>
    <x v="77"/>
    <x v="77"/>
    <x v="76"/>
    <x v="2"/>
    <x v="1"/>
  </r>
  <r>
    <x v="78"/>
    <x v="77"/>
    <x v="3"/>
    <x v="11"/>
    <x v="11"/>
    <x v="76"/>
    <x v="45"/>
    <x v="45"/>
    <x v="2"/>
    <x v="1"/>
    <x v="18"/>
    <x v="19"/>
    <x v="1"/>
    <x v="50"/>
    <x v="2"/>
    <x v="3"/>
    <x v="50"/>
    <x v="75"/>
    <x v="4"/>
    <x v="3"/>
    <x v="2"/>
    <x v="78"/>
    <x v="78"/>
    <x v="77"/>
    <x v="1"/>
    <x v="2"/>
  </r>
  <r>
    <x v="79"/>
    <x v="78"/>
    <x v="0"/>
    <x v="0"/>
    <x v="0"/>
    <x v="77"/>
    <x v="69"/>
    <x v="69"/>
    <x v="1"/>
    <x v="1"/>
    <x v="25"/>
    <x v="49"/>
    <x v="1"/>
    <x v="33"/>
    <x v="1"/>
    <x v="11"/>
    <x v="33"/>
    <x v="76"/>
    <x v="0"/>
    <x v="3"/>
    <x v="2"/>
    <x v="79"/>
    <x v="79"/>
    <x v="78"/>
    <x v="6"/>
    <x v="1"/>
  </r>
  <r>
    <x v="80"/>
    <x v="79"/>
    <x v="4"/>
    <x v="0"/>
    <x v="0"/>
    <x v="78"/>
    <x v="70"/>
    <x v="70"/>
    <x v="0"/>
    <x v="1"/>
    <x v="35"/>
    <x v="50"/>
    <x v="2"/>
    <x v="52"/>
    <x v="0"/>
    <x v="4"/>
    <x v="52"/>
    <x v="77"/>
    <x v="4"/>
    <x v="0"/>
    <x v="0"/>
    <x v="80"/>
    <x v="80"/>
    <x v="79"/>
    <x v="2"/>
    <x v="2"/>
  </r>
  <r>
    <x v="81"/>
    <x v="80"/>
    <x v="0"/>
    <x v="1"/>
    <x v="1"/>
    <x v="79"/>
    <x v="71"/>
    <x v="71"/>
    <x v="2"/>
    <x v="1"/>
    <x v="4"/>
    <x v="41"/>
    <x v="0"/>
    <x v="43"/>
    <x v="1"/>
    <x v="9"/>
    <x v="43"/>
    <x v="78"/>
    <x v="2"/>
    <x v="0"/>
    <x v="0"/>
    <x v="81"/>
    <x v="81"/>
    <x v="80"/>
    <x v="7"/>
    <x v="1"/>
  </r>
  <r>
    <x v="82"/>
    <x v="81"/>
    <x v="3"/>
    <x v="10"/>
    <x v="10"/>
    <x v="80"/>
    <x v="72"/>
    <x v="72"/>
    <x v="0"/>
    <x v="1"/>
    <x v="23"/>
    <x v="26"/>
    <x v="3"/>
    <x v="23"/>
    <x v="2"/>
    <x v="6"/>
    <x v="23"/>
    <x v="79"/>
    <x v="2"/>
    <x v="5"/>
    <x v="2"/>
    <x v="82"/>
    <x v="82"/>
    <x v="81"/>
    <x v="1"/>
    <x v="1"/>
  </r>
  <r>
    <x v="83"/>
    <x v="82"/>
    <x v="2"/>
    <x v="2"/>
    <x v="2"/>
    <x v="81"/>
    <x v="73"/>
    <x v="73"/>
    <x v="1"/>
    <x v="1"/>
    <x v="7"/>
    <x v="51"/>
    <x v="2"/>
    <x v="18"/>
    <x v="1"/>
    <x v="11"/>
    <x v="18"/>
    <x v="80"/>
    <x v="3"/>
    <x v="0"/>
    <x v="0"/>
    <x v="83"/>
    <x v="83"/>
    <x v="82"/>
    <x v="2"/>
    <x v="1"/>
  </r>
  <r>
    <x v="84"/>
    <x v="83"/>
    <x v="2"/>
    <x v="10"/>
    <x v="10"/>
    <x v="82"/>
    <x v="37"/>
    <x v="37"/>
    <x v="0"/>
    <x v="0"/>
    <x v="27"/>
    <x v="32"/>
    <x v="1"/>
    <x v="35"/>
    <x v="0"/>
    <x v="4"/>
    <x v="35"/>
    <x v="81"/>
    <x v="2"/>
    <x v="3"/>
    <x v="2"/>
    <x v="84"/>
    <x v="84"/>
    <x v="83"/>
    <x v="2"/>
    <x v="1"/>
  </r>
  <r>
    <x v="85"/>
    <x v="84"/>
    <x v="1"/>
    <x v="0"/>
    <x v="0"/>
    <x v="83"/>
    <x v="74"/>
    <x v="74"/>
    <x v="2"/>
    <x v="1"/>
    <x v="33"/>
    <x v="42"/>
    <x v="2"/>
    <x v="20"/>
    <x v="1"/>
    <x v="9"/>
    <x v="20"/>
    <x v="80"/>
    <x v="3"/>
    <x v="0"/>
    <x v="0"/>
    <x v="85"/>
    <x v="85"/>
    <x v="84"/>
    <x v="0"/>
    <x v="1"/>
  </r>
  <r>
    <x v="86"/>
    <x v="85"/>
    <x v="3"/>
    <x v="11"/>
    <x v="11"/>
    <x v="84"/>
    <x v="75"/>
    <x v="75"/>
    <x v="0"/>
    <x v="1"/>
    <x v="2"/>
    <x v="52"/>
    <x v="2"/>
    <x v="43"/>
    <x v="1"/>
    <x v="9"/>
    <x v="43"/>
    <x v="82"/>
    <x v="2"/>
    <x v="3"/>
    <x v="2"/>
    <x v="86"/>
    <x v="86"/>
    <x v="85"/>
    <x v="4"/>
    <x v="1"/>
  </r>
  <r>
    <x v="87"/>
    <x v="86"/>
    <x v="4"/>
    <x v="9"/>
    <x v="9"/>
    <x v="85"/>
    <x v="76"/>
    <x v="76"/>
    <x v="0"/>
    <x v="0"/>
    <x v="9"/>
    <x v="9"/>
    <x v="2"/>
    <x v="36"/>
    <x v="0"/>
    <x v="10"/>
    <x v="36"/>
    <x v="46"/>
    <x v="1"/>
    <x v="3"/>
    <x v="2"/>
    <x v="87"/>
    <x v="87"/>
    <x v="86"/>
    <x v="0"/>
    <x v="2"/>
  </r>
  <r>
    <x v="88"/>
    <x v="87"/>
    <x v="0"/>
    <x v="7"/>
    <x v="7"/>
    <x v="86"/>
    <x v="77"/>
    <x v="77"/>
    <x v="2"/>
    <x v="1"/>
    <x v="7"/>
    <x v="51"/>
    <x v="2"/>
    <x v="53"/>
    <x v="2"/>
    <x v="3"/>
    <x v="53"/>
    <x v="83"/>
    <x v="2"/>
    <x v="3"/>
    <x v="2"/>
    <x v="88"/>
    <x v="88"/>
    <x v="87"/>
    <x v="7"/>
    <x v="1"/>
  </r>
  <r>
    <x v="89"/>
    <x v="88"/>
    <x v="2"/>
    <x v="9"/>
    <x v="9"/>
    <x v="87"/>
    <x v="78"/>
    <x v="35"/>
    <x v="0"/>
    <x v="1"/>
    <x v="3"/>
    <x v="3"/>
    <x v="3"/>
    <x v="45"/>
    <x v="1"/>
    <x v="2"/>
    <x v="45"/>
    <x v="84"/>
    <x v="0"/>
    <x v="0"/>
    <x v="0"/>
    <x v="89"/>
    <x v="89"/>
    <x v="88"/>
    <x v="4"/>
    <x v="1"/>
  </r>
  <r>
    <x v="90"/>
    <x v="89"/>
    <x v="4"/>
    <x v="11"/>
    <x v="11"/>
    <x v="88"/>
    <x v="9"/>
    <x v="9"/>
    <x v="2"/>
    <x v="1"/>
    <x v="8"/>
    <x v="8"/>
    <x v="0"/>
    <x v="54"/>
    <x v="2"/>
    <x v="8"/>
    <x v="54"/>
    <x v="85"/>
    <x v="1"/>
    <x v="2"/>
    <x v="1"/>
    <x v="90"/>
    <x v="90"/>
    <x v="89"/>
    <x v="1"/>
    <x v="2"/>
  </r>
  <r>
    <x v="91"/>
    <x v="90"/>
    <x v="1"/>
    <x v="4"/>
    <x v="4"/>
    <x v="89"/>
    <x v="59"/>
    <x v="59"/>
    <x v="1"/>
    <x v="1"/>
    <x v="6"/>
    <x v="47"/>
    <x v="0"/>
    <x v="34"/>
    <x v="1"/>
    <x v="11"/>
    <x v="34"/>
    <x v="86"/>
    <x v="0"/>
    <x v="0"/>
    <x v="0"/>
    <x v="91"/>
    <x v="91"/>
    <x v="90"/>
    <x v="7"/>
    <x v="1"/>
  </r>
  <r>
    <x v="92"/>
    <x v="91"/>
    <x v="0"/>
    <x v="7"/>
    <x v="7"/>
    <x v="90"/>
    <x v="79"/>
    <x v="78"/>
    <x v="2"/>
    <x v="1"/>
    <x v="22"/>
    <x v="53"/>
    <x v="3"/>
    <x v="24"/>
    <x v="0"/>
    <x v="4"/>
    <x v="24"/>
    <x v="87"/>
    <x v="4"/>
    <x v="3"/>
    <x v="2"/>
    <x v="92"/>
    <x v="92"/>
    <x v="91"/>
    <x v="5"/>
    <x v="0"/>
  </r>
  <r>
    <x v="93"/>
    <x v="92"/>
    <x v="1"/>
    <x v="5"/>
    <x v="5"/>
    <x v="91"/>
    <x v="80"/>
    <x v="79"/>
    <x v="0"/>
    <x v="1"/>
    <x v="20"/>
    <x v="54"/>
    <x v="1"/>
    <x v="30"/>
    <x v="0"/>
    <x v="10"/>
    <x v="30"/>
    <x v="88"/>
    <x v="1"/>
    <x v="5"/>
    <x v="2"/>
    <x v="93"/>
    <x v="93"/>
    <x v="92"/>
    <x v="3"/>
    <x v="2"/>
  </r>
  <r>
    <x v="94"/>
    <x v="93"/>
    <x v="3"/>
    <x v="1"/>
    <x v="1"/>
    <x v="92"/>
    <x v="81"/>
    <x v="80"/>
    <x v="1"/>
    <x v="1"/>
    <x v="2"/>
    <x v="55"/>
    <x v="2"/>
    <x v="51"/>
    <x v="1"/>
    <x v="9"/>
    <x v="51"/>
    <x v="89"/>
    <x v="2"/>
    <x v="0"/>
    <x v="0"/>
    <x v="94"/>
    <x v="94"/>
    <x v="93"/>
    <x v="1"/>
    <x v="1"/>
  </r>
  <r>
    <x v="95"/>
    <x v="94"/>
    <x v="0"/>
    <x v="5"/>
    <x v="5"/>
    <x v="93"/>
    <x v="82"/>
    <x v="81"/>
    <x v="0"/>
    <x v="1"/>
    <x v="7"/>
    <x v="51"/>
    <x v="2"/>
    <x v="42"/>
    <x v="1"/>
    <x v="11"/>
    <x v="42"/>
    <x v="90"/>
    <x v="4"/>
    <x v="2"/>
    <x v="1"/>
    <x v="95"/>
    <x v="95"/>
    <x v="94"/>
    <x v="3"/>
    <x v="1"/>
  </r>
  <r>
    <x v="96"/>
    <x v="95"/>
    <x v="4"/>
    <x v="6"/>
    <x v="6"/>
    <x v="94"/>
    <x v="15"/>
    <x v="15"/>
    <x v="1"/>
    <x v="0"/>
    <x v="13"/>
    <x v="13"/>
    <x v="3"/>
    <x v="10"/>
    <x v="1"/>
    <x v="9"/>
    <x v="10"/>
    <x v="91"/>
    <x v="3"/>
    <x v="1"/>
    <x v="1"/>
    <x v="96"/>
    <x v="96"/>
    <x v="95"/>
    <x v="2"/>
    <x v="1"/>
  </r>
  <r>
    <x v="97"/>
    <x v="96"/>
    <x v="4"/>
    <x v="5"/>
    <x v="5"/>
    <x v="95"/>
    <x v="13"/>
    <x v="13"/>
    <x v="2"/>
    <x v="0"/>
    <x v="11"/>
    <x v="11"/>
    <x v="0"/>
    <x v="31"/>
    <x v="1"/>
    <x v="1"/>
    <x v="31"/>
    <x v="92"/>
    <x v="1"/>
    <x v="3"/>
    <x v="2"/>
    <x v="97"/>
    <x v="97"/>
    <x v="96"/>
    <x v="3"/>
    <x v="1"/>
  </r>
  <r>
    <x v="98"/>
    <x v="73"/>
    <x v="0"/>
    <x v="1"/>
    <x v="1"/>
    <x v="96"/>
    <x v="27"/>
    <x v="27"/>
    <x v="2"/>
    <x v="1"/>
    <x v="20"/>
    <x v="22"/>
    <x v="1"/>
    <x v="17"/>
    <x v="1"/>
    <x v="9"/>
    <x v="17"/>
    <x v="18"/>
    <x v="3"/>
    <x v="6"/>
    <x v="3"/>
    <x v="98"/>
    <x v="98"/>
    <x v="97"/>
    <x v="2"/>
    <x v="1"/>
  </r>
  <r>
    <x v="99"/>
    <x v="97"/>
    <x v="1"/>
    <x v="11"/>
    <x v="11"/>
    <x v="97"/>
    <x v="83"/>
    <x v="82"/>
    <x v="2"/>
    <x v="0"/>
    <x v="25"/>
    <x v="49"/>
    <x v="1"/>
    <x v="50"/>
    <x v="2"/>
    <x v="3"/>
    <x v="50"/>
    <x v="66"/>
    <x v="0"/>
    <x v="5"/>
    <x v="2"/>
    <x v="99"/>
    <x v="99"/>
    <x v="98"/>
    <x v="0"/>
    <x v="0"/>
  </r>
  <r>
    <x v="100"/>
    <x v="98"/>
    <x v="3"/>
    <x v="1"/>
    <x v="1"/>
    <x v="98"/>
    <x v="84"/>
    <x v="83"/>
    <x v="2"/>
    <x v="1"/>
    <x v="17"/>
    <x v="56"/>
    <x v="0"/>
    <x v="55"/>
    <x v="2"/>
    <x v="8"/>
    <x v="55"/>
    <x v="93"/>
    <x v="0"/>
    <x v="2"/>
    <x v="1"/>
    <x v="100"/>
    <x v="100"/>
    <x v="99"/>
    <x v="3"/>
    <x v="0"/>
  </r>
  <r>
    <x v="101"/>
    <x v="99"/>
    <x v="0"/>
    <x v="8"/>
    <x v="8"/>
    <x v="99"/>
    <x v="85"/>
    <x v="84"/>
    <x v="1"/>
    <x v="1"/>
    <x v="2"/>
    <x v="2"/>
    <x v="2"/>
    <x v="10"/>
    <x v="1"/>
    <x v="9"/>
    <x v="10"/>
    <x v="94"/>
    <x v="0"/>
    <x v="5"/>
    <x v="2"/>
    <x v="101"/>
    <x v="101"/>
    <x v="100"/>
    <x v="1"/>
    <x v="1"/>
  </r>
  <r>
    <x v="102"/>
    <x v="100"/>
    <x v="3"/>
    <x v="4"/>
    <x v="4"/>
    <x v="100"/>
    <x v="86"/>
    <x v="85"/>
    <x v="1"/>
    <x v="1"/>
    <x v="25"/>
    <x v="57"/>
    <x v="1"/>
    <x v="34"/>
    <x v="1"/>
    <x v="11"/>
    <x v="34"/>
    <x v="95"/>
    <x v="3"/>
    <x v="0"/>
    <x v="0"/>
    <x v="102"/>
    <x v="102"/>
    <x v="101"/>
    <x v="5"/>
    <x v="0"/>
  </r>
  <r>
    <x v="103"/>
    <x v="101"/>
    <x v="0"/>
    <x v="10"/>
    <x v="10"/>
    <x v="101"/>
    <x v="87"/>
    <x v="86"/>
    <x v="1"/>
    <x v="0"/>
    <x v="30"/>
    <x v="58"/>
    <x v="2"/>
    <x v="56"/>
    <x v="0"/>
    <x v="0"/>
    <x v="56"/>
    <x v="96"/>
    <x v="4"/>
    <x v="0"/>
    <x v="0"/>
    <x v="103"/>
    <x v="103"/>
    <x v="102"/>
    <x v="6"/>
    <x v="2"/>
  </r>
  <r>
    <x v="104"/>
    <x v="102"/>
    <x v="0"/>
    <x v="2"/>
    <x v="2"/>
    <x v="102"/>
    <x v="88"/>
    <x v="87"/>
    <x v="2"/>
    <x v="1"/>
    <x v="36"/>
    <x v="59"/>
    <x v="0"/>
    <x v="53"/>
    <x v="2"/>
    <x v="3"/>
    <x v="53"/>
    <x v="97"/>
    <x v="4"/>
    <x v="2"/>
    <x v="1"/>
    <x v="104"/>
    <x v="104"/>
    <x v="103"/>
    <x v="6"/>
    <x v="0"/>
  </r>
  <r>
    <x v="105"/>
    <x v="103"/>
    <x v="1"/>
    <x v="2"/>
    <x v="2"/>
    <x v="103"/>
    <x v="89"/>
    <x v="88"/>
    <x v="2"/>
    <x v="1"/>
    <x v="26"/>
    <x v="46"/>
    <x v="3"/>
    <x v="9"/>
    <x v="2"/>
    <x v="8"/>
    <x v="9"/>
    <x v="98"/>
    <x v="0"/>
    <x v="0"/>
    <x v="0"/>
    <x v="105"/>
    <x v="105"/>
    <x v="104"/>
    <x v="1"/>
    <x v="2"/>
  </r>
  <r>
    <x v="106"/>
    <x v="104"/>
    <x v="2"/>
    <x v="0"/>
    <x v="0"/>
    <x v="104"/>
    <x v="73"/>
    <x v="73"/>
    <x v="1"/>
    <x v="1"/>
    <x v="7"/>
    <x v="51"/>
    <x v="2"/>
    <x v="39"/>
    <x v="0"/>
    <x v="12"/>
    <x v="39"/>
    <x v="99"/>
    <x v="0"/>
    <x v="0"/>
    <x v="0"/>
    <x v="106"/>
    <x v="106"/>
    <x v="105"/>
    <x v="0"/>
    <x v="0"/>
  </r>
  <r>
    <x v="107"/>
    <x v="105"/>
    <x v="2"/>
    <x v="8"/>
    <x v="8"/>
    <x v="105"/>
    <x v="90"/>
    <x v="89"/>
    <x v="1"/>
    <x v="1"/>
    <x v="20"/>
    <x v="22"/>
    <x v="1"/>
    <x v="15"/>
    <x v="0"/>
    <x v="10"/>
    <x v="15"/>
    <x v="83"/>
    <x v="2"/>
    <x v="3"/>
    <x v="2"/>
    <x v="107"/>
    <x v="107"/>
    <x v="106"/>
    <x v="1"/>
    <x v="1"/>
  </r>
  <r>
    <x v="108"/>
    <x v="106"/>
    <x v="1"/>
    <x v="8"/>
    <x v="8"/>
    <x v="106"/>
    <x v="91"/>
    <x v="90"/>
    <x v="0"/>
    <x v="0"/>
    <x v="36"/>
    <x v="59"/>
    <x v="0"/>
    <x v="30"/>
    <x v="0"/>
    <x v="10"/>
    <x v="30"/>
    <x v="100"/>
    <x v="0"/>
    <x v="0"/>
    <x v="0"/>
    <x v="108"/>
    <x v="108"/>
    <x v="107"/>
    <x v="4"/>
    <x v="2"/>
  </r>
  <r>
    <x v="109"/>
    <x v="107"/>
    <x v="2"/>
    <x v="4"/>
    <x v="4"/>
    <x v="107"/>
    <x v="92"/>
    <x v="91"/>
    <x v="0"/>
    <x v="1"/>
    <x v="18"/>
    <x v="19"/>
    <x v="1"/>
    <x v="28"/>
    <x v="0"/>
    <x v="12"/>
    <x v="28"/>
    <x v="101"/>
    <x v="3"/>
    <x v="0"/>
    <x v="0"/>
    <x v="109"/>
    <x v="109"/>
    <x v="108"/>
    <x v="0"/>
    <x v="2"/>
  </r>
  <r>
    <x v="110"/>
    <x v="108"/>
    <x v="3"/>
    <x v="3"/>
    <x v="3"/>
    <x v="67"/>
    <x v="93"/>
    <x v="19"/>
    <x v="0"/>
    <x v="1"/>
    <x v="24"/>
    <x v="60"/>
    <x v="2"/>
    <x v="1"/>
    <x v="1"/>
    <x v="1"/>
    <x v="1"/>
    <x v="49"/>
    <x v="0"/>
    <x v="1"/>
    <x v="1"/>
    <x v="110"/>
    <x v="110"/>
    <x v="109"/>
    <x v="3"/>
    <x v="1"/>
  </r>
  <r>
    <x v="111"/>
    <x v="109"/>
    <x v="2"/>
    <x v="2"/>
    <x v="2"/>
    <x v="108"/>
    <x v="94"/>
    <x v="92"/>
    <x v="1"/>
    <x v="1"/>
    <x v="26"/>
    <x v="46"/>
    <x v="3"/>
    <x v="24"/>
    <x v="0"/>
    <x v="4"/>
    <x v="24"/>
    <x v="102"/>
    <x v="2"/>
    <x v="5"/>
    <x v="2"/>
    <x v="111"/>
    <x v="111"/>
    <x v="110"/>
    <x v="6"/>
    <x v="1"/>
  </r>
  <r>
    <x v="112"/>
    <x v="110"/>
    <x v="4"/>
    <x v="5"/>
    <x v="5"/>
    <x v="109"/>
    <x v="95"/>
    <x v="93"/>
    <x v="2"/>
    <x v="1"/>
    <x v="16"/>
    <x v="31"/>
    <x v="1"/>
    <x v="20"/>
    <x v="1"/>
    <x v="9"/>
    <x v="20"/>
    <x v="103"/>
    <x v="0"/>
    <x v="6"/>
    <x v="3"/>
    <x v="112"/>
    <x v="112"/>
    <x v="111"/>
    <x v="7"/>
    <x v="1"/>
  </r>
  <r>
    <x v="113"/>
    <x v="111"/>
    <x v="1"/>
    <x v="8"/>
    <x v="8"/>
    <x v="110"/>
    <x v="96"/>
    <x v="94"/>
    <x v="2"/>
    <x v="1"/>
    <x v="13"/>
    <x v="61"/>
    <x v="3"/>
    <x v="56"/>
    <x v="0"/>
    <x v="0"/>
    <x v="56"/>
    <x v="104"/>
    <x v="2"/>
    <x v="2"/>
    <x v="1"/>
    <x v="113"/>
    <x v="113"/>
    <x v="112"/>
    <x v="7"/>
    <x v="0"/>
  </r>
  <r>
    <x v="114"/>
    <x v="112"/>
    <x v="2"/>
    <x v="4"/>
    <x v="4"/>
    <x v="111"/>
    <x v="97"/>
    <x v="95"/>
    <x v="2"/>
    <x v="1"/>
    <x v="2"/>
    <x v="55"/>
    <x v="2"/>
    <x v="57"/>
    <x v="0"/>
    <x v="4"/>
    <x v="57"/>
    <x v="105"/>
    <x v="0"/>
    <x v="0"/>
    <x v="0"/>
    <x v="114"/>
    <x v="114"/>
    <x v="113"/>
    <x v="5"/>
    <x v="0"/>
  </r>
  <r>
    <x v="115"/>
    <x v="113"/>
    <x v="0"/>
    <x v="10"/>
    <x v="10"/>
    <x v="112"/>
    <x v="98"/>
    <x v="96"/>
    <x v="0"/>
    <x v="1"/>
    <x v="29"/>
    <x v="16"/>
    <x v="1"/>
    <x v="46"/>
    <x v="2"/>
    <x v="13"/>
    <x v="46"/>
    <x v="106"/>
    <x v="2"/>
    <x v="0"/>
    <x v="0"/>
    <x v="99"/>
    <x v="99"/>
    <x v="114"/>
    <x v="1"/>
    <x v="1"/>
  </r>
  <r>
    <x v="116"/>
    <x v="114"/>
    <x v="1"/>
    <x v="8"/>
    <x v="8"/>
    <x v="113"/>
    <x v="99"/>
    <x v="97"/>
    <x v="1"/>
    <x v="0"/>
    <x v="6"/>
    <x v="62"/>
    <x v="0"/>
    <x v="14"/>
    <x v="2"/>
    <x v="8"/>
    <x v="14"/>
    <x v="63"/>
    <x v="0"/>
    <x v="4"/>
    <x v="3"/>
    <x v="115"/>
    <x v="115"/>
    <x v="1"/>
    <x v="2"/>
    <x v="0"/>
  </r>
  <r>
    <x v="117"/>
    <x v="115"/>
    <x v="3"/>
    <x v="9"/>
    <x v="9"/>
    <x v="114"/>
    <x v="95"/>
    <x v="93"/>
    <x v="2"/>
    <x v="1"/>
    <x v="16"/>
    <x v="31"/>
    <x v="1"/>
    <x v="48"/>
    <x v="2"/>
    <x v="6"/>
    <x v="48"/>
    <x v="107"/>
    <x v="4"/>
    <x v="4"/>
    <x v="3"/>
    <x v="116"/>
    <x v="116"/>
    <x v="115"/>
    <x v="4"/>
    <x v="0"/>
  </r>
  <r>
    <x v="118"/>
    <x v="116"/>
    <x v="3"/>
    <x v="2"/>
    <x v="2"/>
    <x v="115"/>
    <x v="100"/>
    <x v="98"/>
    <x v="0"/>
    <x v="1"/>
    <x v="11"/>
    <x v="63"/>
    <x v="0"/>
    <x v="36"/>
    <x v="0"/>
    <x v="10"/>
    <x v="36"/>
    <x v="108"/>
    <x v="1"/>
    <x v="2"/>
    <x v="1"/>
    <x v="117"/>
    <x v="117"/>
    <x v="116"/>
    <x v="0"/>
    <x v="2"/>
  </r>
  <r>
    <x v="119"/>
    <x v="117"/>
    <x v="2"/>
    <x v="2"/>
    <x v="2"/>
    <x v="116"/>
    <x v="101"/>
    <x v="99"/>
    <x v="0"/>
    <x v="0"/>
    <x v="18"/>
    <x v="44"/>
    <x v="1"/>
    <x v="51"/>
    <x v="1"/>
    <x v="9"/>
    <x v="51"/>
    <x v="109"/>
    <x v="1"/>
    <x v="1"/>
    <x v="1"/>
    <x v="118"/>
    <x v="118"/>
    <x v="117"/>
    <x v="0"/>
    <x v="1"/>
  </r>
  <r>
    <x v="120"/>
    <x v="118"/>
    <x v="1"/>
    <x v="11"/>
    <x v="11"/>
    <x v="117"/>
    <x v="102"/>
    <x v="100"/>
    <x v="2"/>
    <x v="1"/>
    <x v="37"/>
    <x v="64"/>
    <x v="1"/>
    <x v="23"/>
    <x v="2"/>
    <x v="6"/>
    <x v="23"/>
    <x v="110"/>
    <x v="3"/>
    <x v="4"/>
    <x v="3"/>
    <x v="119"/>
    <x v="119"/>
    <x v="118"/>
    <x v="7"/>
    <x v="0"/>
  </r>
  <r>
    <x v="121"/>
    <x v="119"/>
    <x v="1"/>
    <x v="11"/>
    <x v="11"/>
    <x v="118"/>
    <x v="103"/>
    <x v="101"/>
    <x v="2"/>
    <x v="1"/>
    <x v="5"/>
    <x v="65"/>
    <x v="3"/>
    <x v="17"/>
    <x v="1"/>
    <x v="9"/>
    <x v="17"/>
    <x v="111"/>
    <x v="3"/>
    <x v="2"/>
    <x v="1"/>
    <x v="120"/>
    <x v="120"/>
    <x v="119"/>
    <x v="6"/>
    <x v="1"/>
  </r>
  <r>
    <x v="122"/>
    <x v="120"/>
    <x v="0"/>
    <x v="9"/>
    <x v="9"/>
    <x v="119"/>
    <x v="73"/>
    <x v="73"/>
    <x v="1"/>
    <x v="1"/>
    <x v="7"/>
    <x v="51"/>
    <x v="2"/>
    <x v="12"/>
    <x v="0"/>
    <x v="7"/>
    <x v="12"/>
    <x v="112"/>
    <x v="0"/>
    <x v="0"/>
    <x v="0"/>
    <x v="121"/>
    <x v="121"/>
    <x v="120"/>
    <x v="1"/>
    <x v="1"/>
  </r>
  <r>
    <x v="123"/>
    <x v="121"/>
    <x v="3"/>
    <x v="3"/>
    <x v="3"/>
    <x v="120"/>
    <x v="31"/>
    <x v="31"/>
    <x v="0"/>
    <x v="1"/>
    <x v="23"/>
    <x v="26"/>
    <x v="3"/>
    <x v="13"/>
    <x v="1"/>
    <x v="2"/>
    <x v="13"/>
    <x v="113"/>
    <x v="3"/>
    <x v="1"/>
    <x v="1"/>
    <x v="122"/>
    <x v="122"/>
    <x v="121"/>
    <x v="4"/>
    <x v="1"/>
  </r>
  <r>
    <x v="124"/>
    <x v="122"/>
    <x v="2"/>
    <x v="0"/>
    <x v="0"/>
    <x v="121"/>
    <x v="104"/>
    <x v="102"/>
    <x v="1"/>
    <x v="0"/>
    <x v="3"/>
    <x v="66"/>
    <x v="3"/>
    <x v="23"/>
    <x v="2"/>
    <x v="6"/>
    <x v="23"/>
    <x v="112"/>
    <x v="0"/>
    <x v="0"/>
    <x v="0"/>
    <x v="123"/>
    <x v="123"/>
    <x v="122"/>
    <x v="1"/>
    <x v="1"/>
  </r>
  <r>
    <x v="125"/>
    <x v="123"/>
    <x v="1"/>
    <x v="10"/>
    <x v="10"/>
    <x v="122"/>
    <x v="105"/>
    <x v="103"/>
    <x v="2"/>
    <x v="0"/>
    <x v="20"/>
    <x v="22"/>
    <x v="1"/>
    <x v="17"/>
    <x v="1"/>
    <x v="9"/>
    <x v="17"/>
    <x v="114"/>
    <x v="3"/>
    <x v="0"/>
    <x v="0"/>
    <x v="124"/>
    <x v="124"/>
    <x v="123"/>
    <x v="4"/>
    <x v="1"/>
  </r>
  <r>
    <x v="126"/>
    <x v="124"/>
    <x v="1"/>
    <x v="10"/>
    <x v="10"/>
    <x v="123"/>
    <x v="15"/>
    <x v="15"/>
    <x v="1"/>
    <x v="0"/>
    <x v="13"/>
    <x v="13"/>
    <x v="3"/>
    <x v="6"/>
    <x v="0"/>
    <x v="0"/>
    <x v="6"/>
    <x v="115"/>
    <x v="4"/>
    <x v="1"/>
    <x v="1"/>
    <x v="125"/>
    <x v="125"/>
    <x v="124"/>
    <x v="2"/>
    <x v="2"/>
  </r>
  <r>
    <x v="127"/>
    <x v="125"/>
    <x v="2"/>
    <x v="7"/>
    <x v="7"/>
    <x v="124"/>
    <x v="106"/>
    <x v="104"/>
    <x v="2"/>
    <x v="1"/>
    <x v="14"/>
    <x v="67"/>
    <x v="3"/>
    <x v="52"/>
    <x v="0"/>
    <x v="4"/>
    <x v="52"/>
    <x v="98"/>
    <x v="0"/>
    <x v="0"/>
    <x v="0"/>
    <x v="126"/>
    <x v="126"/>
    <x v="125"/>
    <x v="4"/>
    <x v="2"/>
  </r>
  <r>
    <x v="128"/>
    <x v="126"/>
    <x v="4"/>
    <x v="11"/>
    <x v="11"/>
    <x v="125"/>
    <x v="52"/>
    <x v="52"/>
    <x v="2"/>
    <x v="0"/>
    <x v="33"/>
    <x v="42"/>
    <x v="2"/>
    <x v="58"/>
    <x v="2"/>
    <x v="5"/>
    <x v="58"/>
    <x v="116"/>
    <x v="3"/>
    <x v="4"/>
    <x v="3"/>
    <x v="127"/>
    <x v="127"/>
    <x v="126"/>
    <x v="7"/>
    <x v="0"/>
  </r>
  <r>
    <x v="129"/>
    <x v="127"/>
    <x v="4"/>
    <x v="4"/>
    <x v="4"/>
    <x v="126"/>
    <x v="107"/>
    <x v="105"/>
    <x v="0"/>
    <x v="1"/>
    <x v="22"/>
    <x v="53"/>
    <x v="3"/>
    <x v="18"/>
    <x v="1"/>
    <x v="11"/>
    <x v="18"/>
    <x v="117"/>
    <x v="4"/>
    <x v="0"/>
    <x v="0"/>
    <x v="128"/>
    <x v="128"/>
    <x v="127"/>
    <x v="4"/>
    <x v="1"/>
  </r>
  <r>
    <x v="130"/>
    <x v="40"/>
    <x v="4"/>
    <x v="2"/>
    <x v="2"/>
    <x v="127"/>
    <x v="108"/>
    <x v="106"/>
    <x v="1"/>
    <x v="1"/>
    <x v="9"/>
    <x v="68"/>
    <x v="2"/>
    <x v="6"/>
    <x v="0"/>
    <x v="0"/>
    <x v="6"/>
    <x v="118"/>
    <x v="2"/>
    <x v="5"/>
    <x v="2"/>
    <x v="129"/>
    <x v="129"/>
    <x v="128"/>
    <x v="7"/>
    <x v="0"/>
  </r>
  <r>
    <x v="131"/>
    <x v="128"/>
    <x v="3"/>
    <x v="1"/>
    <x v="1"/>
    <x v="128"/>
    <x v="109"/>
    <x v="107"/>
    <x v="0"/>
    <x v="1"/>
    <x v="21"/>
    <x v="69"/>
    <x v="1"/>
    <x v="24"/>
    <x v="0"/>
    <x v="4"/>
    <x v="24"/>
    <x v="119"/>
    <x v="1"/>
    <x v="1"/>
    <x v="1"/>
    <x v="130"/>
    <x v="130"/>
    <x v="129"/>
    <x v="5"/>
    <x v="0"/>
  </r>
  <r>
    <x v="132"/>
    <x v="129"/>
    <x v="0"/>
    <x v="7"/>
    <x v="7"/>
    <x v="129"/>
    <x v="98"/>
    <x v="96"/>
    <x v="0"/>
    <x v="1"/>
    <x v="29"/>
    <x v="16"/>
    <x v="1"/>
    <x v="12"/>
    <x v="0"/>
    <x v="7"/>
    <x v="12"/>
    <x v="120"/>
    <x v="0"/>
    <x v="3"/>
    <x v="2"/>
    <x v="131"/>
    <x v="131"/>
    <x v="130"/>
    <x v="0"/>
    <x v="1"/>
  </r>
  <r>
    <x v="133"/>
    <x v="130"/>
    <x v="1"/>
    <x v="10"/>
    <x v="10"/>
    <x v="130"/>
    <x v="110"/>
    <x v="108"/>
    <x v="0"/>
    <x v="1"/>
    <x v="38"/>
    <x v="70"/>
    <x v="3"/>
    <x v="21"/>
    <x v="0"/>
    <x v="0"/>
    <x v="21"/>
    <x v="121"/>
    <x v="4"/>
    <x v="0"/>
    <x v="0"/>
    <x v="132"/>
    <x v="132"/>
    <x v="131"/>
    <x v="6"/>
    <x v="2"/>
  </r>
  <r>
    <x v="134"/>
    <x v="131"/>
    <x v="0"/>
    <x v="0"/>
    <x v="0"/>
    <x v="131"/>
    <x v="111"/>
    <x v="109"/>
    <x v="1"/>
    <x v="1"/>
    <x v="39"/>
    <x v="71"/>
    <x v="2"/>
    <x v="45"/>
    <x v="1"/>
    <x v="2"/>
    <x v="45"/>
    <x v="92"/>
    <x v="4"/>
    <x v="0"/>
    <x v="0"/>
    <x v="133"/>
    <x v="133"/>
    <x v="132"/>
    <x v="7"/>
    <x v="1"/>
  </r>
  <r>
    <x v="135"/>
    <x v="132"/>
    <x v="0"/>
    <x v="9"/>
    <x v="9"/>
    <x v="132"/>
    <x v="82"/>
    <x v="81"/>
    <x v="0"/>
    <x v="1"/>
    <x v="7"/>
    <x v="51"/>
    <x v="2"/>
    <x v="0"/>
    <x v="0"/>
    <x v="0"/>
    <x v="0"/>
    <x v="122"/>
    <x v="1"/>
    <x v="2"/>
    <x v="1"/>
    <x v="134"/>
    <x v="134"/>
    <x v="133"/>
    <x v="7"/>
    <x v="0"/>
  </r>
  <r>
    <x v="136"/>
    <x v="133"/>
    <x v="4"/>
    <x v="7"/>
    <x v="7"/>
    <x v="133"/>
    <x v="112"/>
    <x v="110"/>
    <x v="1"/>
    <x v="0"/>
    <x v="3"/>
    <x v="3"/>
    <x v="3"/>
    <x v="30"/>
    <x v="0"/>
    <x v="10"/>
    <x v="30"/>
    <x v="121"/>
    <x v="4"/>
    <x v="0"/>
    <x v="0"/>
    <x v="135"/>
    <x v="135"/>
    <x v="134"/>
    <x v="7"/>
    <x v="2"/>
  </r>
  <r>
    <x v="137"/>
    <x v="134"/>
    <x v="2"/>
    <x v="10"/>
    <x v="10"/>
    <x v="134"/>
    <x v="113"/>
    <x v="111"/>
    <x v="1"/>
    <x v="0"/>
    <x v="15"/>
    <x v="34"/>
    <x v="1"/>
    <x v="34"/>
    <x v="1"/>
    <x v="11"/>
    <x v="34"/>
    <x v="86"/>
    <x v="0"/>
    <x v="0"/>
    <x v="0"/>
    <x v="136"/>
    <x v="136"/>
    <x v="135"/>
    <x v="6"/>
    <x v="1"/>
  </r>
  <r>
    <x v="138"/>
    <x v="135"/>
    <x v="3"/>
    <x v="4"/>
    <x v="4"/>
    <x v="135"/>
    <x v="114"/>
    <x v="112"/>
    <x v="1"/>
    <x v="1"/>
    <x v="12"/>
    <x v="37"/>
    <x v="2"/>
    <x v="23"/>
    <x v="2"/>
    <x v="6"/>
    <x v="23"/>
    <x v="123"/>
    <x v="2"/>
    <x v="6"/>
    <x v="3"/>
    <x v="137"/>
    <x v="137"/>
    <x v="136"/>
    <x v="3"/>
    <x v="1"/>
  </r>
  <r>
    <x v="139"/>
    <x v="136"/>
    <x v="0"/>
    <x v="2"/>
    <x v="2"/>
    <x v="136"/>
    <x v="90"/>
    <x v="89"/>
    <x v="1"/>
    <x v="1"/>
    <x v="20"/>
    <x v="22"/>
    <x v="1"/>
    <x v="18"/>
    <x v="1"/>
    <x v="11"/>
    <x v="18"/>
    <x v="103"/>
    <x v="0"/>
    <x v="6"/>
    <x v="3"/>
    <x v="138"/>
    <x v="138"/>
    <x v="137"/>
    <x v="7"/>
    <x v="1"/>
  </r>
  <r>
    <x v="140"/>
    <x v="137"/>
    <x v="0"/>
    <x v="11"/>
    <x v="11"/>
    <x v="137"/>
    <x v="72"/>
    <x v="72"/>
    <x v="0"/>
    <x v="1"/>
    <x v="23"/>
    <x v="26"/>
    <x v="3"/>
    <x v="25"/>
    <x v="2"/>
    <x v="13"/>
    <x v="25"/>
    <x v="124"/>
    <x v="2"/>
    <x v="1"/>
    <x v="1"/>
    <x v="139"/>
    <x v="139"/>
    <x v="138"/>
    <x v="4"/>
    <x v="0"/>
  </r>
  <r>
    <x v="141"/>
    <x v="138"/>
    <x v="0"/>
    <x v="1"/>
    <x v="1"/>
    <x v="138"/>
    <x v="115"/>
    <x v="113"/>
    <x v="1"/>
    <x v="1"/>
    <x v="17"/>
    <x v="72"/>
    <x v="0"/>
    <x v="17"/>
    <x v="1"/>
    <x v="9"/>
    <x v="17"/>
    <x v="125"/>
    <x v="1"/>
    <x v="5"/>
    <x v="2"/>
    <x v="140"/>
    <x v="140"/>
    <x v="74"/>
    <x v="0"/>
    <x v="1"/>
  </r>
  <r>
    <x v="142"/>
    <x v="139"/>
    <x v="0"/>
    <x v="4"/>
    <x v="4"/>
    <x v="139"/>
    <x v="116"/>
    <x v="114"/>
    <x v="0"/>
    <x v="1"/>
    <x v="10"/>
    <x v="10"/>
    <x v="0"/>
    <x v="39"/>
    <x v="0"/>
    <x v="12"/>
    <x v="39"/>
    <x v="126"/>
    <x v="0"/>
    <x v="1"/>
    <x v="1"/>
    <x v="141"/>
    <x v="141"/>
    <x v="139"/>
    <x v="1"/>
    <x v="0"/>
  </r>
  <r>
    <x v="143"/>
    <x v="140"/>
    <x v="0"/>
    <x v="4"/>
    <x v="4"/>
    <x v="140"/>
    <x v="93"/>
    <x v="19"/>
    <x v="0"/>
    <x v="1"/>
    <x v="24"/>
    <x v="60"/>
    <x v="2"/>
    <x v="11"/>
    <x v="2"/>
    <x v="3"/>
    <x v="11"/>
    <x v="127"/>
    <x v="1"/>
    <x v="6"/>
    <x v="3"/>
    <x v="142"/>
    <x v="142"/>
    <x v="140"/>
    <x v="1"/>
    <x v="2"/>
  </r>
  <r>
    <x v="144"/>
    <x v="141"/>
    <x v="4"/>
    <x v="5"/>
    <x v="5"/>
    <x v="141"/>
    <x v="117"/>
    <x v="115"/>
    <x v="2"/>
    <x v="1"/>
    <x v="12"/>
    <x v="37"/>
    <x v="2"/>
    <x v="59"/>
    <x v="1"/>
    <x v="1"/>
    <x v="59"/>
    <x v="128"/>
    <x v="0"/>
    <x v="6"/>
    <x v="3"/>
    <x v="143"/>
    <x v="143"/>
    <x v="141"/>
    <x v="0"/>
    <x v="1"/>
  </r>
  <r>
    <x v="145"/>
    <x v="142"/>
    <x v="4"/>
    <x v="1"/>
    <x v="1"/>
    <x v="142"/>
    <x v="87"/>
    <x v="86"/>
    <x v="1"/>
    <x v="0"/>
    <x v="30"/>
    <x v="58"/>
    <x v="2"/>
    <x v="60"/>
    <x v="0"/>
    <x v="12"/>
    <x v="60"/>
    <x v="129"/>
    <x v="4"/>
    <x v="3"/>
    <x v="2"/>
    <x v="144"/>
    <x v="144"/>
    <x v="142"/>
    <x v="1"/>
    <x v="0"/>
  </r>
  <r>
    <x v="146"/>
    <x v="143"/>
    <x v="3"/>
    <x v="1"/>
    <x v="1"/>
    <x v="143"/>
    <x v="60"/>
    <x v="60"/>
    <x v="0"/>
    <x v="0"/>
    <x v="33"/>
    <x v="42"/>
    <x v="2"/>
    <x v="36"/>
    <x v="0"/>
    <x v="10"/>
    <x v="36"/>
    <x v="130"/>
    <x v="4"/>
    <x v="3"/>
    <x v="2"/>
    <x v="145"/>
    <x v="145"/>
    <x v="143"/>
    <x v="7"/>
    <x v="0"/>
  </r>
  <r>
    <x v="147"/>
    <x v="144"/>
    <x v="0"/>
    <x v="2"/>
    <x v="2"/>
    <x v="144"/>
    <x v="118"/>
    <x v="116"/>
    <x v="2"/>
    <x v="1"/>
    <x v="26"/>
    <x v="30"/>
    <x v="3"/>
    <x v="36"/>
    <x v="0"/>
    <x v="10"/>
    <x v="36"/>
    <x v="131"/>
    <x v="4"/>
    <x v="4"/>
    <x v="3"/>
    <x v="146"/>
    <x v="146"/>
    <x v="144"/>
    <x v="3"/>
    <x v="2"/>
  </r>
  <r>
    <x v="148"/>
    <x v="145"/>
    <x v="2"/>
    <x v="5"/>
    <x v="5"/>
    <x v="145"/>
    <x v="72"/>
    <x v="72"/>
    <x v="0"/>
    <x v="1"/>
    <x v="23"/>
    <x v="26"/>
    <x v="3"/>
    <x v="13"/>
    <x v="1"/>
    <x v="2"/>
    <x v="13"/>
    <x v="132"/>
    <x v="4"/>
    <x v="4"/>
    <x v="3"/>
    <x v="147"/>
    <x v="147"/>
    <x v="145"/>
    <x v="2"/>
    <x v="1"/>
  </r>
  <r>
    <x v="149"/>
    <x v="146"/>
    <x v="2"/>
    <x v="2"/>
    <x v="2"/>
    <x v="146"/>
    <x v="119"/>
    <x v="117"/>
    <x v="2"/>
    <x v="1"/>
    <x v="17"/>
    <x v="72"/>
    <x v="0"/>
    <x v="34"/>
    <x v="1"/>
    <x v="11"/>
    <x v="34"/>
    <x v="133"/>
    <x v="2"/>
    <x v="0"/>
    <x v="0"/>
    <x v="148"/>
    <x v="148"/>
    <x v="146"/>
    <x v="6"/>
    <x v="1"/>
  </r>
  <r>
    <x v="150"/>
    <x v="147"/>
    <x v="0"/>
    <x v="9"/>
    <x v="9"/>
    <x v="147"/>
    <x v="28"/>
    <x v="28"/>
    <x v="2"/>
    <x v="1"/>
    <x v="21"/>
    <x v="23"/>
    <x v="1"/>
    <x v="61"/>
    <x v="1"/>
    <x v="2"/>
    <x v="61"/>
    <x v="134"/>
    <x v="0"/>
    <x v="5"/>
    <x v="2"/>
    <x v="149"/>
    <x v="149"/>
    <x v="147"/>
    <x v="7"/>
    <x v="1"/>
  </r>
  <r>
    <x v="151"/>
    <x v="65"/>
    <x v="3"/>
    <x v="2"/>
    <x v="2"/>
    <x v="148"/>
    <x v="120"/>
    <x v="118"/>
    <x v="1"/>
    <x v="0"/>
    <x v="19"/>
    <x v="45"/>
    <x v="0"/>
    <x v="43"/>
    <x v="1"/>
    <x v="9"/>
    <x v="43"/>
    <x v="135"/>
    <x v="0"/>
    <x v="0"/>
    <x v="0"/>
    <x v="150"/>
    <x v="150"/>
    <x v="148"/>
    <x v="8"/>
    <x v="1"/>
  </r>
  <r>
    <x v="152"/>
    <x v="148"/>
    <x v="1"/>
    <x v="5"/>
    <x v="5"/>
    <x v="149"/>
    <x v="121"/>
    <x v="119"/>
    <x v="1"/>
    <x v="1"/>
    <x v="19"/>
    <x v="39"/>
    <x v="0"/>
    <x v="10"/>
    <x v="1"/>
    <x v="9"/>
    <x v="10"/>
    <x v="136"/>
    <x v="1"/>
    <x v="2"/>
    <x v="1"/>
    <x v="151"/>
    <x v="151"/>
    <x v="149"/>
    <x v="0"/>
    <x v="1"/>
  </r>
  <r>
    <x v="153"/>
    <x v="149"/>
    <x v="3"/>
    <x v="0"/>
    <x v="0"/>
    <x v="150"/>
    <x v="122"/>
    <x v="120"/>
    <x v="2"/>
    <x v="1"/>
    <x v="13"/>
    <x v="73"/>
    <x v="3"/>
    <x v="46"/>
    <x v="2"/>
    <x v="13"/>
    <x v="46"/>
    <x v="137"/>
    <x v="4"/>
    <x v="3"/>
    <x v="2"/>
    <x v="152"/>
    <x v="152"/>
    <x v="150"/>
    <x v="5"/>
    <x v="0"/>
  </r>
  <r>
    <x v="154"/>
    <x v="150"/>
    <x v="1"/>
    <x v="0"/>
    <x v="0"/>
    <x v="151"/>
    <x v="82"/>
    <x v="81"/>
    <x v="0"/>
    <x v="1"/>
    <x v="7"/>
    <x v="51"/>
    <x v="2"/>
    <x v="62"/>
    <x v="0"/>
    <x v="0"/>
    <x v="62"/>
    <x v="138"/>
    <x v="3"/>
    <x v="4"/>
    <x v="3"/>
    <x v="153"/>
    <x v="153"/>
    <x v="151"/>
    <x v="6"/>
    <x v="2"/>
  </r>
  <r>
    <x v="155"/>
    <x v="151"/>
    <x v="4"/>
    <x v="2"/>
    <x v="2"/>
    <x v="152"/>
    <x v="123"/>
    <x v="121"/>
    <x v="1"/>
    <x v="1"/>
    <x v="11"/>
    <x v="11"/>
    <x v="0"/>
    <x v="32"/>
    <x v="2"/>
    <x v="13"/>
    <x v="32"/>
    <x v="139"/>
    <x v="2"/>
    <x v="1"/>
    <x v="1"/>
    <x v="154"/>
    <x v="154"/>
    <x v="152"/>
    <x v="5"/>
    <x v="0"/>
  </r>
  <r>
    <x v="156"/>
    <x v="152"/>
    <x v="4"/>
    <x v="0"/>
    <x v="0"/>
    <x v="153"/>
    <x v="124"/>
    <x v="92"/>
    <x v="0"/>
    <x v="1"/>
    <x v="3"/>
    <x v="43"/>
    <x v="3"/>
    <x v="16"/>
    <x v="1"/>
    <x v="1"/>
    <x v="16"/>
    <x v="140"/>
    <x v="4"/>
    <x v="3"/>
    <x v="2"/>
    <x v="155"/>
    <x v="155"/>
    <x v="153"/>
    <x v="0"/>
    <x v="1"/>
  </r>
  <r>
    <x v="157"/>
    <x v="153"/>
    <x v="1"/>
    <x v="7"/>
    <x v="7"/>
    <x v="154"/>
    <x v="13"/>
    <x v="13"/>
    <x v="2"/>
    <x v="0"/>
    <x v="11"/>
    <x v="11"/>
    <x v="0"/>
    <x v="2"/>
    <x v="1"/>
    <x v="2"/>
    <x v="2"/>
    <x v="141"/>
    <x v="3"/>
    <x v="1"/>
    <x v="1"/>
    <x v="156"/>
    <x v="156"/>
    <x v="154"/>
    <x v="3"/>
    <x v="0"/>
  </r>
  <r>
    <x v="158"/>
    <x v="154"/>
    <x v="3"/>
    <x v="3"/>
    <x v="3"/>
    <x v="155"/>
    <x v="43"/>
    <x v="43"/>
    <x v="0"/>
    <x v="1"/>
    <x v="31"/>
    <x v="36"/>
    <x v="2"/>
    <x v="4"/>
    <x v="0"/>
    <x v="4"/>
    <x v="4"/>
    <x v="142"/>
    <x v="2"/>
    <x v="3"/>
    <x v="2"/>
    <x v="157"/>
    <x v="157"/>
    <x v="155"/>
    <x v="6"/>
    <x v="0"/>
  </r>
  <r>
    <x v="159"/>
    <x v="155"/>
    <x v="2"/>
    <x v="3"/>
    <x v="3"/>
    <x v="156"/>
    <x v="125"/>
    <x v="122"/>
    <x v="0"/>
    <x v="0"/>
    <x v="6"/>
    <x v="62"/>
    <x v="0"/>
    <x v="35"/>
    <x v="0"/>
    <x v="4"/>
    <x v="35"/>
    <x v="143"/>
    <x v="3"/>
    <x v="6"/>
    <x v="3"/>
    <x v="158"/>
    <x v="158"/>
    <x v="156"/>
    <x v="6"/>
    <x v="0"/>
  </r>
  <r>
    <x v="160"/>
    <x v="103"/>
    <x v="1"/>
    <x v="2"/>
    <x v="2"/>
    <x v="157"/>
    <x v="114"/>
    <x v="112"/>
    <x v="1"/>
    <x v="1"/>
    <x v="12"/>
    <x v="37"/>
    <x v="2"/>
    <x v="17"/>
    <x v="1"/>
    <x v="9"/>
    <x v="17"/>
    <x v="111"/>
    <x v="3"/>
    <x v="2"/>
    <x v="1"/>
    <x v="159"/>
    <x v="159"/>
    <x v="157"/>
    <x v="1"/>
    <x v="1"/>
  </r>
  <r>
    <x v="161"/>
    <x v="156"/>
    <x v="2"/>
    <x v="4"/>
    <x v="4"/>
    <x v="158"/>
    <x v="126"/>
    <x v="123"/>
    <x v="1"/>
    <x v="1"/>
    <x v="32"/>
    <x v="74"/>
    <x v="0"/>
    <x v="29"/>
    <x v="0"/>
    <x v="12"/>
    <x v="29"/>
    <x v="123"/>
    <x v="2"/>
    <x v="6"/>
    <x v="3"/>
    <x v="160"/>
    <x v="160"/>
    <x v="158"/>
    <x v="2"/>
    <x v="1"/>
  </r>
  <r>
    <x v="162"/>
    <x v="157"/>
    <x v="3"/>
    <x v="9"/>
    <x v="9"/>
    <x v="159"/>
    <x v="127"/>
    <x v="124"/>
    <x v="2"/>
    <x v="0"/>
    <x v="36"/>
    <x v="75"/>
    <x v="0"/>
    <x v="25"/>
    <x v="2"/>
    <x v="13"/>
    <x v="25"/>
    <x v="144"/>
    <x v="2"/>
    <x v="2"/>
    <x v="1"/>
    <x v="161"/>
    <x v="161"/>
    <x v="159"/>
    <x v="5"/>
    <x v="0"/>
  </r>
  <r>
    <x v="163"/>
    <x v="158"/>
    <x v="3"/>
    <x v="8"/>
    <x v="8"/>
    <x v="160"/>
    <x v="5"/>
    <x v="5"/>
    <x v="2"/>
    <x v="0"/>
    <x v="4"/>
    <x v="4"/>
    <x v="0"/>
    <x v="22"/>
    <x v="1"/>
    <x v="2"/>
    <x v="22"/>
    <x v="145"/>
    <x v="2"/>
    <x v="4"/>
    <x v="3"/>
    <x v="162"/>
    <x v="162"/>
    <x v="160"/>
    <x v="3"/>
    <x v="1"/>
  </r>
  <r>
    <x v="164"/>
    <x v="159"/>
    <x v="3"/>
    <x v="11"/>
    <x v="11"/>
    <x v="161"/>
    <x v="128"/>
    <x v="125"/>
    <x v="0"/>
    <x v="1"/>
    <x v="19"/>
    <x v="39"/>
    <x v="0"/>
    <x v="39"/>
    <x v="0"/>
    <x v="12"/>
    <x v="39"/>
    <x v="99"/>
    <x v="0"/>
    <x v="0"/>
    <x v="0"/>
    <x v="163"/>
    <x v="163"/>
    <x v="161"/>
    <x v="3"/>
    <x v="0"/>
  </r>
  <r>
    <x v="165"/>
    <x v="160"/>
    <x v="0"/>
    <x v="1"/>
    <x v="1"/>
    <x v="162"/>
    <x v="129"/>
    <x v="126"/>
    <x v="2"/>
    <x v="1"/>
    <x v="37"/>
    <x v="76"/>
    <x v="1"/>
    <x v="56"/>
    <x v="0"/>
    <x v="0"/>
    <x v="56"/>
    <x v="146"/>
    <x v="0"/>
    <x v="4"/>
    <x v="3"/>
    <x v="164"/>
    <x v="164"/>
    <x v="162"/>
    <x v="4"/>
    <x v="2"/>
  </r>
  <r>
    <x v="166"/>
    <x v="161"/>
    <x v="2"/>
    <x v="10"/>
    <x v="10"/>
    <x v="163"/>
    <x v="130"/>
    <x v="127"/>
    <x v="1"/>
    <x v="1"/>
    <x v="29"/>
    <x v="68"/>
    <x v="1"/>
    <x v="6"/>
    <x v="0"/>
    <x v="0"/>
    <x v="6"/>
    <x v="147"/>
    <x v="3"/>
    <x v="0"/>
    <x v="0"/>
    <x v="165"/>
    <x v="165"/>
    <x v="163"/>
    <x v="7"/>
    <x v="2"/>
  </r>
  <r>
    <x v="167"/>
    <x v="162"/>
    <x v="4"/>
    <x v="10"/>
    <x v="10"/>
    <x v="164"/>
    <x v="123"/>
    <x v="121"/>
    <x v="1"/>
    <x v="1"/>
    <x v="11"/>
    <x v="11"/>
    <x v="0"/>
    <x v="18"/>
    <x v="1"/>
    <x v="11"/>
    <x v="18"/>
    <x v="148"/>
    <x v="1"/>
    <x v="0"/>
    <x v="0"/>
    <x v="166"/>
    <x v="166"/>
    <x v="164"/>
    <x v="2"/>
    <x v="1"/>
  </r>
  <r>
    <x v="168"/>
    <x v="163"/>
    <x v="0"/>
    <x v="7"/>
    <x v="7"/>
    <x v="165"/>
    <x v="50"/>
    <x v="50"/>
    <x v="1"/>
    <x v="1"/>
    <x v="1"/>
    <x v="18"/>
    <x v="1"/>
    <x v="26"/>
    <x v="2"/>
    <x v="5"/>
    <x v="26"/>
    <x v="149"/>
    <x v="2"/>
    <x v="6"/>
    <x v="3"/>
    <x v="167"/>
    <x v="167"/>
    <x v="165"/>
    <x v="1"/>
    <x v="1"/>
  </r>
  <r>
    <x v="169"/>
    <x v="164"/>
    <x v="0"/>
    <x v="11"/>
    <x v="11"/>
    <x v="166"/>
    <x v="131"/>
    <x v="128"/>
    <x v="0"/>
    <x v="0"/>
    <x v="39"/>
    <x v="34"/>
    <x v="2"/>
    <x v="4"/>
    <x v="0"/>
    <x v="4"/>
    <x v="4"/>
    <x v="150"/>
    <x v="3"/>
    <x v="4"/>
    <x v="3"/>
    <x v="168"/>
    <x v="168"/>
    <x v="166"/>
    <x v="1"/>
    <x v="2"/>
  </r>
  <r>
    <x v="170"/>
    <x v="165"/>
    <x v="0"/>
    <x v="6"/>
    <x v="6"/>
    <x v="167"/>
    <x v="132"/>
    <x v="129"/>
    <x v="2"/>
    <x v="0"/>
    <x v="15"/>
    <x v="77"/>
    <x v="1"/>
    <x v="9"/>
    <x v="2"/>
    <x v="8"/>
    <x v="9"/>
    <x v="151"/>
    <x v="3"/>
    <x v="5"/>
    <x v="2"/>
    <x v="169"/>
    <x v="169"/>
    <x v="167"/>
    <x v="4"/>
    <x v="2"/>
  </r>
  <r>
    <x v="171"/>
    <x v="166"/>
    <x v="3"/>
    <x v="10"/>
    <x v="10"/>
    <x v="168"/>
    <x v="133"/>
    <x v="130"/>
    <x v="0"/>
    <x v="1"/>
    <x v="0"/>
    <x v="0"/>
    <x v="0"/>
    <x v="61"/>
    <x v="1"/>
    <x v="2"/>
    <x v="61"/>
    <x v="125"/>
    <x v="1"/>
    <x v="5"/>
    <x v="2"/>
    <x v="170"/>
    <x v="170"/>
    <x v="168"/>
    <x v="0"/>
    <x v="1"/>
  </r>
  <r>
    <x v="172"/>
    <x v="167"/>
    <x v="2"/>
    <x v="7"/>
    <x v="7"/>
    <x v="169"/>
    <x v="107"/>
    <x v="105"/>
    <x v="0"/>
    <x v="1"/>
    <x v="22"/>
    <x v="53"/>
    <x v="3"/>
    <x v="31"/>
    <x v="1"/>
    <x v="1"/>
    <x v="31"/>
    <x v="152"/>
    <x v="3"/>
    <x v="6"/>
    <x v="3"/>
    <x v="171"/>
    <x v="171"/>
    <x v="169"/>
    <x v="7"/>
    <x v="1"/>
  </r>
  <r>
    <x v="173"/>
    <x v="168"/>
    <x v="0"/>
    <x v="9"/>
    <x v="9"/>
    <x v="170"/>
    <x v="73"/>
    <x v="73"/>
    <x v="1"/>
    <x v="1"/>
    <x v="7"/>
    <x v="51"/>
    <x v="2"/>
    <x v="16"/>
    <x v="1"/>
    <x v="1"/>
    <x v="16"/>
    <x v="112"/>
    <x v="0"/>
    <x v="0"/>
    <x v="0"/>
    <x v="172"/>
    <x v="172"/>
    <x v="170"/>
    <x v="7"/>
    <x v="1"/>
  </r>
  <r>
    <x v="174"/>
    <x v="169"/>
    <x v="0"/>
    <x v="3"/>
    <x v="3"/>
    <x v="171"/>
    <x v="134"/>
    <x v="131"/>
    <x v="0"/>
    <x v="1"/>
    <x v="2"/>
    <x v="2"/>
    <x v="2"/>
    <x v="4"/>
    <x v="0"/>
    <x v="4"/>
    <x v="4"/>
    <x v="142"/>
    <x v="2"/>
    <x v="3"/>
    <x v="2"/>
    <x v="173"/>
    <x v="173"/>
    <x v="171"/>
    <x v="1"/>
    <x v="0"/>
  </r>
  <r>
    <x v="175"/>
    <x v="170"/>
    <x v="3"/>
    <x v="3"/>
    <x v="3"/>
    <x v="172"/>
    <x v="17"/>
    <x v="17"/>
    <x v="2"/>
    <x v="1"/>
    <x v="15"/>
    <x v="15"/>
    <x v="1"/>
    <x v="24"/>
    <x v="0"/>
    <x v="4"/>
    <x v="24"/>
    <x v="71"/>
    <x v="3"/>
    <x v="2"/>
    <x v="1"/>
    <x v="174"/>
    <x v="174"/>
    <x v="172"/>
    <x v="7"/>
    <x v="2"/>
  </r>
  <r>
    <x v="176"/>
    <x v="171"/>
    <x v="3"/>
    <x v="3"/>
    <x v="3"/>
    <x v="173"/>
    <x v="85"/>
    <x v="84"/>
    <x v="1"/>
    <x v="1"/>
    <x v="2"/>
    <x v="2"/>
    <x v="2"/>
    <x v="14"/>
    <x v="2"/>
    <x v="8"/>
    <x v="14"/>
    <x v="153"/>
    <x v="2"/>
    <x v="0"/>
    <x v="0"/>
    <x v="175"/>
    <x v="175"/>
    <x v="173"/>
    <x v="0"/>
    <x v="0"/>
  </r>
  <r>
    <x v="177"/>
    <x v="172"/>
    <x v="1"/>
    <x v="0"/>
    <x v="0"/>
    <x v="174"/>
    <x v="40"/>
    <x v="40"/>
    <x v="0"/>
    <x v="1"/>
    <x v="15"/>
    <x v="34"/>
    <x v="1"/>
    <x v="32"/>
    <x v="2"/>
    <x v="13"/>
    <x v="32"/>
    <x v="154"/>
    <x v="2"/>
    <x v="0"/>
    <x v="0"/>
    <x v="176"/>
    <x v="176"/>
    <x v="46"/>
    <x v="1"/>
    <x v="0"/>
  </r>
  <r>
    <x v="178"/>
    <x v="173"/>
    <x v="1"/>
    <x v="6"/>
    <x v="6"/>
    <x v="175"/>
    <x v="135"/>
    <x v="132"/>
    <x v="1"/>
    <x v="1"/>
    <x v="10"/>
    <x v="78"/>
    <x v="0"/>
    <x v="17"/>
    <x v="1"/>
    <x v="9"/>
    <x v="17"/>
    <x v="155"/>
    <x v="3"/>
    <x v="4"/>
    <x v="3"/>
    <x v="177"/>
    <x v="177"/>
    <x v="174"/>
    <x v="5"/>
    <x v="1"/>
  </r>
  <r>
    <x v="179"/>
    <x v="93"/>
    <x v="3"/>
    <x v="1"/>
    <x v="1"/>
    <x v="176"/>
    <x v="11"/>
    <x v="11"/>
    <x v="0"/>
    <x v="0"/>
    <x v="10"/>
    <x v="10"/>
    <x v="0"/>
    <x v="61"/>
    <x v="1"/>
    <x v="2"/>
    <x v="61"/>
    <x v="156"/>
    <x v="2"/>
    <x v="6"/>
    <x v="3"/>
    <x v="178"/>
    <x v="178"/>
    <x v="175"/>
    <x v="3"/>
    <x v="1"/>
  </r>
  <r>
    <x v="180"/>
    <x v="174"/>
    <x v="4"/>
    <x v="3"/>
    <x v="3"/>
    <x v="177"/>
    <x v="63"/>
    <x v="63"/>
    <x v="1"/>
    <x v="1"/>
    <x v="19"/>
    <x v="39"/>
    <x v="0"/>
    <x v="51"/>
    <x v="1"/>
    <x v="9"/>
    <x v="51"/>
    <x v="157"/>
    <x v="2"/>
    <x v="6"/>
    <x v="3"/>
    <x v="179"/>
    <x v="179"/>
    <x v="176"/>
    <x v="2"/>
    <x v="1"/>
  </r>
  <r>
    <x v="181"/>
    <x v="175"/>
    <x v="1"/>
    <x v="2"/>
    <x v="2"/>
    <x v="178"/>
    <x v="13"/>
    <x v="13"/>
    <x v="2"/>
    <x v="0"/>
    <x v="11"/>
    <x v="11"/>
    <x v="0"/>
    <x v="46"/>
    <x v="2"/>
    <x v="13"/>
    <x v="46"/>
    <x v="158"/>
    <x v="3"/>
    <x v="3"/>
    <x v="2"/>
    <x v="180"/>
    <x v="180"/>
    <x v="177"/>
    <x v="1"/>
    <x v="0"/>
  </r>
  <r>
    <x v="182"/>
    <x v="176"/>
    <x v="1"/>
    <x v="2"/>
    <x v="2"/>
    <x v="179"/>
    <x v="86"/>
    <x v="85"/>
    <x v="1"/>
    <x v="1"/>
    <x v="25"/>
    <x v="57"/>
    <x v="1"/>
    <x v="10"/>
    <x v="1"/>
    <x v="9"/>
    <x v="10"/>
    <x v="159"/>
    <x v="3"/>
    <x v="0"/>
    <x v="0"/>
    <x v="181"/>
    <x v="181"/>
    <x v="178"/>
    <x v="3"/>
    <x v="1"/>
  </r>
  <r>
    <x v="183"/>
    <x v="177"/>
    <x v="0"/>
    <x v="2"/>
    <x v="2"/>
    <x v="102"/>
    <x v="136"/>
    <x v="109"/>
    <x v="1"/>
    <x v="1"/>
    <x v="39"/>
    <x v="34"/>
    <x v="2"/>
    <x v="33"/>
    <x v="1"/>
    <x v="11"/>
    <x v="33"/>
    <x v="160"/>
    <x v="4"/>
    <x v="0"/>
    <x v="0"/>
    <x v="148"/>
    <x v="182"/>
    <x v="179"/>
    <x v="0"/>
    <x v="1"/>
  </r>
  <r>
    <x v="184"/>
    <x v="178"/>
    <x v="4"/>
    <x v="9"/>
    <x v="9"/>
    <x v="180"/>
    <x v="137"/>
    <x v="133"/>
    <x v="2"/>
    <x v="1"/>
    <x v="39"/>
    <x v="71"/>
    <x v="2"/>
    <x v="34"/>
    <x v="1"/>
    <x v="11"/>
    <x v="34"/>
    <x v="95"/>
    <x v="3"/>
    <x v="0"/>
    <x v="0"/>
    <x v="182"/>
    <x v="183"/>
    <x v="180"/>
    <x v="6"/>
    <x v="0"/>
  </r>
  <r>
    <x v="185"/>
    <x v="179"/>
    <x v="2"/>
    <x v="8"/>
    <x v="8"/>
    <x v="181"/>
    <x v="138"/>
    <x v="101"/>
    <x v="1"/>
    <x v="1"/>
    <x v="21"/>
    <x v="79"/>
    <x v="1"/>
    <x v="51"/>
    <x v="1"/>
    <x v="9"/>
    <x v="51"/>
    <x v="89"/>
    <x v="2"/>
    <x v="0"/>
    <x v="0"/>
    <x v="183"/>
    <x v="184"/>
    <x v="181"/>
    <x v="5"/>
    <x v="1"/>
  </r>
  <r>
    <x v="186"/>
    <x v="180"/>
    <x v="3"/>
    <x v="8"/>
    <x v="8"/>
    <x v="182"/>
    <x v="46"/>
    <x v="46"/>
    <x v="2"/>
    <x v="1"/>
    <x v="32"/>
    <x v="38"/>
    <x v="0"/>
    <x v="25"/>
    <x v="2"/>
    <x v="13"/>
    <x v="25"/>
    <x v="161"/>
    <x v="1"/>
    <x v="1"/>
    <x v="1"/>
    <x v="184"/>
    <x v="185"/>
    <x v="182"/>
    <x v="6"/>
    <x v="2"/>
  </r>
  <r>
    <x v="187"/>
    <x v="48"/>
    <x v="0"/>
    <x v="2"/>
    <x v="2"/>
    <x v="183"/>
    <x v="32"/>
    <x v="32"/>
    <x v="1"/>
    <x v="1"/>
    <x v="24"/>
    <x v="27"/>
    <x v="2"/>
    <x v="28"/>
    <x v="0"/>
    <x v="12"/>
    <x v="28"/>
    <x v="162"/>
    <x v="1"/>
    <x v="0"/>
    <x v="0"/>
    <x v="185"/>
    <x v="186"/>
    <x v="183"/>
    <x v="4"/>
    <x v="2"/>
  </r>
  <r>
    <x v="188"/>
    <x v="181"/>
    <x v="4"/>
    <x v="4"/>
    <x v="4"/>
    <x v="184"/>
    <x v="117"/>
    <x v="115"/>
    <x v="2"/>
    <x v="1"/>
    <x v="12"/>
    <x v="37"/>
    <x v="2"/>
    <x v="28"/>
    <x v="0"/>
    <x v="12"/>
    <x v="28"/>
    <x v="163"/>
    <x v="4"/>
    <x v="0"/>
    <x v="0"/>
    <x v="186"/>
    <x v="187"/>
    <x v="184"/>
    <x v="4"/>
    <x v="2"/>
  </r>
  <r>
    <x v="189"/>
    <x v="182"/>
    <x v="0"/>
    <x v="5"/>
    <x v="5"/>
    <x v="185"/>
    <x v="139"/>
    <x v="9"/>
    <x v="2"/>
    <x v="1"/>
    <x v="24"/>
    <x v="80"/>
    <x v="2"/>
    <x v="52"/>
    <x v="0"/>
    <x v="4"/>
    <x v="52"/>
    <x v="164"/>
    <x v="4"/>
    <x v="5"/>
    <x v="2"/>
    <x v="187"/>
    <x v="188"/>
    <x v="185"/>
    <x v="7"/>
    <x v="2"/>
  </r>
  <r>
    <x v="190"/>
    <x v="183"/>
    <x v="3"/>
    <x v="0"/>
    <x v="0"/>
    <x v="186"/>
    <x v="40"/>
    <x v="40"/>
    <x v="0"/>
    <x v="1"/>
    <x v="15"/>
    <x v="34"/>
    <x v="1"/>
    <x v="23"/>
    <x v="2"/>
    <x v="6"/>
    <x v="23"/>
    <x v="16"/>
    <x v="2"/>
    <x v="0"/>
    <x v="0"/>
    <x v="188"/>
    <x v="189"/>
    <x v="52"/>
    <x v="7"/>
    <x v="1"/>
  </r>
  <r>
    <x v="191"/>
    <x v="184"/>
    <x v="4"/>
    <x v="7"/>
    <x v="7"/>
    <x v="187"/>
    <x v="113"/>
    <x v="111"/>
    <x v="1"/>
    <x v="0"/>
    <x v="15"/>
    <x v="34"/>
    <x v="1"/>
    <x v="49"/>
    <x v="2"/>
    <x v="5"/>
    <x v="49"/>
    <x v="165"/>
    <x v="4"/>
    <x v="6"/>
    <x v="3"/>
    <x v="189"/>
    <x v="190"/>
    <x v="186"/>
    <x v="6"/>
    <x v="1"/>
  </r>
  <r>
    <x v="192"/>
    <x v="185"/>
    <x v="1"/>
    <x v="2"/>
    <x v="2"/>
    <x v="188"/>
    <x v="140"/>
    <x v="134"/>
    <x v="2"/>
    <x v="1"/>
    <x v="16"/>
    <x v="16"/>
    <x v="1"/>
    <x v="6"/>
    <x v="0"/>
    <x v="0"/>
    <x v="6"/>
    <x v="166"/>
    <x v="2"/>
    <x v="3"/>
    <x v="2"/>
    <x v="190"/>
    <x v="191"/>
    <x v="187"/>
    <x v="0"/>
    <x v="0"/>
  </r>
  <r>
    <x v="193"/>
    <x v="186"/>
    <x v="3"/>
    <x v="4"/>
    <x v="4"/>
    <x v="189"/>
    <x v="63"/>
    <x v="63"/>
    <x v="1"/>
    <x v="1"/>
    <x v="19"/>
    <x v="39"/>
    <x v="0"/>
    <x v="32"/>
    <x v="2"/>
    <x v="13"/>
    <x v="32"/>
    <x v="167"/>
    <x v="2"/>
    <x v="5"/>
    <x v="2"/>
    <x v="191"/>
    <x v="192"/>
    <x v="188"/>
    <x v="7"/>
    <x v="1"/>
  </r>
  <r>
    <x v="194"/>
    <x v="187"/>
    <x v="1"/>
    <x v="2"/>
    <x v="2"/>
    <x v="190"/>
    <x v="46"/>
    <x v="46"/>
    <x v="2"/>
    <x v="1"/>
    <x v="32"/>
    <x v="38"/>
    <x v="0"/>
    <x v="24"/>
    <x v="0"/>
    <x v="4"/>
    <x v="24"/>
    <x v="83"/>
    <x v="2"/>
    <x v="3"/>
    <x v="2"/>
    <x v="192"/>
    <x v="193"/>
    <x v="189"/>
    <x v="7"/>
    <x v="1"/>
  </r>
  <r>
    <x v="195"/>
    <x v="188"/>
    <x v="0"/>
    <x v="4"/>
    <x v="4"/>
    <x v="5"/>
    <x v="141"/>
    <x v="1"/>
    <x v="1"/>
    <x v="1"/>
    <x v="3"/>
    <x v="66"/>
    <x v="3"/>
    <x v="32"/>
    <x v="2"/>
    <x v="13"/>
    <x v="32"/>
    <x v="168"/>
    <x v="3"/>
    <x v="3"/>
    <x v="2"/>
    <x v="193"/>
    <x v="194"/>
    <x v="190"/>
    <x v="5"/>
    <x v="2"/>
  </r>
  <r>
    <x v="196"/>
    <x v="189"/>
    <x v="4"/>
    <x v="9"/>
    <x v="9"/>
    <x v="191"/>
    <x v="25"/>
    <x v="25"/>
    <x v="1"/>
    <x v="0"/>
    <x v="6"/>
    <x v="6"/>
    <x v="0"/>
    <x v="15"/>
    <x v="0"/>
    <x v="10"/>
    <x v="15"/>
    <x v="169"/>
    <x v="3"/>
    <x v="0"/>
    <x v="0"/>
    <x v="194"/>
    <x v="195"/>
    <x v="191"/>
    <x v="5"/>
    <x v="2"/>
  </r>
  <r>
    <x v="197"/>
    <x v="57"/>
    <x v="1"/>
    <x v="8"/>
    <x v="8"/>
    <x v="58"/>
    <x v="142"/>
    <x v="135"/>
    <x v="1"/>
    <x v="0"/>
    <x v="15"/>
    <x v="34"/>
    <x v="1"/>
    <x v="7"/>
    <x v="2"/>
    <x v="6"/>
    <x v="7"/>
    <x v="170"/>
    <x v="0"/>
    <x v="1"/>
    <x v="1"/>
    <x v="195"/>
    <x v="196"/>
    <x v="192"/>
    <x v="0"/>
    <x v="0"/>
  </r>
  <r>
    <x v="198"/>
    <x v="190"/>
    <x v="0"/>
    <x v="11"/>
    <x v="11"/>
    <x v="192"/>
    <x v="41"/>
    <x v="41"/>
    <x v="1"/>
    <x v="0"/>
    <x v="29"/>
    <x v="16"/>
    <x v="1"/>
    <x v="45"/>
    <x v="1"/>
    <x v="2"/>
    <x v="45"/>
    <x v="171"/>
    <x v="4"/>
    <x v="1"/>
    <x v="1"/>
    <x v="196"/>
    <x v="197"/>
    <x v="193"/>
    <x v="0"/>
    <x v="1"/>
  </r>
  <r>
    <x v="199"/>
    <x v="191"/>
    <x v="1"/>
    <x v="2"/>
    <x v="2"/>
    <x v="193"/>
    <x v="34"/>
    <x v="34"/>
    <x v="2"/>
    <x v="0"/>
    <x v="25"/>
    <x v="29"/>
    <x v="1"/>
    <x v="35"/>
    <x v="0"/>
    <x v="4"/>
    <x v="35"/>
    <x v="45"/>
    <x v="0"/>
    <x v="0"/>
    <x v="0"/>
    <x v="197"/>
    <x v="198"/>
    <x v="194"/>
    <x v="4"/>
    <x v="1"/>
  </r>
  <r>
    <x v="200"/>
    <x v="192"/>
    <x v="1"/>
    <x v="4"/>
    <x v="4"/>
    <x v="194"/>
    <x v="34"/>
    <x v="34"/>
    <x v="2"/>
    <x v="0"/>
    <x v="25"/>
    <x v="29"/>
    <x v="1"/>
    <x v="22"/>
    <x v="1"/>
    <x v="2"/>
    <x v="22"/>
    <x v="172"/>
    <x v="3"/>
    <x v="0"/>
    <x v="0"/>
    <x v="198"/>
    <x v="199"/>
    <x v="195"/>
    <x v="2"/>
    <x v="1"/>
  </r>
  <r>
    <x v="201"/>
    <x v="193"/>
    <x v="1"/>
    <x v="7"/>
    <x v="7"/>
    <x v="195"/>
    <x v="143"/>
    <x v="136"/>
    <x v="2"/>
    <x v="1"/>
    <x v="6"/>
    <x v="47"/>
    <x v="0"/>
    <x v="43"/>
    <x v="1"/>
    <x v="9"/>
    <x v="43"/>
    <x v="173"/>
    <x v="1"/>
    <x v="0"/>
    <x v="0"/>
    <x v="199"/>
    <x v="200"/>
    <x v="196"/>
    <x v="2"/>
    <x v="1"/>
  </r>
  <r>
    <x v="202"/>
    <x v="194"/>
    <x v="1"/>
    <x v="7"/>
    <x v="7"/>
    <x v="196"/>
    <x v="69"/>
    <x v="69"/>
    <x v="1"/>
    <x v="1"/>
    <x v="25"/>
    <x v="49"/>
    <x v="1"/>
    <x v="11"/>
    <x v="2"/>
    <x v="3"/>
    <x v="11"/>
    <x v="107"/>
    <x v="4"/>
    <x v="4"/>
    <x v="3"/>
    <x v="200"/>
    <x v="201"/>
    <x v="197"/>
    <x v="6"/>
    <x v="0"/>
  </r>
  <r>
    <x v="203"/>
    <x v="94"/>
    <x v="0"/>
    <x v="5"/>
    <x v="5"/>
    <x v="129"/>
    <x v="46"/>
    <x v="46"/>
    <x v="2"/>
    <x v="1"/>
    <x v="32"/>
    <x v="38"/>
    <x v="0"/>
    <x v="9"/>
    <x v="2"/>
    <x v="8"/>
    <x v="9"/>
    <x v="174"/>
    <x v="4"/>
    <x v="6"/>
    <x v="3"/>
    <x v="201"/>
    <x v="202"/>
    <x v="14"/>
    <x v="1"/>
    <x v="2"/>
  </r>
  <r>
    <x v="204"/>
    <x v="195"/>
    <x v="0"/>
    <x v="4"/>
    <x v="4"/>
    <x v="197"/>
    <x v="3"/>
    <x v="3"/>
    <x v="1"/>
    <x v="1"/>
    <x v="0"/>
    <x v="0"/>
    <x v="0"/>
    <x v="23"/>
    <x v="2"/>
    <x v="6"/>
    <x v="23"/>
    <x v="175"/>
    <x v="1"/>
    <x v="0"/>
    <x v="0"/>
    <x v="202"/>
    <x v="203"/>
    <x v="198"/>
    <x v="2"/>
    <x v="0"/>
  </r>
  <r>
    <x v="205"/>
    <x v="196"/>
    <x v="3"/>
    <x v="3"/>
    <x v="3"/>
    <x v="198"/>
    <x v="144"/>
    <x v="137"/>
    <x v="1"/>
    <x v="1"/>
    <x v="36"/>
    <x v="75"/>
    <x v="0"/>
    <x v="37"/>
    <x v="2"/>
    <x v="3"/>
    <x v="37"/>
    <x v="176"/>
    <x v="1"/>
    <x v="3"/>
    <x v="2"/>
    <x v="203"/>
    <x v="204"/>
    <x v="199"/>
    <x v="3"/>
    <x v="0"/>
  </r>
  <r>
    <x v="206"/>
    <x v="197"/>
    <x v="2"/>
    <x v="1"/>
    <x v="1"/>
    <x v="199"/>
    <x v="46"/>
    <x v="46"/>
    <x v="2"/>
    <x v="1"/>
    <x v="32"/>
    <x v="38"/>
    <x v="0"/>
    <x v="39"/>
    <x v="0"/>
    <x v="12"/>
    <x v="39"/>
    <x v="177"/>
    <x v="2"/>
    <x v="5"/>
    <x v="2"/>
    <x v="204"/>
    <x v="205"/>
    <x v="68"/>
    <x v="3"/>
    <x v="1"/>
  </r>
  <r>
    <x v="207"/>
    <x v="126"/>
    <x v="4"/>
    <x v="11"/>
    <x v="11"/>
    <x v="125"/>
    <x v="145"/>
    <x v="138"/>
    <x v="2"/>
    <x v="1"/>
    <x v="2"/>
    <x v="2"/>
    <x v="2"/>
    <x v="9"/>
    <x v="2"/>
    <x v="8"/>
    <x v="9"/>
    <x v="178"/>
    <x v="3"/>
    <x v="4"/>
    <x v="3"/>
    <x v="205"/>
    <x v="206"/>
    <x v="200"/>
    <x v="6"/>
    <x v="2"/>
  </r>
  <r>
    <x v="208"/>
    <x v="198"/>
    <x v="2"/>
    <x v="10"/>
    <x v="10"/>
    <x v="14"/>
    <x v="102"/>
    <x v="100"/>
    <x v="2"/>
    <x v="1"/>
    <x v="37"/>
    <x v="64"/>
    <x v="1"/>
    <x v="39"/>
    <x v="0"/>
    <x v="12"/>
    <x v="39"/>
    <x v="176"/>
    <x v="4"/>
    <x v="0"/>
    <x v="0"/>
    <x v="99"/>
    <x v="99"/>
    <x v="201"/>
    <x v="6"/>
    <x v="0"/>
  </r>
  <r>
    <x v="209"/>
    <x v="199"/>
    <x v="0"/>
    <x v="7"/>
    <x v="7"/>
    <x v="90"/>
    <x v="146"/>
    <x v="139"/>
    <x v="2"/>
    <x v="1"/>
    <x v="36"/>
    <x v="75"/>
    <x v="0"/>
    <x v="25"/>
    <x v="2"/>
    <x v="13"/>
    <x v="25"/>
    <x v="179"/>
    <x v="4"/>
    <x v="0"/>
    <x v="0"/>
    <x v="206"/>
    <x v="207"/>
    <x v="202"/>
    <x v="5"/>
    <x v="2"/>
  </r>
  <r>
    <x v="210"/>
    <x v="200"/>
    <x v="0"/>
    <x v="5"/>
    <x v="5"/>
    <x v="200"/>
    <x v="147"/>
    <x v="140"/>
    <x v="0"/>
    <x v="1"/>
    <x v="9"/>
    <x v="81"/>
    <x v="2"/>
    <x v="7"/>
    <x v="2"/>
    <x v="6"/>
    <x v="7"/>
    <x v="180"/>
    <x v="3"/>
    <x v="0"/>
    <x v="0"/>
    <x v="207"/>
    <x v="208"/>
    <x v="65"/>
    <x v="6"/>
    <x v="0"/>
  </r>
  <r>
    <x v="211"/>
    <x v="201"/>
    <x v="1"/>
    <x v="2"/>
    <x v="2"/>
    <x v="201"/>
    <x v="115"/>
    <x v="113"/>
    <x v="1"/>
    <x v="1"/>
    <x v="17"/>
    <x v="72"/>
    <x v="0"/>
    <x v="45"/>
    <x v="1"/>
    <x v="2"/>
    <x v="45"/>
    <x v="181"/>
    <x v="1"/>
    <x v="1"/>
    <x v="1"/>
    <x v="208"/>
    <x v="209"/>
    <x v="203"/>
    <x v="1"/>
    <x v="1"/>
  </r>
  <r>
    <x v="212"/>
    <x v="202"/>
    <x v="4"/>
    <x v="3"/>
    <x v="3"/>
    <x v="202"/>
    <x v="148"/>
    <x v="141"/>
    <x v="1"/>
    <x v="1"/>
    <x v="31"/>
    <x v="82"/>
    <x v="2"/>
    <x v="32"/>
    <x v="2"/>
    <x v="13"/>
    <x v="32"/>
    <x v="182"/>
    <x v="0"/>
    <x v="2"/>
    <x v="1"/>
    <x v="209"/>
    <x v="210"/>
    <x v="204"/>
    <x v="4"/>
    <x v="0"/>
  </r>
  <r>
    <x v="213"/>
    <x v="203"/>
    <x v="4"/>
    <x v="9"/>
    <x v="9"/>
    <x v="203"/>
    <x v="149"/>
    <x v="142"/>
    <x v="0"/>
    <x v="0"/>
    <x v="5"/>
    <x v="28"/>
    <x v="3"/>
    <x v="60"/>
    <x v="0"/>
    <x v="12"/>
    <x v="60"/>
    <x v="183"/>
    <x v="3"/>
    <x v="2"/>
    <x v="1"/>
    <x v="210"/>
    <x v="211"/>
    <x v="205"/>
    <x v="7"/>
    <x v="2"/>
  </r>
  <r>
    <x v="214"/>
    <x v="204"/>
    <x v="4"/>
    <x v="10"/>
    <x v="10"/>
    <x v="204"/>
    <x v="108"/>
    <x v="106"/>
    <x v="1"/>
    <x v="1"/>
    <x v="9"/>
    <x v="68"/>
    <x v="2"/>
    <x v="21"/>
    <x v="0"/>
    <x v="0"/>
    <x v="21"/>
    <x v="100"/>
    <x v="0"/>
    <x v="0"/>
    <x v="0"/>
    <x v="211"/>
    <x v="212"/>
    <x v="206"/>
    <x v="1"/>
    <x v="2"/>
  </r>
  <r>
    <x v="215"/>
    <x v="205"/>
    <x v="4"/>
    <x v="4"/>
    <x v="4"/>
    <x v="205"/>
    <x v="150"/>
    <x v="143"/>
    <x v="0"/>
    <x v="1"/>
    <x v="16"/>
    <x v="83"/>
    <x v="1"/>
    <x v="0"/>
    <x v="0"/>
    <x v="0"/>
    <x v="0"/>
    <x v="184"/>
    <x v="4"/>
    <x v="0"/>
    <x v="0"/>
    <x v="212"/>
    <x v="213"/>
    <x v="207"/>
    <x v="3"/>
    <x v="0"/>
  </r>
  <r>
    <x v="216"/>
    <x v="36"/>
    <x v="2"/>
    <x v="0"/>
    <x v="0"/>
    <x v="206"/>
    <x v="151"/>
    <x v="144"/>
    <x v="1"/>
    <x v="1"/>
    <x v="10"/>
    <x v="78"/>
    <x v="0"/>
    <x v="17"/>
    <x v="1"/>
    <x v="9"/>
    <x v="17"/>
    <x v="114"/>
    <x v="3"/>
    <x v="0"/>
    <x v="0"/>
    <x v="213"/>
    <x v="214"/>
    <x v="208"/>
    <x v="0"/>
    <x v="1"/>
  </r>
  <r>
    <x v="217"/>
    <x v="206"/>
    <x v="0"/>
    <x v="7"/>
    <x v="7"/>
    <x v="207"/>
    <x v="152"/>
    <x v="145"/>
    <x v="1"/>
    <x v="1"/>
    <x v="7"/>
    <x v="51"/>
    <x v="2"/>
    <x v="3"/>
    <x v="2"/>
    <x v="3"/>
    <x v="3"/>
    <x v="185"/>
    <x v="1"/>
    <x v="6"/>
    <x v="3"/>
    <x v="214"/>
    <x v="215"/>
    <x v="209"/>
    <x v="7"/>
    <x v="2"/>
  </r>
  <r>
    <x v="218"/>
    <x v="207"/>
    <x v="4"/>
    <x v="6"/>
    <x v="6"/>
    <x v="50"/>
    <x v="153"/>
    <x v="146"/>
    <x v="0"/>
    <x v="1"/>
    <x v="14"/>
    <x v="14"/>
    <x v="3"/>
    <x v="48"/>
    <x v="2"/>
    <x v="6"/>
    <x v="48"/>
    <x v="186"/>
    <x v="2"/>
    <x v="3"/>
    <x v="2"/>
    <x v="215"/>
    <x v="216"/>
    <x v="210"/>
    <x v="0"/>
    <x v="1"/>
  </r>
  <r>
    <x v="219"/>
    <x v="208"/>
    <x v="2"/>
    <x v="9"/>
    <x v="9"/>
    <x v="208"/>
    <x v="111"/>
    <x v="109"/>
    <x v="1"/>
    <x v="1"/>
    <x v="39"/>
    <x v="71"/>
    <x v="2"/>
    <x v="24"/>
    <x v="0"/>
    <x v="4"/>
    <x v="24"/>
    <x v="187"/>
    <x v="3"/>
    <x v="3"/>
    <x v="2"/>
    <x v="216"/>
    <x v="217"/>
    <x v="105"/>
    <x v="1"/>
    <x v="2"/>
  </r>
  <r>
    <x v="220"/>
    <x v="209"/>
    <x v="4"/>
    <x v="0"/>
    <x v="0"/>
    <x v="209"/>
    <x v="154"/>
    <x v="147"/>
    <x v="2"/>
    <x v="1"/>
    <x v="38"/>
    <x v="70"/>
    <x v="3"/>
    <x v="18"/>
    <x v="1"/>
    <x v="11"/>
    <x v="18"/>
    <x v="188"/>
    <x v="2"/>
    <x v="0"/>
    <x v="0"/>
    <x v="217"/>
    <x v="218"/>
    <x v="211"/>
    <x v="0"/>
    <x v="1"/>
  </r>
  <r>
    <x v="221"/>
    <x v="116"/>
    <x v="3"/>
    <x v="2"/>
    <x v="2"/>
    <x v="115"/>
    <x v="41"/>
    <x v="41"/>
    <x v="1"/>
    <x v="0"/>
    <x v="29"/>
    <x v="16"/>
    <x v="1"/>
    <x v="40"/>
    <x v="0"/>
    <x v="10"/>
    <x v="40"/>
    <x v="127"/>
    <x v="1"/>
    <x v="6"/>
    <x v="3"/>
    <x v="218"/>
    <x v="219"/>
    <x v="212"/>
    <x v="3"/>
    <x v="2"/>
  </r>
  <r>
    <x v="222"/>
    <x v="210"/>
    <x v="3"/>
    <x v="11"/>
    <x v="11"/>
    <x v="210"/>
    <x v="37"/>
    <x v="37"/>
    <x v="0"/>
    <x v="0"/>
    <x v="27"/>
    <x v="32"/>
    <x v="1"/>
    <x v="63"/>
    <x v="0"/>
    <x v="7"/>
    <x v="63"/>
    <x v="64"/>
    <x v="4"/>
    <x v="2"/>
    <x v="1"/>
    <x v="219"/>
    <x v="220"/>
    <x v="213"/>
    <x v="6"/>
    <x v="1"/>
  </r>
  <r>
    <x v="223"/>
    <x v="211"/>
    <x v="3"/>
    <x v="8"/>
    <x v="8"/>
    <x v="211"/>
    <x v="7"/>
    <x v="7"/>
    <x v="2"/>
    <x v="1"/>
    <x v="6"/>
    <x v="6"/>
    <x v="0"/>
    <x v="3"/>
    <x v="2"/>
    <x v="3"/>
    <x v="3"/>
    <x v="189"/>
    <x v="0"/>
    <x v="1"/>
    <x v="1"/>
    <x v="220"/>
    <x v="221"/>
    <x v="214"/>
    <x v="3"/>
    <x v="0"/>
  </r>
  <r>
    <x v="224"/>
    <x v="212"/>
    <x v="3"/>
    <x v="9"/>
    <x v="9"/>
    <x v="212"/>
    <x v="10"/>
    <x v="10"/>
    <x v="0"/>
    <x v="1"/>
    <x v="9"/>
    <x v="9"/>
    <x v="2"/>
    <x v="40"/>
    <x v="0"/>
    <x v="10"/>
    <x v="40"/>
    <x v="190"/>
    <x v="1"/>
    <x v="2"/>
    <x v="1"/>
    <x v="221"/>
    <x v="222"/>
    <x v="215"/>
    <x v="1"/>
    <x v="2"/>
  </r>
  <r>
    <x v="225"/>
    <x v="213"/>
    <x v="4"/>
    <x v="7"/>
    <x v="7"/>
    <x v="213"/>
    <x v="155"/>
    <x v="148"/>
    <x v="1"/>
    <x v="1"/>
    <x v="5"/>
    <x v="5"/>
    <x v="3"/>
    <x v="18"/>
    <x v="1"/>
    <x v="11"/>
    <x v="18"/>
    <x v="191"/>
    <x v="3"/>
    <x v="3"/>
    <x v="2"/>
    <x v="222"/>
    <x v="223"/>
    <x v="216"/>
    <x v="5"/>
    <x v="1"/>
  </r>
  <r>
    <x v="226"/>
    <x v="214"/>
    <x v="2"/>
    <x v="5"/>
    <x v="5"/>
    <x v="214"/>
    <x v="37"/>
    <x v="37"/>
    <x v="0"/>
    <x v="0"/>
    <x v="27"/>
    <x v="32"/>
    <x v="1"/>
    <x v="22"/>
    <x v="1"/>
    <x v="2"/>
    <x v="22"/>
    <x v="192"/>
    <x v="4"/>
    <x v="5"/>
    <x v="2"/>
    <x v="223"/>
    <x v="224"/>
    <x v="195"/>
    <x v="2"/>
    <x v="1"/>
  </r>
  <r>
    <x v="227"/>
    <x v="215"/>
    <x v="4"/>
    <x v="8"/>
    <x v="8"/>
    <x v="215"/>
    <x v="115"/>
    <x v="113"/>
    <x v="1"/>
    <x v="1"/>
    <x v="17"/>
    <x v="72"/>
    <x v="0"/>
    <x v="51"/>
    <x v="1"/>
    <x v="9"/>
    <x v="51"/>
    <x v="89"/>
    <x v="2"/>
    <x v="0"/>
    <x v="0"/>
    <x v="224"/>
    <x v="225"/>
    <x v="52"/>
    <x v="3"/>
    <x v="1"/>
  </r>
  <r>
    <x v="228"/>
    <x v="58"/>
    <x v="4"/>
    <x v="3"/>
    <x v="3"/>
    <x v="216"/>
    <x v="10"/>
    <x v="10"/>
    <x v="0"/>
    <x v="1"/>
    <x v="9"/>
    <x v="9"/>
    <x v="2"/>
    <x v="50"/>
    <x v="2"/>
    <x v="3"/>
    <x v="50"/>
    <x v="193"/>
    <x v="0"/>
    <x v="3"/>
    <x v="2"/>
    <x v="225"/>
    <x v="226"/>
    <x v="217"/>
    <x v="5"/>
    <x v="0"/>
  </r>
  <r>
    <x v="229"/>
    <x v="144"/>
    <x v="0"/>
    <x v="2"/>
    <x v="2"/>
    <x v="217"/>
    <x v="25"/>
    <x v="25"/>
    <x v="1"/>
    <x v="0"/>
    <x v="6"/>
    <x v="6"/>
    <x v="0"/>
    <x v="29"/>
    <x v="0"/>
    <x v="12"/>
    <x v="29"/>
    <x v="194"/>
    <x v="4"/>
    <x v="6"/>
    <x v="3"/>
    <x v="226"/>
    <x v="227"/>
    <x v="218"/>
    <x v="6"/>
    <x v="1"/>
  </r>
  <r>
    <x v="230"/>
    <x v="216"/>
    <x v="4"/>
    <x v="1"/>
    <x v="1"/>
    <x v="218"/>
    <x v="156"/>
    <x v="149"/>
    <x v="2"/>
    <x v="1"/>
    <x v="18"/>
    <x v="84"/>
    <x v="1"/>
    <x v="11"/>
    <x v="2"/>
    <x v="3"/>
    <x v="11"/>
    <x v="107"/>
    <x v="4"/>
    <x v="4"/>
    <x v="3"/>
    <x v="227"/>
    <x v="228"/>
    <x v="219"/>
    <x v="3"/>
    <x v="0"/>
  </r>
  <r>
    <x v="231"/>
    <x v="217"/>
    <x v="1"/>
    <x v="0"/>
    <x v="0"/>
    <x v="219"/>
    <x v="157"/>
    <x v="150"/>
    <x v="0"/>
    <x v="1"/>
    <x v="16"/>
    <x v="16"/>
    <x v="1"/>
    <x v="3"/>
    <x v="2"/>
    <x v="3"/>
    <x v="3"/>
    <x v="195"/>
    <x v="0"/>
    <x v="0"/>
    <x v="0"/>
    <x v="228"/>
    <x v="229"/>
    <x v="220"/>
    <x v="1"/>
    <x v="0"/>
  </r>
  <r>
    <x v="232"/>
    <x v="218"/>
    <x v="3"/>
    <x v="10"/>
    <x v="10"/>
    <x v="220"/>
    <x v="158"/>
    <x v="151"/>
    <x v="0"/>
    <x v="1"/>
    <x v="22"/>
    <x v="53"/>
    <x v="3"/>
    <x v="4"/>
    <x v="0"/>
    <x v="4"/>
    <x v="4"/>
    <x v="196"/>
    <x v="0"/>
    <x v="0"/>
    <x v="0"/>
    <x v="229"/>
    <x v="230"/>
    <x v="221"/>
    <x v="7"/>
    <x v="2"/>
  </r>
  <r>
    <x v="233"/>
    <x v="219"/>
    <x v="2"/>
    <x v="10"/>
    <x v="10"/>
    <x v="64"/>
    <x v="47"/>
    <x v="47"/>
    <x v="0"/>
    <x v="1"/>
    <x v="19"/>
    <x v="39"/>
    <x v="0"/>
    <x v="19"/>
    <x v="0"/>
    <x v="12"/>
    <x v="19"/>
    <x v="197"/>
    <x v="3"/>
    <x v="3"/>
    <x v="2"/>
    <x v="230"/>
    <x v="231"/>
    <x v="222"/>
    <x v="7"/>
    <x v="0"/>
  </r>
  <r>
    <x v="234"/>
    <x v="220"/>
    <x v="0"/>
    <x v="6"/>
    <x v="6"/>
    <x v="221"/>
    <x v="65"/>
    <x v="65"/>
    <x v="1"/>
    <x v="1"/>
    <x v="18"/>
    <x v="44"/>
    <x v="1"/>
    <x v="28"/>
    <x v="0"/>
    <x v="12"/>
    <x v="28"/>
    <x v="198"/>
    <x v="0"/>
    <x v="0"/>
    <x v="0"/>
    <x v="231"/>
    <x v="232"/>
    <x v="223"/>
    <x v="2"/>
    <x v="0"/>
  </r>
  <r>
    <x v="235"/>
    <x v="221"/>
    <x v="1"/>
    <x v="4"/>
    <x v="4"/>
    <x v="222"/>
    <x v="159"/>
    <x v="152"/>
    <x v="1"/>
    <x v="1"/>
    <x v="38"/>
    <x v="85"/>
    <x v="3"/>
    <x v="25"/>
    <x v="2"/>
    <x v="13"/>
    <x v="25"/>
    <x v="199"/>
    <x v="0"/>
    <x v="0"/>
    <x v="0"/>
    <x v="232"/>
    <x v="233"/>
    <x v="224"/>
    <x v="4"/>
    <x v="0"/>
  </r>
  <r>
    <x v="236"/>
    <x v="222"/>
    <x v="4"/>
    <x v="1"/>
    <x v="1"/>
    <x v="223"/>
    <x v="160"/>
    <x v="153"/>
    <x v="1"/>
    <x v="1"/>
    <x v="1"/>
    <x v="1"/>
    <x v="1"/>
    <x v="41"/>
    <x v="2"/>
    <x v="8"/>
    <x v="41"/>
    <x v="200"/>
    <x v="3"/>
    <x v="5"/>
    <x v="2"/>
    <x v="233"/>
    <x v="234"/>
    <x v="225"/>
    <x v="7"/>
    <x v="2"/>
  </r>
  <r>
    <x v="237"/>
    <x v="223"/>
    <x v="1"/>
    <x v="4"/>
    <x v="4"/>
    <x v="224"/>
    <x v="75"/>
    <x v="75"/>
    <x v="0"/>
    <x v="1"/>
    <x v="2"/>
    <x v="52"/>
    <x v="2"/>
    <x v="64"/>
    <x v="1"/>
    <x v="11"/>
    <x v="64"/>
    <x v="112"/>
    <x v="0"/>
    <x v="0"/>
    <x v="0"/>
    <x v="234"/>
    <x v="235"/>
    <x v="226"/>
    <x v="7"/>
    <x v="1"/>
  </r>
  <r>
    <x v="238"/>
    <x v="224"/>
    <x v="3"/>
    <x v="11"/>
    <x v="11"/>
    <x v="225"/>
    <x v="133"/>
    <x v="130"/>
    <x v="0"/>
    <x v="1"/>
    <x v="0"/>
    <x v="0"/>
    <x v="0"/>
    <x v="8"/>
    <x v="0"/>
    <x v="7"/>
    <x v="8"/>
    <x v="201"/>
    <x v="0"/>
    <x v="2"/>
    <x v="1"/>
    <x v="235"/>
    <x v="236"/>
    <x v="227"/>
    <x v="3"/>
    <x v="1"/>
  </r>
  <r>
    <x v="239"/>
    <x v="225"/>
    <x v="0"/>
    <x v="11"/>
    <x v="11"/>
    <x v="226"/>
    <x v="7"/>
    <x v="7"/>
    <x v="2"/>
    <x v="1"/>
    <x v="6"/>
    <x v="6"/>
    <x v="0"/>
    <x v="65"/>
    <x v="0"/>
    <x v="10"/>
    <x v="65"/>
    <x v="202"/>
    <x v="1"/>
    <x v="0"/>
    <x v="0"/>
    <x v="236"/>
    <x v="237"/>
    <x v="228"/>
    <x v="1"/>
    <x v="2"/>
  </r>
  <r>
    <x v="240"/>
    <x v="27"/>
    <x v="4"/>
    <x v="8"/>
    <x v="8"/>
    <x v="227"/>
    <x v="58"/>
    <x v="58"/>
    <x v="2"/>
    <x v="0"/>
    <x v="26"/>
    <x v="46"/>
    <x v="3"/>
    <x v="8"/>
    <x v="0"/>
    <x v="7"/>
    <x v="8"/>
    <x v="8"/>
    <x v="4"/>
    <x v="0"/>
    <x v="0"/>
    <x v="237"/>
    <x v="238"/>
    <x v="229"/>
    <x v="6"/>
    <x v="0"/>
  </r>
  <r>
    <x v="241"/>
    <x v="214"/>
    <x v="2"/>
    <x v="5"/>
    <x v="5"/>
    <x v="228"/>
    <x v="161"/>
    <x v="154"/>
    <x v="1"/>
    <x v="0"/>
    <x v="2"/>
    <x v="52"/>
    <x v="2"/>
    <x v="0"/>
    <x v="0"/>
    <x v="0"/>
    <x v="0"/>
    <x v="203"/>
    <x v="1"/>
    <x v="4"/>
    <x v="3"/>
    <x v="238"/>
    <x v="239"/>
    <x v="230"/>
    <x v="7"/>
    <x v="0"/>
  </r>
  <r>
    <x v="242"/>
    <x v="226"/>
    <x v="2"/>
    <x v="7"/>
    <x v="7"/>
    <x v="229"/>
    <x v="162"/>
    <x v="155"/>
    <x v="1"/>
    <x v="0"/>
    <x v="1"/>
    <x v="18"/>
    <x v="1"/>
    <x v="64"/>
    <x v="1"/>
    <x v="11"/>
    <x v="64"/>
    <x v="79"/>
    <x v="2"/>
    <x v="5"/>
    <x v="2"/>
    <x v="239"/>
    <x v="240"/>
    <x v="231"/>
    <x v="3"/>
    <x v="1"/>
  </r>
  <r>
    <x v="243"/>
    <x v="227"/>
    <x v="2"/>
    <x v="1"/>
    <x v="1"/>
    <x v="230"/>
    <x v="2"/>
    <x v="2"/>
    <x v="2"/>
    <x v="1"/>
    <x v="2"/>
    <x v="2"/>
    <x v="2"/>
    <x v="18"/>
    <x v="1"/>
    <x v="11"/>
    <x v="18"/>
    <x v="19"/>
    <x v="1"/>
    <x v="6"/>
    <x v="3"/>
    <x v="240"/>
    <x v="241"/>
    <x v="232"/>
    <x v="5"/>
    <x v="1"/>
  </r>
  <r>
    <x v="244"/>
    <x v="228"/>
    <x v="2"/>
    <x v="2"/>
    <x v="2"/>
    <x v="231"/>
    <x v="163"/>
    <x v="127"/>
    <x v="0"/>
    <x v="1"/>
    <x v="35"/>
    <x v="50"/>
    <x v="2"/>
    <x v="63"/>
    <x v="0"/>
    <x v="7"/>
    <x v="63"/>
    <x v="204"/>
    <x v="2"/>
    <x v="5"/>
    <x v="2"/>
    <x v="241"/>
    <x v="242"/>
    <x v="233"/>
    <x v="7"/>
    <x v="1"/>
  </r>
  <r>
    <x v="245"/>
    <x v="229"/>
    <x v="0"/>
    <x v="8"/>
    <x v="8"/>
    <x v="232"/>
    <x v="164"/>
    <x v="156"/>
    <x v="1"/>
    <x v="1"/>
    <x v="27"/>
    <x v="86"/>
    <x v="1"/>
    <x v="60"/>
    <x v="0"/>
    <x v="12"/>
    <x v="60"/>
    <x v="205"/>
    <x v="2"/>
    <x v="4"/>
    <x v="3"/>
    <x v="242"/>
    <x v="243"/>
    <x v="234"/>
    <x v="2"/>
    <x v="0"/>
  </r>
  <r>
    <x v="246"/>
    <x v="230"/>
    <x v="2"/>
    <x v="5"/>
    <x v="5"/>
    <x v="233"/>
    <x v="113"/>
    <x v="111"/>
    <x v="1"/>
    <x v="0"/>
    <x v="15"/>
    <x v="34"/>
    <x v="1"/>
    <x v="47"/>
    <x v="2"/>
    <x v="13"/>
    <x v="47"/>
    <x v="206"/>
    <x v="4"/>
    <x v="4"/>
    <x v="3"/>
    <x v="243"/>
    <x v="244"/>
    <x v="235"/>
    <x v="1"/>
    <x v="2"/>
  </r>
  <r>
    <x v="247"/>
    <x v="231"/>
    <x v="0"/>
    <x v="7"/>
    <x v="7"/>
    <x v="234"/>
    <x v="165"/>
    <x v="157"/>
    <x v="0"/>
    <x v="1"/>
    <x v="32"/>
    <x v="87"/>
    <x v="0"/>
    <x v="6"/>
    <x v="0"/>
    <x v="0"/>
    <x v="6"/>
    <x v="207"/>
    <x v="0"/>
    <x v="6"/>
    <x v="3"/>
    <x v="244"/>
    <x v="245"/>
    <x v="236"/>
    <x v="5"/>
    <x v="2"/>
  </r>
  <r>
    <x v="248"/>
    <x v="232"/>
    <x v="2"/>
    <x v="1"/>
    <x v="1"/>
    <x v="199"/>
    <x v="1"/>
    <x v="1"/>
    <x v="1"/>
    <x v="1"/>
    <x v="1"/>
    <x v="1"/>
    <x v="1"/>
    <x v="43"/>
    <x v="1"/>
    <x v="9"/>
    <x v="43"/>
    <x v="208"/>
    <x v="4"/>
    <x v="1"/>
    <x v="1"/>
    <x v="245"/>
    <x v="246"/>
    <x v="86"/>
    <x v="4"/>
    <x v="1"/>
  </r>
  <r>
    <x v="249"/>
    <x v="233"/>
    <x v="1"/>
    <x v="4"/>
    <x v="4"/>
    <x v="235"/>
    <x v="166"/>
    <x v="115"/>
    <x v="0"/>
    <x v="1"/>
    <x v="9"/>
    <x v="81"/>
    <x v="2"/>
    <x v="25"/>
    <x v="2"/>
    <x v="13"/>
    <x v="25"/>
    <x v="209"/>
    <x v="4"/>
    <x v="6"/>
    <x v="3"/>
    <x v="246"/>
    <x v="247"/>
    <x v="237"/>
    <x v="5"/>
    <x v="2"/>
  </r>
  <r>
    <x v="250"/>
    <x v="234"/>
    <x v="4"/>
    <x v="7"/>
    <x v="7"/>
    <x v="236"/>
    <x v="58"/>
    <x v="58"/>
    <x v="2"/>
    <x v="0"/>
    <x v="26"/>
    <x v="46"/>
    <x v="3"/>
    <x v="49"/>
    <x v="2"/>
    <x v="5"/>
    <x v="49"/>
    <x v="210"/>
    <x v="3"/>
    <x v="0"/>
    <x v="0"/>
    <x v="247"/>
    <x v="248"/>
    <x v="238"/>
    <x v="7"/>
    <x v="0"/>
  </r>
  <r>
    <x v="251"/>
    <x v="235"/>
    <x v="1"/>
    <x v="6"/>
    <x v="6"/>
    <x v="237"/>
    <x v="167"/>
    <x v="158"/>
    <x v="0"/>
    <x v="1"/>
    <x v="32"/>
    <x v="87"/>
    <x v="0"/>
    <x v="2"/>
    <x v="1"/>
    <x v="2"/>
    <x v="2"/>
    <x v="211"/>
    <x v="2"/>
    <x v="0"/>
    <x v="0"/>
    <x v="248"/>
    <x v="249"/>
    <x v="40"/>
    <x v="0"/>
    <x v="1"/>
  </r>
  <r>
    <x v="252"/>
    <x v="236"/>
    <x v="4"/>
    <x v="8"/>
    <x v="8"/>
    <x v="238"/>
    <x v="168"/>
    <x v="159"/>
    <x v="1"/>
    <x v="1"/>
    <x v="24"/>
    <x v="60"/>
    <x v="2"/>
    <x v="18"/>
    <x v="1"/>
    <x v="11"/>
    <x v="18"/>
    <x v="212"/>
    <x v="4"/>
    <x v="3"/>
    <x v="2"/>
    <x v="249"/>
    <x v="250"/>
    <x v="239"/>
    <x v="7"/>
    <x v="1"/>
  </r>
  <r>
    <x v="253"/>
    <x v="111"/>
    <x v="1"/>
    <x v="8"/>
    <x v="8"/>
    <x v="110"/>
    <x v="119"/>
    <x v="117"/>
    <x v="2"/>
    <x v="1"/>
    <x v="17"/>
    <x v="72"/>
    <x v="0"/>
    <x v="55"/>
    <x v="2"/>
    <x v="8"/>
    <x v="55"/>
    <x v="213"/>
    <x v="0"/>
    <x v="5"/>
    <x v="2"/>
    <x v="250"/>
    <x v="251"/>
    <x v="240"/>
    <x v="2"/>
    <x v="0"/>
  </r>
  <r>
    <x v="254"/>
    <x v="237"/>
    <x v="2"/>
    <x v="5"/>
    <x v="5"/>
    <x v="239"/>
    <x v="13"/>
    <x v="13"/>
    <x v="2"/>
    <x v="0"/>
    <x v="11"/>
    <x v="11"/>
    <x v="0"/>
    <x v="29"/>
    <x v="0"/>
    <x v="12"/>
    <x v="29"/>
    <x v="16"/>
    <x v="2"/>
    <x v="0"/>
    <x v="0"/>
    <x v="251"/>
    <x v="252"/>
    <x v="241"/>
    <x v="4"/>
    <x v="1"/>
  </r>
  <r>
    <x v="255"/>
    <x v="238"/>
    <x v="3"/>
    <x v="9"/>
    <x v="9"/>
    <x v="240"/>
    <x v="169"/>
    <x v="160"/>
    <x v="2"/>
    <x v="1"/>
    <x v="35"/>
    <x v="50"/>
    <x v="2"/>
    <x v="16"/>
    <x v="1"/>
    <x v="1"/>
    <x v="16"/>
    <x v="214"/>
    <x v="2"/>
    <x v="4"/>
    <x v="3"/>
    <x v="252"/>
    <x v="253"/>
    <x v="242"/>
    <x v="7"/>
    <x v="1"/>
  </r>
  <r>
    <x v="256"/>
    <x v="239"/>
    <x v="2"/>
    <x v="5"/>
    <x v="5"/>
    <x v="241"/>
    <x v="3"/>
    <x v="3"/>
    <x v="1"/>
    <x v="1"/>
    <x v="0"/>
    <x v="0"/>
    <x v="0"/>
    <x v="12"/>
    <x v="0"/>
    <x v="7"/>
    <x v="12"/>
    <x v="215"/>
    <x v="3"/>
    <x v="6"/>
    <x v="3"/>
    <x v="253"/>
    <x v="254"/>
    <x v="243"/>
    <x v="6"/>
    <x v="0"/>
  </r>
  <r>
    <x v="257"/>
    <x v="240"/>
    <x v="2"/>
    <x v="4"/>
    <x v="4"/>
    <x v="242"/>
    <x v="13"/>
    <x v="13"/>
    <x v="2"/>
    <x v="0"/>
    <x v="11"/>
    <x v="11"/>
    <x v="0"/>
    <x v="59"/>
    <x v="1"/>
    <x v="1"/>
    <x v="59"/>
    <x v="216"/>
    <x v="3"/>
    <x v="2"/>
    <x v="1"/>
    <x v="254"/>
    <x v="255"/>
    <x v="244"/>
    <x v="6"/>
    <x v="1"/>
  </r>
  <r>
    <x v="258"/>
    <x v="241"/>
    <x v="1"/>
    <x v="3"/>
    <x v="3"/>
    <x v="243"/>
    <x v="170"/>
    <x v="161"/>
    <x v="2"/>
    <x v="1"/>
    <x v="15"/>
    <x v="77"/>
    <x v="1"/>
    <x v="64"/>
    <x v="1"/>
    <x v="11"/>
    <x v="64"/>
    <x v="217"/>
    <x v="1"/>
    <x v="1"/>
    <x v="1"/>
    <x v="255"/>
    <x v="256"/>
    <x v="245"/>
    <x v="0"/>
    <x v="0"/>
  </r>
  <r>
    <x v="259"/>
    <x v="45"/>
    <x v="1"/>
    <x v="4"/>
    <x v="4"/>
    <x v="244"/>
    <x v="171"/>
    <x v="162"/>
    <x v="2"/>
    <x v="1"/>
    <x v="2"/>
    <x v="52"/>
    <x v="2"/>
    <x v="24"/>
    <x v="0"/>
    <x v="4"/>
    <x v="24"/>
    <x v="15"/>
    <x v="0"/>
    <x v="0"/>
    <x v="0"/>
    <x v="99"/>
    <x v="99"/>
    <x v="246"/>
    <x v="4"/>
    <x v="0"/>
  </r>
  <r>
    <x v="260"/>
    <x v="242"/>
    <x v="3"/>
    <x v="5"/>
    <x v="5"/>
    <x v="245"/>
    <x v="95"/>
    <x v="93"/>
    <x v="2"/>
    <x v="1"/>
    <x v="16"/>
    <x v="31"/>
    <x v="1"/>
    <x v="3"/>
    <x v="2"/>
    <x v="3"/>
    <x v="3"/>
    <x v="46"/>
    <x v="4"/>
    <x v="0"/>
    <x v="0"/>
    <x v="256"/>
    <x v="257"/>
    <x v="247"/>
    <x v="5"/>
    <x v="2"/>
  </r>
  <r>
    <x v="261"/>
    <x v="243"/>
    <x v="4"/>
    <x v="5"/>
    <x v="5"/>
    <x v="246"/>
    <x v="7"/>
    <x v="7"/>
    <x v="2"/>
    <x v="1"/>
    <x v="6"/>
    <x v="6"/>
    <x v="0"/>
    <x v="15"/>
    <x v="0"/>
    <x v="10"/>
    <x v="15"/>
    <x v="97"/>
    <x v="4"/>
    <x v="2"/>
    <x v="1"/>
    <x v="257"/>
    <x v="258"/>
    <x v="248"/>
    <x v="7"/>
    <x v="0"/>
  </r>
  <r>
    <x v="262"/>
    <x v="0"/>
    <x v="0"/>
    <x v="0"/>
    <x v="0"/>
    <x v="247"/>
    <x v="172"/>
    <x v="151"/>
    <x v="0"/>
    <x v="1"/>
    <x v="6"/>
    <x v="62"/>
    <x v="0"/>
    <x v="8"/>
    <x v="0"/>
    <x v="7"/>
    <x v="8"/>
    <x v="218"/>
    <x v="4"/>
    <x v="2"/>
    <x v="1"/>
    <x v="258"/>
    <x v="259"/>
    <x v="249"/>
    <x v="7"/>
    <x v="1"/>
  </r>
  <r>
    <x v="263"/>
    <x v="244"/>
    <x v="1"/>
    <x v="9"/>
    <x v="9"/>
    <x v="248"/>
    <x v="173"/>
    <x v="163"/>
    <x v="2"/>
    <x v="1"/>
    <x v="18"/>
    <x v="84"/>
    <x v="1"/>
    <x v="45"/>
    <x v="1"/>
    <x v="2"/>
    <x v="45"/>
    <x v="219"/>
    <x v="4"/>
    <x v="2"/>
    <x v="1"/>
    <x v="259"/>
    <x v="260"/>
    <x v="250"/>
    <x v="4"/>
    <x v="1"/>
  </r>
  <r>
    <x v="264"/>
    <x v="245"/>
    <x v="0"/>
    <x v="8"/>
    <x v="8"/>
    <x v="249"/>
    <x v="174"/>
    <x v="164"/>
    <x v="1"/>
    <x v="1"/>
    <x v="34"/>
    <x v="48"/>
    <x v="3"/>
    <x v="52"/>
    <x v="0"/>
    <x v="4"/>
    <x v="52"/>
    <x v="220"/>
    <x v="1"/>
    <x v="1"/>
    <x v="1"/>
    <x v="260"/>
    <x v="261"/>
    <x v="251"/>
    <x v="7"/>
    <x v="2"/>
  </r>
  <r>
    <x v="265"/>
    <x v="246"/>
    <x v="3"/>
    <x v="1"/>
    <x v="1"/>
    <x v="98"/>
    <x v="120"/>
    <x v="118"/>
    <x v="1"/>
    <x v="0"/>
    <x v="19"/>
    <x v="45"/>
    <x v="0"/>
    <x v="4"/>
    <x v="0"/>
    <x v="4"/>
    <x v="4"/>
    <x v="221"/>
    <x v="0"/>
    <x v="6"/>
    <x v="3"/>
    <x v="261"/>
    <x v="262"/>
    <x v="252"/>
    <x v="7"/>
    <x v="2"/>
  </r>
  <r>
    <x v="266"/>
    <x v="247"/>
    <x v="2"/>
    <x v="8"/>
    <x v="8"/>
    <x v="250"/>
    <x v="175"/>
    <x v="165"/>
    <x v="2"/>
    <x v="1"/>
    <x v="10"/>
    <x v="78"/>
    <x v="0"/>
    <x v="47"/>
    <x v="2"/>
    <x v="13"/>
    <x v="47"/>
    <x v="222"/>
    <x v="1"/>
    <x v="1"/>
    <x v="1"/>
    <x v="262"/>
    <x v="263"/>
    <x v="253"/>
    <x v="5"/>
    <x v="2"/>
  </r>
  <r>
    <x v="267"/>
    <x v="248"/>
    <x v="0"/>
    <x v="7"/>
    <x v="7"/>
    <x v="251"/>
    <x v="65"/>
    <x v="65"/>
    <x v="1"/>
    <x v="1"/>
    <x v="18"/>
    <x v="44"/>
    <x v="1"/>
    <x v="33"/>
    <x v="1"/>
    <x v="11"/>
    <x v="33"/>
    <x v="223"/>
    <x v="2"/>
    <x v="4"/>
    <x v="3"/>
    <x v="263"/>
    <x v="264"/>
    <x v="254"/>
    <x v="6"/>
    <x v="1"/>
  </r>
  <r>
    <x v="268"/>
    <x v="249"/>
    <x v="2"/>
    <x v="2"/>
    <x v="2"/>
    <x v="231"/>
    <x v="143"/>
    <x v="136"/>
    <x v="2"/>
    <x v="1"/>
    <x v="6"/>
    <x v="47"/>
    <x v="0"/>
    <x v="13"/>
    <x v="1"/>
    <x v="2"/>
    <x v="13"/>
    <x v="38"/>
    <x v="4"/>
    <x v="5"/>
    <x v="2"/>
    <x v="264"/>
    <x v="265"/>
    <x v="255"/>
    <x v="5"/>
    <x v="1"/>
  </r>
  <r>
    <x v="269"/>
    <x v="250"/>
    <x v="2"/>
    <x v="3"/>
    <x v="3"/>
    <x v="252"/>
    <x v="106"/>
    <x v="104"/>
    <x v="2"/>
    <x v="1"/>
    <x v="14"/>
    <x v="67"/>
    <x v="3"/>
    <x v="54"/>
    <x v="2"/>
    <x v="8"/>
    <x v="54"/>
    <x v="224"/>
    <x v="3"/>
    <x v="1"/>
    <x v="1"/>
    <x v="265"/>
    <x v="266"/>
    <x v="256"/>
    <x v="2"/>
    <x v="2"/>
  </r>
  <r>
    <x v="270"/>
    <x v="251"/>
    <x v="2"/>
    <x v="9"/>
    <x v="9"/>
    <x v="253"/>
    <x v="176"/>
    <x v="166"/>
    <x v="1"/>
    <x v="1"/>
    <x v="10"/>
    <x v="10"/>
    <x v="0"/>
    <x v="32"/>
    <x v="2"/>
    <x v="13"/>
    <x v="32"/>
    <x v="225"/>
    <x v="1"/>
    <x v="4"/>
    <x v="3"/>
    <x v="266"/>
    <x v="267"/>
    <x v="257"/>
    <x v="1"/>
    <x v="2"/>
  </r>
  <r>
    <x v="271"/>
    <x v="252"/>
    <x v="1"/>
    <x v="7"/>
    <x v="7"/>
    <x v="254"/>
    <x v="107"/>
    <x v="105"/>
    <x v="0"/>
    <x v="1"/>
    <x v="22"/>
    <x v="53"/>
    <x v="3"/>
    <x v="63"/>
    <x v="0"/>
    <x v="7"/>
    <x v="63"/>
    <x v="226"/>
    <x v="2"/>
    <x v="6"/>
    <x v="3"/>
    <x v="267"/>
    <x v="268"/>
    <x v="114"/>
    <x v="0"/>
    <x v="1"/>
  </r>
  <r>
    <x v="272"/>
    <x v="98"/>
    <x v="3"/>
    <x v="1"/>
    <x v="1"/>
    <x v="255"/>
    <x v="115"/>
    <x v="113"/>
    <x v="1"/>
    <x v="1"/>
    <x v="17"/>
    <x v="72"/>
    <x v="0"/>
    <x v="32"/>
    <x v="2"/>
    <x v="13"/>
    <x v="32"/>
    <x v="227"/>
    <x v="0"/>
    <x v="5"/>
    <x v="2"/>
    <x v="268"/>
    <x v="269"/>
    <x v="258"/>
    <x v="6"/>
    <x v="0"/>
  </r>
  <r>
    <x v="273"/>
    <x v="253"/>
    <x v="0"/>
    <x v="3"/>
    <x v="3"/>
    <x v="256"/>
    <x v="171"/>
    <x v="162"/>
    <x v="2"/>
    <x v="1"/>
    <x v="2"/>
    <x v="52"/>
    <x v="2"/>
    <x v="57"/>
    <x v="0"/>
    <x v="4"/>
    <x v="57"/>
    <x v="228"/>
    <x v="3"/>
    <x v="3"/>
    <x v="2"/>
    <x v="269"/>
    <x v="270"/>
    <x v="259"/>
    <x v="7"/>
    <x v="0"/>
  </r>
  <r>
    <x v="274"/>
    <x v="126"/>
    <x v="4"/>
    <x v="11"/>
    <x v="11"/>
    <x v="257"/>
    <x v="0"/>
    <x v="0"/>
    <x v="0"/>
    <x v="0"/>
    <x v="0"/>
    <x v="0"/>
    <x v="0"/>
    <x v="45"/>
    <x v="1"/>
    <x v="2"/>
    <x v="45"/>
    <x v="17"/>
    <x v="3"/>
    <x v="0"/>
    <x v="0"/>
    <x v="270"/>
    <x v="271"/>
    <x v="260"/>
    <x v="7"/>
    <x v="1"/>
  </r>
  <r>
    <x v="275"/>
    <x v="13"/>
    <x v="4"/>
    <x v="7"/>
    <x v="7"/>
    <x v="258"/>
    <x v="42"/>
    <x v="42"/>
    <x v="2"/>
    <x v="1"/>
    <x v="30"/>
    <x v="35"/>
    <x v="2"/>
    <x v="3"/>
    <x v="2"/>
    <x v="3"/>
    <x v="3"/>
    <x v="108"/>
    <x v="1"/>
    <x v="2"/>
    <x v="1"/>
    <x v="271"/>
    <x v="272"/>
    <x v="261"/>
    <x v="5"/>
    <x v="2"/>
  </r>
  <r>
    <x v="276"/>
    <x v="254"/>
    <x v="0"/>
    <x v="5"/>
    <x v="5"/>
    <x v="259"/>
    <x v="177"/>
    <x v="167"/>
    <x v="2"/>
    <x v="1"/>
    <x v="9"/>
    <x v="9"/>
    <x v="2"/>
    <x v="46"/>
    <x v="2"/>
    <x v="13"/>
    <x v="46"/>
    <x v="106"/>
    <x v="2"/>
    <x v="0"/>
    <x v="0"/>
    <x v="272"/>
    <x v="273"/>
    <x v="262"/>
    <x v="5"/>
    <x v="1"/>
  </r>
  <r>
    <x v="277"/>
    <x v="255"/>
    <x v="3"/>
    <x v="7"/>
    <x v="7"/>
    <x v="260"/>
    <x v="178"/>
    <x v="168"/>
    <x v="0"/>
    <x v="0"/>
    <x v="4"/>
    <x v="41"/>
    <x v="0"/>
    <x v="11"/>
    <x v="2"/>
    <x v="3"/>
    <x v="11"/>
    <x v="127"/>
    <x v="1"/>
    <x v="6"/>
    <x v="3"/>
    <x v="273"/>
    <x v="274"/>
    <x v="263"/>
    <x v="3"/>
    <x v="2"/>
  </r>
  <r>
    <x v="278"/>
    <x v="256"/>
    <x v="2"/>
    <x v="5"/>
    <x v="5"/>
    <x v="261"/>
    <x v="140"/>
    <x v="134"/>
    <x v="2"/>
    <x v="1"/>
    <x v="16"/>
    <x v="16"/>
    <x v="1"/>
    <x v="48"/>
    <x v="2"/>
    <x v="6"/>
    <x v="48"/>
    <x v="229"/>
    <x v="0"/>
    <x v="2"/>
    <x v="1"/>
    <x v="274"/>
    <x v="275"/>
    <x v="264"/>
    <x v="0"/>
    <x v="0"/>
  </r>
  <r>
    <x v="279"/>
    <x v="257"/>
    <x v="0"/>
    <x v="3"/>
    <x v="3"/>
    <x v="262"/>
    <x v="21"/>
    <x v="21"/>
    <x v="2"/>
    <x v="1"/>
    <x v="18"/>
    <x v="19"/>
    <x v="1"/>
    <x v="22"/>
    <x v="1"/>
    <x v="2"/>
    <x v="22"/>
    <x v="230"/>
    <x v="0"/>
    <x v="0"/>
    <x v="0"/>
    <x v="275"/>
    <x v="276"/>
    <x v="265"/>
    <x v="6"/>
    <x v="1"/>
  </r>
  <r>
    <x v="280"/>
    <x v="258"/>
    <x v="3"/>
    <x v="4"/>
    <x v="4"/>
    <x v="100"/>
    <x v="179"/>
    <x v="169"/>
    <x v="2"/>
    <x v="1"/>
    <x v="3"/>
    <x v="43"/>
    <x v="3"/>
    <x v="53"/>
    <x v="2"/>
    <x v="3"/>
    <x v="53"/>
    <x v="83"/>
    <x v="2"/>
    <x v="3"/>
    <x v="2"/>
    <x v="276"/>
    <x v="277"/>
    <x v="266"/>
    <x v="6"/>
    <x v="1"/>
  </r>
  <r>
    <x v="281"/>
    <x v="259"/>
    <x v="0"/>
    <x v="9"/>
    <x v="9"/>
    <x v="263"/>
    <x v="39"/>
    <x v="39"/>
    <x v="2"/>
    <x v="1"/>
    <x v="8"/>
    <x v="8"/>
    <x v="0"/>
    <x v="39"/>
    <x v="0"/>
    <x v="12"/>
    <x v="39"/>
    <x v="65"/>
    <x v="1"/>
    <x v="0"/>
    <x v="0"/>
    <x v="277"/>
    <x v="278"/>
    <x v="267"/>
    <x v="0"/>
    <x v="2"/>
  </r>
  <r>
    <x v="282"/>
    <x v="260"/>
    <x v="3"/>
    <x v="5"/>
    <x v="5"/>
    <x v="264"/>
    <x v="180"/>
    <x v="170"/>
    <x v="2"/>
    <x v="1"/>
    <x v="26"/>
    <x v="88"/>
    <x v="3"/>
    <x v="62"/>
    <x v="0"/>
    <x v="0"/>
    <x v="62"/>
    <x v="231"/>
    <x v="0"/>
    <x v="3"/>
    <x v="2"/>
    <x v="278"/>
    <x v="279"/>
    <x v="268"/>
    <x v="0"/>
    <x v="0"/>
  </r>
  <r>
    <x v="283"/>
    <x v="261"/>
    <x v="4"/>
    <x v="8"/>
    <x v="8"/>
    <x v="265"/>
    <x v="29"/>
    <x v="29"/>
    <x v="2"/>
    <x v="1"/>
    <x v="22"/>
    <x v="89"/>
    <x v="3"/>
    <x v="1"/>
    <x v="1"/>
    <x v="1"/>
    <x v="1"/>
    <x v="111"/>
    <x v="3"/>
    <x v="2"/>
    <x v="1"/>
    <x v="279"/>
    <x v="280"/>
    <x v="269"/>
    <x v="5"/>
    <x v="1"/>
  </r>
  <r>
    <x v="284"/>
    <x v="262"/>
    <x v="3"/>
    <x v="0"/>
    <x v="0"/>
    <x v="186"/>
    <x v="37"/>
    <x v="37"/>
    <x v="0"/>
    <x v="0"/>
    <x v="27"/>
    <x v="32"/>
    <x v="1"/>
    <x v="45"/>
    <x v="1"/>
    <x v="2"/>
    <x v="45"/>
    <x v="232"/>
    <x v="2"/>
    <x v="1"/>
    <x v="1"/>
    <x v="280"/>
    <x v="281"/>
    <x v="270"/>
    <x v="0"/>
    <x v="1"/>
  </r>
  <r>
    <x v="285"/>
    <x v="263"/>
    <x v="4"/>
    <x v="5"/>
    <x v="5"/>
    <x v="266"/>
    <x v="57"/>
    <x v="57"/>
    <x v="2"/>
    <x v="1"/>
    <x v="19"/>
    <x v="45"/>
    <x v="0"/>
    <x v="17"/>
    <x v="1"/>
    <x v="9"/>
    <x v="17"/>
    <x v="233"/>
    <x v="0"/>
    <x v="2"/>
    <x v="1"/>
    <x v="281"/>
    <x v="282"/>
    <x v="271"/>
    <x v="7"/>
    <x v="1"/>
  </r>
  <r>
    <x v="286"/>
    <x v="264"/>
    <x v="3"/>
    <x v="11"/>
    <x v="11"/>
    <x v="267"/>
    <x v="93"/>
    <x v="19"/>
    <x v="0"/>
    <x v="1"/>
    <x v="24"/>
    <x v="60"/>
    <x v="2"/>
    <x v="63"/>
    <x v="0"/>
    <x v="7"/>
    <x v="63"/>
    <x v="234"/>
    <x v="2"/>
    <x v="2"/>
    <x v="1"/>
    <x v="282"/>
    <x v="283"/>
    <x v="272"/>
    <x v="5"/>
    <x v="1"/>
  </r>
  <r>
    <x v="287"/>
    <x v="265"/>
    <x v="3"/>
    <x v="10"/>
    <x v="10"/>
    <x v="268"/>
    <x v="181"/>
    <x v="171"/>
    <x v="2"/>
    <x v="1"/>
    <x v="12"/>
    <x v="12"/>
    <x v="2"/>
    <x v="23"/>
    <x v="2"/>
    <x v="6"/>
    <x v="23"/>
    <x v="120"/>
    <x v="0"/>
    <x v="3"/>
    <x v="2"/>
    <x v="283"/>
    <x v="284"/>
    <x v="273"/>
    <x v="5"/>
    <x v="1"/>
  </r>
  <r>
    <x v="288"/>
    <x v="266"/>
    <x v="1"/>
    <x v="10"/>
    <x v="10"/>
    <x v="269"/>
    <x v="116"/>
    <x v="114"/>
    <x v="0"/>
    <x v="1"/>
    <x v="10"/>
    <x v="10"/>
    <x v="0"/>
    <x v="24"/>
    <x v="0"/>
    <x v="4"/>
    <x v="24"/>
    <x v="15"/>
    <x v="0"/>
    <x v="0"/>
    <x v="0"/>
    <x v="284"/>
    <x v="285"/>
    <x v="274"/>
    <x v="0"/>
    <x v="0"/>
  </r>
  <r>
    <x v="289"/>
    <x v="267"/>
    <x v="1"/>
    <x v="2"/>
    <x v="2"/>
    <x v="201"/>
    <x v="102"/>
    <x v="100"/>
    <x v="2"/>
    <x v="1"/>
    <x v="37"/>
    <x v="64"/>
    <x v="1"/>
    <x v="41"/>
    <x v="2"/>
    <x v="8"/>
    <x v="41"/>
    <x v="235"/>
    <x v="2"/>
    <x v="0"/>
    <x v="0"/>
    <x v="285"/>
    <x v="286"/>
    <x v="275"/>
    <x v="6"/>
    <x v="0"/>
  </r>
  <r>
    <x v="290"/>
    <x v="268"/>
    <x v="4"/>
    <x v="2"/>
    <x v="2"/>
    <x v="270"/>
    <x v="177"/>
    <x v="167"/>
    <x v="2"/>
    <x v="1"/>
    <x v="9"/>
    <x v="9"/>
    <x v="2"/>
    <x v="8"/>
    <x v="0"/>
    <x v="7"/>
    <x v="8"/>
    <x v="236"/>
    <x v="2"/>
    <x v="0"/>
    <x v="0"/>
    <x v="286"/>
    <x v="287"/>
    <x v="276"/>
    <x v="5"/>
    <x v="1"/>
  </r>
  <r>
    <x v="291"/>
    <x v="269"/>
    <x v="2"/>
    <x v="8"/>
    <x v="8"/>
    <x v="271"/>
    <x v="28"/>
    <x v="28"/>
    <x v="2"/>
    <x v="1"/>
    <x v="21"/>
    <x v="23"/>
    <x v="1"/>
    <x v="2"/>
    <x v="1"/>
    <x v="2"/>
    <x v="2"/>
    <x v="237"/>
    <x v="3"/>
    <x v="0"/>
    <x v="0"/>
    <x v="287"/>
    <x v="288"/>
    <x v="277"/>
    <x v="2"/>
    <x v="0"/>
  </r>
  <r>
    <x v="292"/>
    <x v="89"/>
    <x v="4"/>
    <x v="11"/>
    <x v="11"/>
    <x v="257"/>
    <x v="41"/>
    <x v="41"/>
    <x v="1"/>
    <x v="0"/>
    <x v="29"/>
    <x v="16"/>
    <x v="1"/>
    <x v="39"/>
    <x v="0"/>
    <x v="12"/>
    <x v="39"/>
    <x v="238"/>
    <x v="3"/>
    <x v="4"/>
    <x v="3"/>
    <x v="288"/>
    <x v="289"/>
    <x v="278"/>
    <x v="0"/>
    <x v="2"/>
  </r>
  <r>
    <x v="293"/>
    <x v="270"/>
    <x v="3"/>
    <x v="7"/>
    <x v="7"/>
    <x v="272"/>
    <x v="127"/>
    <x v="124"/>
    <x v="2"/>
    <x v="0"/>
    <x v="36"/>
    <x v="75"/>
    <x v="0"/>
    <x v="40"/>
    <x v="0"/>
    <x v="10"/>
    <x v="40"/>
    <x v="52"/>
    <x v="0"/>
    <x v="0"/>
    <x v="0"/>
    <x v="289"/>
    <x v="290"/>
    <x v="279"/>
    <x v="3"/>
    <x v="0"/>
  </r>
  <r>
    <x v="294"/>
    <x v="271"/>
    <x v="1"/>
    <x v="7"/>
    <x v="7"/>
    <x v="273"/>
    <x v="88"/>
    <x v="87"/>
    <x v="2"/>
    <x v="1"/>
    <x v="36"/>
    <x v="59"/>
    <x v="0"/>
    <x v="47"/>
    <x v="2"/>
    <x v="13"/>
    <x v="47"/>
    <x v="239"/>
    <x v="0"/>
    <x v="5"/>
    <x v="2"/>
    <x v="290"/>
    <x v="291"/>
    <x v="280"/>
    <x v="2"/>
    <x v="0"/>
  </r>
  <r>
    <x v="295"/>
    <x v="272"/>
    <x v="2"/>
    <x v="5"/>
    <x v="5"/>
    <x v="274"/>
    <x v="154"/>
    <x v="147"/>
    <x v="2"/>
    <x v="1"/>
    <x v="38"/>
    <x v="70"/>
    <x v="3"/>
    <x v="19"/>
    <x v="0"/>
    <x v="12"/>
    <x v="19"/>
    <x v="240"/>
    <x v="3"/>
    <x v="2"/>
    <x v="1"/>
    <x v="291"/>
    <x v="292"/>
    <x v="281"/>
    <x v="3"/>
    <x v="0"/>
  </r>
  <r>
    <x v="296"/>
    <x v="273"/>
    <x v="1"/>
    <x v="6"/>
    <x v="6"/>
    <x v="275"/>
    <x v="35"/>
    <x v="172"/>
    <x v="2"/>
    <x v="1"/>
    <x v="26"/>
    <x v="30"/>
    <x v="3"/>
    <x v="40"/>
    <x v="0"/>
    <x v="10"/>
    <x v="40"/>
    <x v="241"/>
    <x v="0"/>
    <x v="5"/>
    <x v="2"/>
    <x v="292"/>
    <x v="293"/>
    <x v="282"/>
    <x v="0"/>
    <x v="0"/>
  </r>
  <r>
    <x v="297"/>
    <x v="274"/>
    <x v="3"/>
    <x v="11"/>
    <x v="11"/>
    <x v="276"/>
    <x v="182"/>
    <x v="173"/>
    <x v="0"/>
    <x v="1"/>
    <x v="29"/>
    <x v="16"/>
    <x v="1"/>
    <x v="27"/>
    <x v="2"/>
    <x v="6"/>
    <x v="27"/>
    <x v="242"/>
    <x v="1"/>
    <x v="2"/>
    <x v="1"/>
    <x v="293"/>
    <x v="294"/>
    <x v="283"/>
    <x v="6"/>
    <x v="2"/>
  </r>
  <r>
    <x v="298"/>
    <x v="275"/>
    <x v="3"/>
    <x v="4"/>
    <x v="4"/>
    <x v="277"/>
    <x v="130"/>
    <x v="127"/>
    <x v="1"/>
    <x v="1"/>
    <x v="29"/>
    <x v="68"/>
    <x v="1"/>
    <x v="5"/>
    <x v="2"/>
    <x v="5"/>
    <x v="5"/>
    <x v="243"/>
    <x v="1"/>
    <x v="1"/>
    <x v="1"/>
    <x v="294"/>
    <x v="295"/>
    <x v="284"/>
    <x v="2"/>
    <x v="1"/>
  </r>
  <r>
    <x v="299"/>
    <x v="276"/>
    <x v="1"/>
    <x v="7"/>
    <x v="7"/>
    <x v="278"/>
    <x v="183"/>
    <x v="174"/>
    <x v="0"/>
    <x v="1"/>
    <x v="23"/>
    <x v="26"/>
    <x v="3"/>
    <x v="8"/>
    <x v="0"/>
    <x v="7"/>
    <x v="8"/>
    <x v="244"/>
    <x v="2"/>
    <x v="2"/>
    <x v="1"/>
    <x v="295"/>
    <x v="296"/>
    <x v="285"/>
    <x v="4"/>
    <x v="1"/>
  </r>
  <r>
    <x v="300"/>
    <x v="277"/>
    <x v="2"/>
    <x v="5"/>
    <x v="5"/>
    <x v="279"/>
    <x v="184"/>
    <x v="175"/>
    <x v="2"/>
    <x v="1"/>
    <x v="35"/>
    <x v="90"/>
    <x v="2"/>
    <x v="1"/>
    <x v="1"/>
    <x v="1"/>
    <x v="1"/>
    <x v="125"/>
    <x v="1"/>
    <x v="5"/>
    <x v="2"/>
    <x v="296"/>
    <x v="297"/>
    <x v="286"/>
    <x v="2"/>
    <x v="1"/>
  </r>
  <r>
    <x v="301"/>
    <x v="278"/>
    <x v="3"/>
    <x v="7"/>
    <x v="7"/>
    <x v="280"/>
    <x v="55"/>
    <x v="55"/>
    <x v="0"/>
    <x v="0"/>
    <x v="18"/>
    <x v="44"/>
    <x v="1"/>
    <x v="0"/>
    <x v="0"/>
    <x v="0"/>
    <x v="0"/>
    <x v="0"/>
    <x v="0"/>
    <x v="0"/>
    <x v="0"/>
    <x v="297"/>
    <x v="298"/>
    <x v="287"/>
    <x v="7"/>
    <x v="0"/>
  </r>
  <r>
    <x v="302"/>
    <x v="279"/>
    <x v="0"/>
    <x v="6"/>
    <x v="6"/>
    <x v="281"/>
    <x v="185"/>
    <x v="176"/>
    <x v="0"/>
    <x v="1"/>
    <x v="27"/>
    <x v="32"/>
    <x v="1"/>
    <x v="30"/>
    <x v="0"/>
    <x v="10"/>
    <x v="30"/>
    <x v="245"/>
    <x v="0"/>
    <x v="2"/>
    <x v="1"/>
    <x v="298"/>
    <x v="299"/>
    <x v="288"/>
    <x v="1"/>
    <x v="2"/>
  </r>
  <r>
    <x v="303"/>
    <x v="280"/>
    <x v="1"/>
    <x v="8"/>
    <x v="8"/>
    <x v="58"/>
    <x v="186"/>
    <x v="177"/>
    <x v="0"/>
    <x v="1"/>
    <x v="8"/>
    <x v="8"/>
    <x v="0"/>
    <x v="63"/>
    <x v="0"/>
    <x v="7"/>
    <x v="63"/>
    <x v="246"/>
    <x v="2"/>
    <x v="0"/>
    <x v="0"/>
    <x v="299"/>
    <x v="300"/>
    <x v="114"/>
    <x v="3"/>
    <x v="1"/>
  </r>
  <r>
    <x v="304"/>
    <x v="281"/>
    <x v="2"/>
    <x v="4"/>
    <x v="4"/>
    <x v="282"/>
    <x v="177"/>
    <x v="167"/>
    <x v="2"/>
    <x v="1"/>
    <x v="9"/>
    <x v="9"/>
    <x v="2"/>
    <x v="28"/>
    <x v="0"/>
    <x v="12"/>
    <x v="28"/>
    <x v="66"/>
    <x v="0"/>
    <x v="5"/>
    <x v="2"/>
    <x v="300"/>
    <x v="301"/>
    <x v="289"/>
    <x v="2"/>
    <x v="0"/>
  </r>
  <r>
    <x v="305"/>
    <x v="282"/>
    <x v="4"/>
    <x v="2"/>
    <x v="2"/>
    <x v="283"/>
    <x v="26"/>
    <x v="26"/>
    <x v="1"/>
    <x v="1"/>
    <x v="1"/>
    <x v="18"/>
    <x v="1"/>
    <x v="16"/>
    <x v="1"/>
    <x v="1"/>
    <x v="16"/>
    <x v="247"/>
    <x v="3"/>
    <x v="5"/>
    <x v="2"/>
    <x v="301"/>
    <x v="302"/>
    <x v="290"/>
    <x v="6"/>
    <x v="0"/>
  </r>
  <r>
    <x v="306"/>
    <x v="283"/>
    <x v="3"/>
    <x v="6"/>
    <x v="6"/>
    <x v="284"/>
    <x v="187"/>
    <x v="178"/>
    <x v="1"/>
    <x v="0"/>
    <x v="5"/>
    <x v="65"/>
    <x v="3"/>
    <x v="52"/>
    <x v="0"/>
    <x v="4"/>
    <x v="52"/>
    <x v="248"/>
    <x v="2"/>
    <x v="0"/>
    <x v="0"/>
    <x v="302"/>
    <x v="303"/>
    <x v="291"/>
    <x v="0"/>
    <x v="0"/>
  </r>
  <r>
    <x v="307"/>
    <x v="284"/>
    <x v="2"/>
    <x v="3"/>
    <x v="3"/>
    <x v="285"/>
    <x v="141"/>
    <x v="1"/>
    <x v="1"/>
    <x v="1"/>
    <x v="3"/>
    <x v="66"/>
    <x v="3"/>
    <x v="2"/>
    <x v="1"/>
    <x v="2"/>
    <x v="2"/>
    <x v="249"/>
    <x v="1"/>
    <x v="0"/>
    <x v="0"/>
    <x v="303"/>
    <x v="304"/>
    <x v="292"/>
    <x v="0"/>
    <x v="0"/>
  </r>
  <r>
    <x v="308"/>
    <x v="218"/>
    <x v="3"/>
    <x v="10"/>
    <x v="10"/>
    <x v="286"/>
    <x v="79"/>
    <x v="78"/>
    <x v="2"/>
    <x v="1"/>
    <x v="22"/>
    <x v="53"/>
    <x v="3"/>
    <x v="59"/>
    <x v="1"/>
    <x v="1"/>
    <x v="59"/>
    <x v="216"/>
    <x v="1"/>
    <x v="0"/>
    <x v="0"/>
    <x v="304"/>
    <x v="305"/>
    <x v="293"/>
    <x v="5"/>
    <x v="1"/>
  </r>
  <r>
    <x v="309"/>
    <x v="285"/>
    <x v="0"/>
    <x v="3"/>
    <x v="3"/>
    <x v="287"/>
    <x v="188"/>
    <x v="179"/>
    <x v="1"/>
    <x v="0"/>
    <x v="30"/>
    <x v="91"/>
    <x v="2"/>
    <x v="25"/>
    <x v="2"/>
    <x v="13"/>
    <x v="25"/>
    <x v="144"/>
    <x v="2"/>
    <x v="2"/>
    <x v="1"/>
    <x v="305"/>
    <x v="306"/>
    <x v="294"/>
    <x v="6"/>
    <x v="0"/>
  </r>
  <r>
    <x v="310"/>
    <x v="286"/>
    <x v="4"/>
    <x v="7"/>
    <x v="7"/>
    <x v="288"/>
    <x v="62"/>
    <x v="62"/>
    <x v="2"/>
    <x v="1"/>
    <x v="34"/>
    <x v="48"/>
    <x v="3"/>
    <x v="13"/>
    <x v="1"/>
    <x v="2"/>
    <x v="13"/>
    <x v="250"/>
    <x v="0"/>
    <x v="6"/>
    <x v="3"/>
    <x v="306"/>
    <x v="307"/>
    <x v="295"/>
    <x v="0"/>
    <x v="1"/>
  </r>
  <r>
    <x v="311"/>
    <x v="287"/>
    <x v="1"/>
    <x v="7"/>
    <x v="7"/>
    <x v="289"/>
    <x v="17"/>
    <x v="17"/>
    <x v="2"/>
    <x v="1"/>
    <x v="15"/>
    <x v="15"/>
    <x v="1"/>
    <x v="23"/>
    <x v="2"/>
    <x v="6"/>
    <x v="23"/>
    <x v="251"/>
    <x v="4"/>
    <x v="1"/>
    <x v="1"/>
    <x v="307"/>
    <x v="308"/>
    <x v="296"/>
    <x v="1"/>
    <x v="1"/>
  </r>
  <r>
    <x v="312"/>
    <x v="288"/>
    <x v="1"/>
    <x v="4"/>
    <x v="4"/>
    <x v="290"/>
    <x v="189"/>
    <x v="180"/>
    <x v="0"/>
    <x v="0"/>
    <x v="35"/>
    <x v="90"/>
    <x v="2"/>
    <x v="20"/>
    <x v="1"/>
    <x v="9"/>
    <x v="20"/>
    <x v="80"/>
    <x v="3"/>
    <x v="0"/>
    <x v="0"/>
    <x v="308"/>
    <x v="309"/>
    <x v="297"/>
    <x v="1"/>
    <x v="1"/>
  </r>
  <r>
    <x v="313"/>
    <x v="289"/>
    <x v="3"/>
    <x v="3"/>
    <x v="3"/>
    <x v="128"/>
    <x v="57"/>
    <x v="57"/>
    <x v="2"/>
    <x v="1"/>
    <x v="19"/>
    <x v="45"/>
    <x v="0"/>
    <x v="1"/>
    <x v="1"/>
    <x v="1"/>
    <x v="1"/>
    <x v="49"/>
    <x v="0"/>
    <x v="1"/>
    <x v="1"/>
    <x v="309"/>
    <x v="310"/>
    <x v="298"/>
    <x v="6"/>
    <x v="1"/>
  </r>
  <r>
    <x v="314"/>
    <x v="290"/>
    <x v="0"/>
    <x v="11"/>
    <x v="11"/>
    <x v="291"/>
    <x v="190"/>
    <x v="181"/>
    <x v="2"/>
    <x v="1"/>
    <x v="23"/>
    <x v="26"/>
    <x v="3"/>
    <x v="47"/>
    <x v="2"/>
    <x v="13"/>
    <x v="47"/>
    <x v="252"/>
    <x v="0"/>
    <x v="2"/>
    <x v="1"/>
    <x v="310"/>
    <x v="311"/>
    <x v="299"/>
    <x v="2"/>
    <x v="0"/>
  </r>
  <r>
    <x v="315"/>
    <x v="291"/>
    <x v="1"/>
    <x v="5"/>
    <x v="5"/>
    <x v="292"/>
    <x v="157"/>
    <x v="150"/>
    <x v="0"/>
    <x v="1"/>
    <x v="16"/>
    <x v="16"/>
    <x v="1"/>
    <x v="47"/>
    <x v="2"/>
    <x v="13"/>
    <x v="47"/>
    <x v="72"/>
    <x v="2"/>
    <x v="5"/>
    <x v="2"/>
    <x v="311"/>
    <x v="312"/>
    <x v="300"/>
    <x v="3"/>
    <x v="0"/>
  </r>
  <r>
    <x v="316"/>
    <x v="292"/>
    <x v="3"/>
    <x v="10"/>
    <x v="10"/>
    <x v="293"/>
    <x v="82"/>
    <x v="81"/>
    <x v="0"/>
    <x v="1"/>
    <x v="7"/>
    <x v="51"/>
    <x v="2"/>
    <x v="44"/>
    <x v="2"/>
    <x v="5"/>
    <x v="44"/>
    <x v="253"/>
    <x v="3"/>
    <x v="2"/>
    <x v="1"/>
    <x v="312"/>
    <x v="313"/>
    <x v="301"/>
    <x v="1"/>
    <x v="0"/>
  </r>
  <r>
    <x v="317"/>
    <x v="293"/>
    <x v="2"/>
    <x v="7"/>
    <x v="7"/>
    <x v="294"/>
    <x v="6"/>
    <x v="6"/>
    <x v="1"/>
    <x v="0"/>
    <x v="5"/>
    <x v="5"/>
    <x v="3"/>
    <x v="0"/>
    <x v="0"/>
    <x v="0"/>
    <x v="0"/>
    <x v="28"/>
    <x v="2"/>
    <x v="0"/>
    <x v="0"/>
    <x v="313"/>
    <x v="314"/>
    <x v="302"/>
    <x v="1"/>
    <x v="1"/>
  </r>
  <r>
    <x v="318"/>
    <x v="294"/>
    <x v="1"/>
    <x v="3"/>
    <x v="3"/>
    <x v="295"/>
    <x v="95"/>
    <x v="93"/>
    <x v="2"/>
    <x v="1"/>
    <x v="16"/>
    <x v="31"/>
    <x v="1"/>
    <x v="33"/>
    <x v="1"/>
    <x v="11"/>
    <x v="33"/>
    <x v="254"/>
    <x v="3"/>
    <x v="3"/>
    <x v="2"/>
    <x v="314"/>
    <x v="315"/>
    <x v="56"/>
    <x v="7"/>
    <x v="1"/>
  </r>
  <r>
    <x v="319"/>
    <x v="295"/>
    <x v="3"/>
    <x v="2"/>
    <x v="2"/>
    <x v="296"/>
    <x v="169"/>
    <x v="160"/>
    <x v="2"/>
    <x v="1"/>
    <x v="35"/>
    <x v="50"/>
    <x v="2"/>
    <x v="26"/>
    <x v="2"/>
    <x v="5"/>
    <x v="26"/>
    <x v="255"/>
    <x v="3"/>
    <x v="6"/>
    <x v="3"/>
    <x v="315"/>
    <x v="316"/>
    <x v="163"/>
    <x v="3"/>
    <x v="0"/>
  </r>
  <r>
    <x v="320"/>
    <x v="296"/>
    <x v="4"/>
    <x v="8"/>
    <x v="8"/>
    <x v="27"/>
    <x v="191"/>
    <x v="113"/>
    <x v="1"/>
    <x v="1"/>
    <x v="17"/>
    <x v="17"/>
    <x v="0"/>
    <x v="28"/>
    <x v="0"/>
    <x v="12"/>
    <x v="28"/>
    <x v="256"/>
    <x v="1"/>
    <x v="0"/>
    <x v="0"/>
    <x v="316"/>
    <x v="317"/>
    <x v="303"/>
    <x v="1"/>
    <x v="2"/>
  </r>
  <r>
    <x v="321"/>
    <x v="297"/>
    <x v="4"/>
    <x v="11"/>
    <x v="11"/>
    <x v="125"/>
    <x v="16"/>
    <x v="16"/>
    <x v="2"/>
    <x v="1"/>
    <x v="14"/>
    <x v="14"/>
    <x v="3"/>
    <x v="63"/>
    <x v="0"/>
    <x v="7"/>
    <x v="63"/>
    <x v="257"/>
    <x v="2"/>
    <x v="4"/>
    <x v="3"/>
    <x v="317"/>
    <x v="318"/>
    <x v="304"/>
    <x v="4"/>
    <x v="1"/>
  </r>
  <r>
    <x v="322"/>
    <x v="298"/>
    <x v="3"/>
    <x v="7"/>
    <x v="7"/>
    <x v="260"/>
    <x v="51"/>
    <x v="51"/>
    <x v="1"/>
    <x v="1"/>
    <x v="3"/>
    <x v="3"/>
    <x v="3"/>
    <x v="65"/>
    <x v="0"/>
    <x v="10"/>
    <x v="65"/>
    <x v="258"/>
    <x v="2"/>
    <x v="6"/>
    <x v="3"/>
    <x v="318"/>
    <x v="319"/>
    <x v="305"/>
    <x v="0"/>
    <x v="0"/>
  </r>
  <r>
    <x v="323"/>
    <x v="299"/>
    <x v="0"/>
    <x v="7"/>
    <x v="7"/>
    <x v="297"/>
    <x v="192"/>
    <x v="182"/>
    <x v="1"/>
    <x v="1"/>
    <x v="21"/>
    <x v="23"/>
    <x v="1"/>
    <x v="44"/>
    <x v="2"/>
    <x v="5"/>
    <x v="44"/>
    <x v="259"/>
    <x v="0"/>
    <x v="0"/>
    <x v="0"/>
    <x v="319"/>
    <x v="320"/>
    <x v="306"/>
    <x v="3"/>
    <x v="0"/>
  </r>
  <r>
    <x v="324"/>
    <x v="300"/>
    <x v="2"/>
    <x v="0"/>
    <x v="0"/>
    <x v="298"/>
    <x v="106"/>
    <x v="104"/>
    <x v="2"/>
    <x v="1"/>
    <x v="14"/>
    <x v="67"/>
    <x v="3"/>
    <x v="58"/>
    <x v="2"/>
    <x v="5"/>
    <x v="58"/>
    <x v="260"/>
    <x v="1"/>
    <x v="5"/>
    <x v="2"/>
    <x v="320"/>
    <x v="321"/>
    <x v="307"/>
    <x v="4"/>
    <x v="0"/>
  </r>
  <r>
    <x v="325"/>
    <x v="301"/>
    <x v="2"/>
    <x v="2"/>
    <x v="2"/>
    <x v="299"/>
    <x v="10"/>
    <x v="10"/>
    <x v="0"/>
    <x v="1"/>
    <x v="9"/>
    <x v="9"/>
    <x v="2"/>
    <x v="46"/>
    <x v="2"/>
    <x v="13"/>
    <x v="46"/>
    <x v="27"/>
    <x v="4"/>
    <x v="2"/>
    <x v="1"/>
    <x v="321"/>
    <x v="322"/>
    <x v="308"/>
    <x v="0"/>
    <x v="0"/>
  </r>
  <r>
    <x v="326"/>
    <x v="302"/>
    <x v="3"/>
    <x v="7"/>
    <x v="7"/>
    <x v="300"/>
    <x v="60"/>
    <x v="60"/>
    <x v="0"/>
    <x v="0"/>
    <x v="33"/>
    <x v="42"/>
    <x v="2"/>
    <x v="10"/>
    <x v="1"/>
    <x v="9"/>
    <x v="10"/>
    <x v="261"/>
    <x v="2"/>
    <x v="5"/>
    <x v="2"/>
    <x v="322"/>
    <x v="323"/>
    <x v="309"/>
    <x v="2"/>
    <x v="1"/>
  </r>
  <r>
    <x v="327"/>
    <x v="303"/>
    <x v="4"/>
    <x v="7"/>
    <x v="7"/>
    <x v="301"/>
    <x v="118"/>
    <x v="116"/>
    <x v="2"/>
    <x v="1"/>
    <x v="26"/>
    <x v="30"/>
    <x v="3"/>
    <x v="53"/>
    <x v="2"/>
    <x v="3"/>
    <x v="53"/>
    <x v="71"/>
    <x v="1"/>
    <x v="0"/>
    <x v="0"/>
    <x v="323"/>
    <x v="324"/>
    <x v="310"/>
    <x v="1"/>
    <x v="2"/>
  </r>
  <r>
    <x v="328"/>
    <x v="304"/>
    <x v="3"/>
    <x v="2"/>
    <x v="2"/>
    <x v="148"/>
    <x v="168"/>
    <x v="159"/>
    <x v="1"/>
    <x v="1"/>
    <x v="24"/>
    <x v="60"/>
    <x v="2"/>
    <x v="30"/>
    <x v="0"/>
    <x v="10"/>
    <x v="30"/>
    <x v="262"/>
    <x v="3"/>
    <x v="0"/>
    <x v="0"/>
    <x v="324"/>
    <x v="325"/>
    <x v="311"/>
    <x v="7"/>
    <x v="2"/>
  </r>
  <r>
    <x v="329"/>
    <x v="305"/>
    <x v="0"/>
    <x v="2"/>
    <x v="2"/>
    <x v="144"/>
    <x v="193"/>
    <x v="183"/>
    <x v="2"/>
    <x v="1"/>
    <x v="9"/>
    <x v="81"/>
    <x v="2"/>
    <x v="12"/>
    <x v="0"/>
    <x v="7"/>
    <x v="12"/>
    <x v="214"/>
    <x v="2"/>
    <x v="4"/>
    <x v="3"/>
    <x v="325"/>
    <x v="326"/>
    <x v="312"/>
    <x v="7"/>
    <x v="1"/>
  </r>
  <r>
    <x v="330"/>
    <x v="306"/>
    <x v="1"/>
    <x v="1"/>
    <x v="1"/>
    <x v="302"/>
    <x v="56"/>
    <x v="56"/>
    <x v="0"/>
    <x v="1"/>
    <x v="17"/>
    <x v="17"/>
    <x v="0"/>
    <x v="48"/>
    <x v="2"/>
    <x v="6"/>
    <x v="48"/>
    <x v="11"/>
    <x v="4"/>
    <x v="0"/>
    <x v="0"/>
    <x v="326"/>
    <x v="327"/>
    <x v="313"/>
    <x v="1"/>
    <x v="0"/>
  </r>
  <r>
    <x v="331"/>
    <x v="307"/>
    <x v="0"/>
    <x v="3"/>
    <x v="3"/>
    <x v="303"/>
    <x v="173"/>
    <x v="163"/>
    <x v="2"/>
    <x v="1"/>
    <x v="18"/>
    <x v="84"/>
    <x v="1"/>
    <x v="27"/>
    <x v="2"/>
    <x v="6"/>
    <x v="27"/>
    <x v="263"/>
    <x v="3"/>
    <x v="6"/>
    <x v="3"/>
    <x v="327"/>
    <x v="328"/>
    <x v="314"/>
    <x v="3"/>
    <x v="2"/>
  </r>
  <r>
    <x v="332"/>
    <x v="308"/>
    <x v="4"/>
    <x v="9"/>
    <x v="9"/>
    <x v="85"/>
    <x v="187"/>
    <x v="178"/>
    <x v="1"/>
    <x v="0"/>
    <x v="5"/>
    <x v="65"/>
    <x v="3"/>
    <x v="5"/>
    <x v="2"/>
    <x v="5"/>
    <x v="5"/>
    <x v="264"/>
    <x v="4"/>
    <x v="4"/>
    <x v="3"/>
    <x v="328"/>
    <x v="329"/>
    <x v="315"/>
    <x v="6"/>
    <x v="1"/>
  </r>
  <r>
    <x v="333"/>
    <x v="309"/>
    <x v="0"/>
    <x v="4"/>
    <x v="4"/>
    <x v="304"/>
    <x v="94"/>
    <x v="92"/>
    <x v="1"/>
    <x v="1"/>
    <x v="26"/>
    <x v="46"/>
    <x v="3"/>
    <x v="8"/>
    <x v="0"/>
    <x v="7"/>
    <x v="8"/>
    <x v="265"/>
    <x v="0"/>
    <x v="6"/>
    <x v="3"/>
    <x v="329"/>
    <x v="330"/>
    <x v="316"/>
    <x v="0"/>
    <x v="1"/>
  </r>
  <r>
    <x v="334"/>
    <x v="310"/>
    <x v="0"/>
    <x v="6"/>
    <x v="6"/>
    <x v="167"/>
    <x v="57"/>
    <x v="57"/>
    <x v="2"/>
    <x v="1"/>
    <x v="19"/>
    <x v="45"/>
    <x v="0"/>
    <x v="47"/>
    <x v="2"/>
    <x v="13"/>
    <x v="47"/>
    <x v="266"/>
    <x v="2"/>
    <x v="1"/>
    <x v="1"/>
    <x v="330"/>
    <x v="331"/>
    <x v="317"/>
    <x v="3"/>
    <x v="0"/>
  </r>
  <r>
    <x v="335"/>
    <x v="311"/>
    <x v="4"/>
    <x v="8"/>
    <x v="8"/>
    <x v="305"/>
    <x v="3"/>
    <x v="3"/>
    <x v="1"/>
    <x v="1"/>
    <x v="0"/>
    <x v="0"/>
    <x v="0"/>
    <x v="62"/>
    <x v="0"/>
    <x v="0"/>
    <x v="62"/>
    <x v="267"/>
    <x v="4"/>
    <x v="0"/>
    <x v="0"/>
    <x v="331"/>
    <x v="332"/>
    <x v="318"/>
    <x v="7"/>
    <x v="0"/>
  </r>
  <r>
    <x v="336"/>
    <x v="212"/>
    <x v="3"/>
    <x v="9"/>
    <x v="9"/>
    <x v="306"/>
    <x v="137"/>
    <x v="133"/>
    <x v="2"/>
    <x v="1"/>
    <x v="39"/>
    <x v="71"/>
    <x v="2"/>
    <x v="59"/>
    <x v="1"/>
    <x v="1"/>
    <x v="59"/>
    <x v="268"/>
    <x v="3"/>
    <x v="3"/>
    <x v="2"/>
    <x v="332"/>
    <x v="333"/>
    <x v="319"/>
    <x v="4"/>
    <x v="1"/>
  </r>
  <r>
    <x v="337"/>
    <x v="237"/>
    <x v="2"/>
    <x v="5"/>
    <x v="5"/>
    <x v="307"/>
    <x v="157"/>
    <x v="150"/>
    <x v="0"/>
    <x v="1"/>
    <x v="16"/>
    <x v="16"/>
    <x v="1"/>
    <x v="20"/>
    <x v="1"/>
    <x v="9"/>
    <x v="20"/>
    <x v="103"/>
    <x v="0"/>
    <x v="6"/>
    <x v="3"/>
    <x v="333"/>
    <x v="334"/>
    <x v="320"/>
    <x v="2"/>
    <x v="1"/>
  </r>
  <r>
    <x v="338"/>
    <x v="312"/>
    <x v="1"/>
    <x v="6"/>
    <x v="6"/>
    <x v="308"/>
    <x v="194"/>
    <x v="22"/>
    <x v="2"/>
    <x v="0"/>
    <x v="25"/>
    <x v="29"/>
    <x v="1"/>
    <x v="16"/>
    <x v="1"/>
    <x v="1"/>
    <x v="16"/>
    <x v="269"/>
    <x v="2"/>
    <x v="2"/>
    <x v="1"/>
    <x v="334"/>
    <x v="335"/>
    <x v="321"/>
    <x v="5"/>
    <x v="1"/>
  </r>
  <r>
    <x v="339"/>
    <x v="313"/>
    <x v="0"/>
    <x v="11"/>
    <x v="11"/>
    <x v="309"/>
    <x v="16"/>
    <x v="16"/>
    <x v="2"/>
    <x v="1"/>
    <x v="14"/>
    <x v="14"/>
    <x v="3"/>
    <x v="63"/>
    <x v="0"/>
    <x v="7"/>
    <x v="63"/>
    <x v="270"/>
    <x v="0"/>
    <x v="5"/>
    <x v="2"/>
    <x v="335"/>
    <x v="336"/>
    <x v="322"/>
    <x v="1"/>
    <x v="1"/>
  </r>
  <r>
    <x v="340"/>
    <x v="314"/>
    <x v="4"/>
    <x v="6"/>
    <x v="6"/>
    <x v="310"/>
    <x v="195"/>
    <x v="184"/>
    <x v="1"/>
    <x v="0"/>
    <x v="6"/>
    <x v="62"/>
    <x v="0"/>
    <x v="18"/>
    <x v="1"/>
    <x v="11"/>
    <x v="18"/>
    <x v="188"/>
    <x v="2"/>
    <x v="0"/>
    <x v="0"/>
    <x v="336"/>
    <x v="337"/>
    <x v="323"/>
    <x v="0"/>
    <x v="1"/>
  </r>
  <r>
    <x v="341"/>
    <x v="315"/>
    <x v="0"/>
    <x v="4"/>
    <x v="4"/>
    <x v="311"/>
    <x v="30"/>
    <x v="30"/>
    <x v="2"/>
    <x v="0"/>
    <x v="0"/>
    <x v="25"/>
    <x v="0"/>
    <x v="55"/>
    <x v="2"/>
    <x v="8"/>
    <x v="55"/>
    <x v="271"/>
    <x v="0"/>
    <x v="6"/>
    <x v="3"/>
    <x v="337"/>
    <x v="338"/>
    <x v="324"/>
    <x v="5"/>
    <x v="0"/>
  </r>
  <r>
    <x v="342"/>
    <x v="316"/>
    <x v="1"/>
    <x v="8"/>
    <x v="8"/>
    <x v="312"/>
    <x v="120"/>
    <x v="118"/>
    <x v="1"/>
    <x v="0"/>
    <x v="19"/>
    <x v="45"/>
    <x v="0"/>
    <x v="6"/>
    <x v="0"/>
    <x v="0"/>
    <x v="6"/>
    <x v="272"/>
    <x v="0"/>
    <x v="3"/>
    <x v="2"/>
    <x v="338"/>
    <x v="339"/>
    <x v="325"/>
    <x v="0"/>
    <x v="2"/>
  </r>
  <r>
    <x v="343"/>
    <x v="19"/>
    <x v="2"/>
    <x v="3"/>
    <x v="3"/>
    <x v="313"/>
    <x v="69"/>
    <x v="69"/>
    <x v="1"/>
    <x v="1"/>
    <x v="25"/>
    <x v="49"/>
    <x v="1"/>
    <x v="23"/>
    <x v="2"/>
    <x v="6"/>
    <x v="23"/>
    <x v="273"/>
    <x v="1"/>
    <x v="4"/>
    <x v="3"/>
    <x v="339"/>
    <x v="340"/>
    <x v="326"/>
    <x v="0"/>
    <x v="0"/>
  </r>
  <r>
    <x v="344"/>
    <x v="317"/>
    <x v="3"/>
    <x v="7"/>
    <x v="7"/>
    <x v="314"/>
    <x v="161"/>
    <x v="154"/>
    <x v="1"/>
    <x v="0"/>
    <x v="2"/>
    <x v="52"/>
    <x v="2"/>
    <x v="30"/>
    <x v="0"/>
    <x v="10"/>
    <x v="30"/>
    <x v="100"/>
    <x v="0"/>
    <x v="0"/>
    <x v="0"/>
    <x v="340"/>
    <x v="341"/>
    <x v="327"/>
    <x v="4"/>
    <x v="2"/>
  </r>
  <r>
    <x v="345"/>
    <x v="318"/>
    <x v="1"/>
    <x v="4"/>
    <x v="4"/>
    <x v="290"/>
    <x v="196"/>
    <x v="185"/>
    <x v="2"/>
    <x v="1"/>
    <x v="13"/>
    <x v="92"/>
    <x v="3"/>
    <x v="2"/>
    <x v="1"/>
    <x v="2"/>
    <x v="2"/>
    <x v="211"/>
    <x v="2"/>
    <x v="0"/>
    <x v="0"/>
    <x v="341"/>
    <x v="342"/>
    <x v="328"/>
    <x v="6"/>
    <x v="1"/>
  </r>
  <r>
    <x v="346"/>
    <x v="319"/>
    <x v="2"/>
    <x v="3"/>
    <x v="3"/>
    <x v="313"/>
    <x v="93"/>
    <x v="19"/>
    <x v="0"/>
    <x v="1"/>
    <x v="24"/>
    <x v="60"/>
    <x v="2"/>
    <x v="60"/>
    <x v="0"/>
    <x v="12"/>
    <x v="60"/>
    <x v="274"/>
    <x v="4"/>
    <x v="4"/>
    <x v="3"/>
    <x v="342"/>
    <x v="343"/>
    <x v="14"/>
    <x v="6"/>
    <x v="0"/>
  </r>
  <r>
    <x v="347"/>
    <x v="197"/>
    <x v="2"/>
    <x v="1"/>
    <x v="1"/>
    <x v="315"/>
    <x v="77"/>
    <x v="77"/>
    <x v="2"/>
    <x v="1"/>
    <x v="7"/>
    <x v="51"/>
    <x v="2"/>
    <x v="16"/>
    <x v="1"/>
    <x v="1"/>
    <x v="16"/>
    <x v="112"/>
    <x v="0"/>
    <x v="0"/>
    <x v="0"/>
    <x v="343"/>
    <x v="344"/>
    <x v="329"/>
    <x v="5"/>
    <x v="1"/>
  </r>
  <r>
    <x v="348"/>
    <x v="320"/>
    <x v="0"/>
    <x v="6"/>
    <x v="6"/>
    <x v="316"/>
    <x v="103"/>
    <x v="101"/>
    <x v="2"/>
    <x v="1"/>
    <x v="5"/>
    <x v="65"/>
    <x v="3"/>
    <x v="47"/>
    <x v="2"/>
    <x v="13"/>
    <x v="47"/>
    <x v="275"/>
    <x v="4"/>
    <x v="0"/>
    <x v="0"/>
    <x v="344"/>
    <x v="345"/>
    <x v="330"/>
    <x v="0"/>
    <x v="2"/>
  </r>
  <r>
    <x v="349"/>
    <x v="321"/>
    <x v="0"/>
    <x v="2"/>
    <x v="2"/>
    <x v="144"/>
    <x v="64"/>
    <x v="64"/>
    <x v="2"/>
    <x v="1"/>
    <x v="31"/>
    <x v="36"/>
    <x v="2"/>
    <x v="60"/>
    <x v="0"/>
    <x v="12"/>
    <x v="60"/>
    <x v="276"/>
    <x v="3"/>
    <x v="6"/>
    <x v="3"/>
    <x v="345"/>
    <x v="346"/>
    <x v="331"/>
    <x v="5"/>
    <x v="2"/>
  </r>
  <r>
    <x v="350"/>
    <x v="322"/>
    <x v="0"/>
    <x v="11"/>
    <x v="11"/>
    <x v="317"/>
    <x v="102"/>
    <x v="100"/>
    <x v="2"/>
    <x v="1"/>
    <x v="37"/>
    <x v="64"/>
    <x v="1"/>
    <x v="60"/>
    <x v="0"/>
    <x v="12"/>
    <x v="60"/>
    <x v="277"/>
    <x v="4"/>
    <x v="0"/>
    <x v="0"/>
    <x v="346"/>
    <x v="347"/>
    <x v="332"/>
    <x v="0"/>
    <x v="2"/>
  </r>
  <r>
    <x v="351"/>
    <x v="323"/>
    <x v="1"/>
    <x v="1"/>
    <x v="1"/>
    <x v="318"/>
    <x v="143"/>
    <x v="136"/>
    <x v="2"/>
    <x v="1"/>
    <x v="6"/>
    <x v="47"/>
    <x v="0"/>
    <x v="53"/>
    <x v="2"/>
    <x v="3"/>
    <x v="53"/>
    <x v="278"/>
    <x v="4"/>
    <x v="5"/>
    <x v="2"/>
    <x v="347"/>
    <x v="348"/>
    <x v="333"/>
    <x v="7"/>
    <x v="0"/>
  </r>
  <r>
    <x v="352"/>
    <x v="324"/>
    <x v="0"/>
    <x v="11"/>
    <x v="11"/>
    <x v="319"/>
    <x v="35"/>
    <x v="172"/>
    <x v="2"/>
    <x v="1"/>
    <x v="26"/>
    <x v="30"/>
    <x v="3"/>
    <x v="49"/>
    <x v="2"/>
    <x v="5"/>
    <x v="49"/>
    <x v="279"/>
    <x v="1"/>
    <x v="1"/>
    <x v="1"/>
    <x v="348"/>
    <x v="349"/>
    <x v="334"/>
    <x v="3"/>
    <x v="0"/>
  </r>
  <r>
    <x v="353"/>
    <x v="325"/>
    <x v="0"/>
    <x v="2"/>
    <x v="2"/>
    <x v="320"/>
    <x v="32"/>
    <x v="32"/>
    <x v="1"/>
    <x v="1"/>
    <x v="24"/>
    <x v="27"/>
    <x v="2"/>
    <x v="37"/>
    <x v="2"/>
    <x v="3"/>
    <x v="37"/>
    <x v="280"/>
    <x v="0"/>
    <x v="2"/>
    <x v="1"/>
    <x v="349"/>
    <x v="350"/>
    <x v="335"/>
    <x v="3"/>
    <x v="0"/>
  </r>
  <r>
    <x v="354"/>
    <x v="326"/>
    <x v="3"/>
    <x v="10"/>
    <x v="10"/>
    <x v="321"/>
    <x v="16"/>
    <x v="16"/>
    <x v="2"/>
    <x v="1"/>
    <x v="14"/>
    <x v="14"/>
    <x v="3"/>
    <x v="34"/>
    <x v="1"/>
    <x v="11"/>
    <x v="34"/>
    <x v="86"/>
    <x v="0"/>
    <x v="0"/>
    <x v="0"/>
    <x v="350"/>
    <x v="351"/>
    <x v="336"/>
    <x v="7"/>
    <x v="1"/>
  </r>
  <r>
    <x v="355"/>
    <x v="69"/>
    <x v="4"/>
    <x v="11"/>
    <x v="11"/>
    <x v="322"/>
    <x v="16"/>
    <x v="16"/>
    <x v="2"/>
    <x v="1"/>
    <x v="14"/>
    <x v="14"/>
    <x v="3"/>
    <x v="47"/>
    <x v="2"/>
    <x v="13"/>
    <x v="47"/>
    <x v="281"/>
    <x v="3"/>
    <x v="0"/>
    <x v="0"/>
    <x v="351"/>
    <x v="352"/>
    <x v="337"/>
    <x v="6"/>
    <x v="2"/>
  </r>
  <r>
    <x v="356"/>
    <x v="281"/>
    <x v="2"/>
    <x v="4"/>
    <x v="4"/>
    <x v="323"/>
    <x v="20"/>
    <x v="20"/>
    <x v="2"/>
    <x v="1"/>
    <x v="1"/>
    <x v="18"/>
    <x v="1"/>
    <x v="42"/>
    <x v="1"/>
    <x v="11"/>
    <x v="42"/>
    <x v="282"/>
    <x v="0"/>
    <x v="4"/>
    <x v="3"/>
    <x v="352"/>
    <x v="353"/>
    <x v="338"/>
    <x v="6"/>
    <x v="1"/>
  </r>
  <r>
    <x v="357"/>
    <x v="327"/>
    <x v="3"/>
    <x v="8"/>
    <x v="8"/>
    <x v="324"/>
    <x v="62"/>
    <x v="62"/>
    <x v="2"/>
    <x v="1"/>
    <x v="34"/>
    <x v="48"/>
    <x v="3"/>
    <x v="61"/>
    <x v="1"/>
    <x v="2"/>
    <x v="61"/>
    <x v="283"/>
    <x v="4"/>
    <x v="5"/>
    <x v="2"/>
    <x v="353"/>
    <x v="354"/>
    <x v="339"/>
    <x v="6"/>
    <x v="1"/>
  </r>
  <r>
    <x v="358"/>
    <x v="237"/>
    <x v="2"/>
    <x v="5"/>
    <x v="5"/>
    <x v="261"/>
    <x v="127"/>
    <x v="124"/>
    <x v="2"/>
    <x v="0"/>
    <x v="36"/>
    <x v="75"/>
    <x v="0"/>
    <x v="18"/>
    <x v="1"/>
    <x v="11"/>
    <x v="18"/>
    <x v="284"/>
    <x v="1"/>
    <x v="2"/>
    <x v="1"/>
    <x v="354"/>
    <x v="355"/>
    <x v="340"/>
    <x v="6"/>
    <x v="1"/>
  </r>
  <r>
    <x v="359"/>
    <x v="75"/>
    <x v="3"/>
    <x v="1"/>
    <x v="1"/>
    <x v="325"/>
    <x v="68"/>
    <x v="68"/>
    <x v="2"/>
    <x v="1"/>
    <x v="1"/>
    <x v="1"/>
    <x v="1"/>
    <x v="61"/>
    <x v="1"/>
    <x v="2"/>
    <x v="61"/>
    <x v="285"/>
    <x v="2"/>
    <x v="5"/>
    <x v="2"/>
    <x v="355"/>
    <x v="356"/>
    <x v="341"/>
    <x v="4"/>
    <x v="1"/>
  </r>
  <r>
    <x v="360"/>
    <x v="328"/>
    <x v="0"/>
    <x v="11"/>
    <x v="11"/>
    <x v="326"/>
    <x v="37"/>
    <x v="37"/>
    <x v="0"/>
    <x v="0"/>
    <x v="27"/>
    <x v="32"/>
    <x v="1"/>
    <x v="46"/>
    <x v="2"/>
    <x v="13"/>
    <x v="46"/>
    <x v="286"/>
    <x v="4"/>
    <x v="6"/>
    <x v="3"/>
    <x v="356"/>
    <x v="357"/>
    <x v="342"/>
    <x v="0"/>
    <x v="0"/>
  </r>
  <r>
    <x v="361"/>
    <x v="329"/>
    <x v="3"/>
    <x v="5"/>
    <x v="5"/>
    <x v="327"/>
    <x v="197"/>
    <x v="186"/>
    <x v="2"/>
    <x v="1"/>
    <x v="32"/>
    <x v="74"/>
    <x v="0"/>
    <x v="45"/>
    <x v="1"/>
    <x v="2"/>
    <x v="45"/>
    <x v="17"/>
    <x v="3"/>
    <x v="0"/>
    <x v="0"/>
    <x v="357"/>
    <x v="358"/>
    <x v="343"/>
    <x v="6"/>
    <x v="1"/>
  </r>
  <r>
    <x v="362"/>
    <x v="330"/>
    <x v="3"/>
    <x v="9"/>
    <x v="9"/>
    <x v="328"/>
    <x v="93"/>
    <x v="19"/>
    <x v="0"/>
    <x v="1"/>
    <x v="24"/>
    <x v="60"/>
    <x v="2"/>
    <x v="66"/>
    <x v="0"/>
    <x v="7"/>
    <x v="66"/>
    <x v="287"/>
    <x v="3"/>
    <x v="3"/>
    <x v="2"/>
    <x v="358"/>
    <x v="359"/>
    <x v="344"/>
    <x v="2"/>
    <x v="0"/>
  </r>
  <r>
    <x v="363"/>
    <x v="331"/>
    <x v="0"/>
    <x v="4"/>
    <x v="4"/>
    <x v="329"/>
    <x v="37"/>
    <x v="37"/>
    <x v="0"/>
    <x v="0"/>
    <x v="27"/>
    <x v="32"/>
    <x v="1"/>
    <x v="64"/>
    <x v="1"/>
    <x v="11"/>
    <x v="64"/>
    <x v="251"/>
    <x v="4"/>
    <x v="1"/>
    <x v="1"/>
    <x v="359"/>
    <x v="360"/>
    <x v="345"/>
    <x v="3"/>
    <x v="1"/>
  </r>
  <r>
    <x v="364"/>
    <x v="132"/>
    <x v="0"/>
    <x v="9"/>
    <x v="9"/>
    <x v="330"/>
    <x v="71"/>
    <x v="71"/>
    <x v="2"/>
    <x v="1"/>
    <x v="4"/>
    <x v="41"/>
    <x v="0"/>
    <x v="18"/>
    <x v="1"/>
    <x v="11"/>
    <x v="18"/>
    <x v="117"/>
    <x v="4"/>
    <x v="0"/>
    <x v="0"/>
    <x v="360"/>
    <x v="361"/>
    <x v="346"/>
    <x v="3"/>
    <x v="1"/>
  </r>
  <r>
    <x v="365"/>
    <x v="332"/>
    <x v="1"/>
    <x v="0"/>
    <x v="0"/>
    <x v="151"/>
    <x v="64"/>
    <x v="64"/>
    <x v="2"/>
    <x v="1"/>
    <x v="31"/>
    <x v="36"/>
    <x v="2"/>
    <x v="50"/>
    <x v="2"/>
    <x v="3"/>
    <x v="50"/>
    <x v="256"/>
    <x v="1"/>
    <x v="0"/>
    <x v="0"/>
    <x v="361"/>
    <x v="362"/>
    <x v="347"/>
    <x v="1"/>
    <x v="2"/>
  </r>
  <r>
    <x v="366"/>
    <x v="333"/>
    <x v="1"/>
    <x v="2"/>
    <x v="2"/>
    <x v="331"/>
    <x v="8"/>
    <x v="8"/>
    <x v="0"/>
    <x v="0"/>
    <x v="7"/>
    <x v="7"/>
    <x v="2"/>
    <x v="5"/>
    <x v="2"/>
    <x v="5"/>
    <x v="5"/>
    <x v="288"/>
    <x v="3"/>
    <x v="0"/>
    <x v="0"/>
    <x v="362"/>
    <x v="363"/>
    <x v="42"/>
    <x v="7"/>
    <x v="1"/>
  </r>
  <r>
    <x v="367"/>
    <x v="334"/>
    <x v="3"/>
    <x v="3"/>
    <x v="3"/>
    <x v="332"/>
    <x v="126"/>
    <x v="123"/>
    <x v="1"/>
    <x v="1"/>
    <x v="32"/>
    <x v="74"/>
    <x v="0"/>
    <x v="28"/>
    <x v="0"/>
    <x v="12"/>
    <x v="28"/>
    <x v="289"/>
    <x v="1"/>
    <x v="5"/>
    <x v="2"/>
    <x v="363"/>
    <x v="364"/>
    <x v="348"/>
    <x v="0"/>
    <x v="2"/>
  </r>
  <r>
    <x v="368"/>
    <x v="335"/>
    <x v="4"/>
    <x v="11"/>
    <x v="11"/>
    <x v="333"/>
    <x v="159"/>
    <x v="152"/>
    <x v="1"/>
    <x v="1"/>
    <x v="38"/>
    <x v="85"/>
    <x v="3"/>
    <x v="1"/>
    <x v="1"/>
    <x v="1"/>
    <x v="1"/>
    <x v="111"/>
    <x v="1"/>
    <x v="0"/>
    <x v="0"/>
    <x v="364"/>
    <x v="365"/>
    <x v="349"/>
    <x v="2"/>
    <x v="1"/>
  </r>
  <r>
    <x v="369"/>
    <x v="336"/>
    <x v="3"/>
    <x v="4"/>
    <x v="4"/>
    <x v="135"/>
    <x v="15"/>
    <x v="15"/>
    <x v="1"/>
    <x v="0"/>
    <x v="13"/>
    <x v="13"/>
    <x v="3"/>
    <x v="44"/>
    <x v="2"/>
    <x v="5"/>
    <x v="44"/>
    <x v="290"/>
    <x v="4"/>
    <x v="3"/>
    <x v="2"/>
    <x v="365"/>
    <x v="366"/>
    <x v="281"/>
    <x v="2"/>
    <x v="0"/>
  </r>
  <r>
    <x v="370"/>
    <x v="66"/>
    <x v="4"/>
    <x v="2"/>
    <x v="2"/>
    <x v="334"/>
    <x v="3"/>
    <x v="3"/>
    <x v="1"/>
    <x v="1"/>
    <x v="0"/>
    <x v="0"/>
    <x v="0"/>
    <x v="20"/>
    <x v="1"/>
    <x v="9"/>
    <x v="20"/>
    <x v="80"/>
    <x v="3"/>
    <x v="0"/>
    <x v="0"/>
    <x v="366"/>
    <x v="367"/>
    <x v="350"/>
    <x v="5"/>
    <x v="1"/>
  </r>
  <r>
    <x v="371"/>
    <x v="337"/>
    <x v="4"/>
    <x v="11"/>
    <x v="11"/>
    <x v="335"/>
    <x v="163"/>
    <x v="127"/>
    <x v="0"/>
    <x v="1"/>
    <x v="35"/>
    <x v="50"/>
    <x v="2"/>
    <x v="11"/>
    <x v="2"/>
    <x v="3"/>
    <x v="11"/>
    <x v="11"/>
    <x v="4"/>
    <x v="0"/>
    <x v="0"/>
    <x v="367"/>
    <x v="368"/>
    <x v="351"/>
    <x v="7"/>
    <x v="0"/>
  </r>
  <r>
    <x v="372"/>
    <x v="338"/>
    <x v="3"/>
    <x v="1"/>
    <x v="1"/>
    <x v="176"/>
    <x v="66"/>
    <x v="66"/>
    <x v="0"/>
    <x v="1"/>
    <x v="1"/>
    <x v="1"/>
    <x v="1"/>
    <x v="16"/>
    <x v="1"/>
    <x v="1"/>
    <x v="16"/>
    <x v="291"/>
    <x v="4"/>
    <x v="2"/>
    <x v="1"/>
    <x v="368"/>
    <x v="369"/>
    <x v="352"/>
    <x v="3"/>
    <x v="1"/>
  </r>
  <r>
    <x v="373"/>
    <x v="144"/>
    <x v="0"/>
    <x v="2"/>
    <x v="2"/>
    <x v="144"/>
    <x v="198"/>
    <x v="187"/>
    <x v="2"/>
    <x v="1"/>
    <x v="27"/>
    <x v="32"/>
    <x v="1"/>
    <x v="35"/>
    <x v="0"/>
    <x v="4"/>
    <x v="35"/>
    <x v="292"/>
    <x v="0"/>
    <x v="2"/>
    <x v="1"/>
    <x v="369"/>
    <x v="370"/>
    <x v="353"/>
    <x v="1"/>
    <x v="1"/>
  </r>
  <r>
    <x v="374"/>
    <x v="333"/>
    <x v="1"/>
    <x v="2"/>
    <x v="2"/>
    <x v="336"/>
    <x v="165"/>
    <x v="157"/>
    <x v="0"/>
    <x v="1"/>
    <x v="32"/>
    <x v="87"/>
    <x v="0"/>
    <x v="22"/>
    <x v="1"/>
    <x v="2"/>
    <x v="22"/>
    <x v="43"/>
    <x v="1"/>
    <x v="6"/>
    <x v="3"/>
    <x v="370"/>
    <x v="371"/>
    <x v="354"/>
    <x v="6"/>
    <x v="1"/>
  </r>
  <r>
    <x v="375"/>
    <x v="339"/>
    <x v="1"/>
    <x v="8"/>
    <x v="8"/>
    <x v="337"/>
    <x v="81"/>
    <x v="80"/>
    <x v="1"/>
    <x v="1"/>
    <x v="2"/>
    <x v="55"/>
    <x v="2"/>
    <x v="19"/>
    <x v="0"/>
    <x v="12"/>
    <x v="19"/>
    <x v="293"/>
    <x v="0"/>
    <x v="3"/>
    <x v="2"/>
    <x v="371"/>
    <x v="372"/>
    <x v="355"/>
    <x v="4"/>
    <x v="0"/>
  </r>
  <r>
    <x v="376"/>
    <x v="340"/>
    <x v="1"/>
    <x v="5"/>
    <x v="5"/>
    <x v="338"/>
    <x v="199"/>
    <x v="123"/>
    <x v="1"/>
    <x v="1"/>
    <x v="18"/>
    <x v="84"/>
    <x v="1"/>
    <x v="10"/>
    <x v="1"/>
    <x v="9"/>
    <x v="10"/>
    <x v="294"/>
    <x v="1"/>
    <x v="0"/>
    <x v="0"/>
    <x v="372"/>
    <x v="373"/>
    <x v="356"/>
    <x v="3"/>
    <x v="1"/>
  </r>
  <r>
    <x v="377"/>
    <x v="341"/>
    <x v="4"/>
    <x v="1"/>
    <x v="1"/>
    <x v="339"/>
    <x v="1"/>
    <x v="1"/>
    <x v="1"/>
    <x v="1"/>
    <x v="1"/>
    <x v="1"/>
    <x v="1"/>
    <x v="42"/>
    <x v="1"/>
    <x v="11"/>
    <x v="42"/>
    <x v="295"/>
    <x v="1"/>
    <x v="1"/>
    <x v="1"/>
    <x v="373"/>
    <x v="374"/>
    <x v="357"/>
    <x v="5"/>
    <x v="1"/>
  </r>
  <r>
    <x v="378"/>
    <x v="342"/>
    <x v="2"/>
    <x v="2"/>
    <x v="2"/>
    <x v="340"/>
    <x v="159"/>
    <x v="152"/>
    <x v="1"/>
    <x v="1"/>
    <x v="38"/>
    <x v="85"/>
    <x v="3"/>
    <x v="47"/>
    <x v="2"/>
    <x v="13"/>
    <x v="47"/>
    <x v="296"/>
    <x v="1"/>
    <x v="2"/>
    <x v="1"/>
    <x v="374"/>
    <x v="375"/>
    <x v="358"/>
    <x v="0"/>
    <x v="2"/>
  </r>
  <r>
    <x v="379"/>
    <x v="343"/>
    <x v="3"/>
    <x v="9"/>
    <x v="9"/>
    <x v="341"/>
    <x v="75"/>
    <x v="75"/>
    <x v="0"/>
    <x v="1"/>
    <x v="2"/>
    <x v="52"/>
    <x v="2"/>
    <x v="65"/>
    <x v="0"/>
    <x v="10"/>
    <x v="65"/>
    <x v="297"/>
    <x v="2"/>
    <x v="2"/>
    <x v="1"/>
    <x v="375"/>
    <x v="376"/>
    <x v="359"/>
    <x v="1"/>
    <x v="0"/>
  </r>
  <r>
    <x v="380"/>
    <x v="344"/>
    <x v="1"/>
    <x v="8"/>
    <x v="8"/>
    <x v="342"/>
    <x v="128"/>
    <x v="35"/>
    <x v="0"/>
    <x v="1"/>
    <x v="19"/>
    <x v="39"/>
    <x v="0"/>
    <x v="52"/>
    <x v="0"/>
    <x v="4"/>
    <x v="52"/>
    <x v="298"/>
    <x v="2"/>
    <x v="1"/>
    <x v="1"/>
    <x v="376"/>
    <x v="377"/>
    <x v="360"/>
    <x v="5"/>
    <x v="0"/>
  </r>
  <r>
    <x v="381"/>
    <x v="203"/>
    <x v="4"/>
    <x v="9"/>
    <x v="9"/>
    <x v="343"/>
    <x v="19"/>
    <x v="19"/>
    <x v="1"/>
    <x v="1"/>
    <x v="17"/>
    <x v="17"/>
    <x v="0"/>
    <x v="65"/>
    <x v="0"/>
    <x v="10"/>
    <x v="65"/>
    <x v="202"/>
    <x v="1"/>
    <x v="0"/>
    <x v="0"/>
    <x v="377"/>
    <x v="378"/>
    <x v="361"/>
    <x v="2"/>
    <x v="2"/>
  </r>
  <r>
    <x v="382"/>
    <x v="345"/>
    <x v="3"/>
    <x v="10"/>
    <x v="10"/>
    <x v="344"/>
    <x v="66"/>
    <x v="66"/>
    <x v="0"/>
    <x v="1"/>
    <x v="1"/>
    <x v="1"/>
    <x v="1"/>
    <x v="16"/>
    <x v="1"/>
    <x v="1"/>
    <x v="16"/>
    <x v="79"/>
    <x v="2"/>
    <x v="5"/>
    <x v="2"/>
    <x v="378"/>
    <x v="379"/>
    <x v="362"/>
    <x v="3"/>
    <x v="1"/>
  </r>
  <r>
    <x v="383"/>
    <x v="346"/>
    <x v="0"/>
    <x v="4"/>
    <x v="4"/>
    <x v="345"/>
    <x v="200"/>
    <x v="32"/>
    <x v="1"/>
    <x v="1"/>
    <x v="15"/>
    <x v="15"/>
    <x v="1"/>
    <x v="22"/>
    <x v="1"/>
    <x v="2"/>
    <x v="22"/>
    <x v="299"/>
    <x v="2"/>
    <x v="5"/>
    <x v="2"/>
    <x v="379"/>
    <x v="380"/>
    <x v="363"/>
    <x v="4"/>
    <x v="1"/>
  </r>
  <r>
    <x v="384"/>
    <x v="347"/>
    <x v="4"/>
    <x v="5"/>
    <x v="5"/>
    <x v="109"/>
    <x v="4"/>
    <x v="4"/>
    <x v="2"/>
    <x v="0"/>
    <x v="3"/>
    <x v="3"/>
    <x v="3"/>
    <x v="60"/>
    <x v="0"/>
    <x v="12"/>
    <x v="60"/>
    <x v="300"/>
    <x v="4"/>
    <x v="5"/>
    <x v="2"/>
    <x v="380"/>
    <x v="381"/>
    <x v="364"/>
    <x v="6"/>
    <x v="0"/>
  </r>
  <r>
    <x v="385"/>
    <x v="348"/>
    <x v="0"/>
    <x v="0"/>
    <x v="0"/>
    <x v="346"/>
    <x v="201"/>
    <x v="188"/>
    <x v="0"/>
    <x v="1"/>
    <x v="27"/>
    <x v="32"/>
    <x v="1"/>
    <x v="31"/>
    <x v="1"/>
    <x v="1"/>
    <x v="31"/>
    <x v="152"/>
    <x v="3"/>
    <x v="6"/>
    <x v="3"/>
    <x v="381"/>
    <x v="382"/>
    <x v="365"/>
    <x v="5"/>
    <x v="1"/>
  </r>
  <r>
    <x v="386"/>
    <x v="349"/>
    <x v="4"/>
    <x v="6"/>
    <x v="6"/>
    <x v="347"/>
    <x v="7"/>
    <x v="7"/>
    <x v="2"/>
    <x v="1"/>
    <x v="6"/>
    <x v="6"/>
    <x v="0"/>
    <x v="14"/>
    <x v="2"/>
    <x v="8"/>
    <x v="14"/>
    <x v="63"/>
    <x v="0"/>
    <x v="4"/>
    <x v="3"/>
    <x v="382"/>
    <x v="383"/>
    <x v="366"/>
    <x v="2"/>
    <x v="0"/>
  </r>
  <r>
    <x v="387"/>
    <x v="350"/>
    <x v="2"/>
    <x v="8"/>
    <x v="8"/>
    <x v="348"/>
    <x v="202"/>
    <x v="189"/>
    <x v="1"/>
    <x v="1"/>
    <x v="32"/>
    <x v="38"/>
    <x v="0"/>
    <x v="49"/>
    <x v="2"/>
    <x v="5"/>
    <x v="49"/>
    <x v="279"/>
    <x v="1"/>
    <x v="1"/>
    <x v="1"/>
    <x v="383"/>
    <x v="384"/>
    <x v="367"/>
    <x v="2"/>
    <x v="0"/>
  </r>
  <r>
    <x v="388"/>
    <x v="351"/>
    <x v="3"/>
    <x v="0"/>
    <x v="0"/>
    <x v="349"/>
    <x v="203"/>
    <x v="190"/>
    <x v="1"/>
    <x v="1"/>
    <x v="7"/>
    <x v="93"/>
    <x v="2"/>
    <x v="49"/>
    <x v="2"/>
    <x v="5"/>
    <x v="49"/>
    <x v="210"/>
    <x v="3"/>
    <x v="0"/>
    <x v="0"/>
    <x v="384"/>
    <x v="385"/>
    <x v="368"/>
    <x v="2"/>
    <x v="0"/>
  </r>
  <r>
    <x v="389"/>
    <x v="352"/>
    <x v="2"/>
    <x v="10"/>
    <x v="10"/>
    <x v="350"/>
    <x v="44"/>
    <x v="44"/>
    <x v="2"/>
    <x v="1"/>
    <x v="12"/>
    <x v="37"/>
    <x v="2"/>
    <x v="55"/>
    <x v="2"/>
    <x v="8"/>
    <x v="55"/>
    <x v="301"/>
    <x v="2"/>
    <x v="4"/>
    <x v="3"/>
    <x v="385"/>
    <x v="386"/>
    <x v="369"/>
    <x v="7"/>
    <x v="0"/>
  </r>
  <r>
    <x v="390"/>
    <x v="353"/>
    <x v="1"/>
    <x v="9"/>
    <x v="9"/>
    <x v="351"/>
    <x v="115"/>
    <x v="113"/>
    <x v="1"/>
    <x v="1"/>
    <x v="17"/>
    <x v="72"/>
    <x v="0"/>
    <x v="16"/>
    <x v="1"/>
    <x v="1"/>
    <x v="16"/>
    <x v="302"/>
    <x v="4"/>
    <x v="0"/>
    <x v="0"/>
    <x v="386"/>
    <x v="387"/>
    <x v="370"/>
    <x v="1"/>
    <x v="1"/>
  </r>
  <r>
    <x v="391"/>
    <x v="354"/>
    <x v="2"/>
    <x v="5"/>
    <x v="5"/>
    <x v="352"/>
    <x v="144"/>
    <x v="137"/>
    <x v="1"/>
    <x v="1"/>
    <x v="36"/>
    <x v="75"/>
    <x v="0"/>
    <x v="49"/>
    <x v="2"/>
    <x v="5"/>
    <x v="49"/>
    <x v="246"/>
    <x v="2"/>
    <x v="0"/>
    <x v="0"/>
    <x v="387"/>
    <x v="388"/>
    <x v="371"/>
    <x v="4"/>
    <x v="1"/>
  </r>
  <r>
    <x v="392"/>
    <x v="355"/>
    <x v="3"/>
    <x v="5"/>
    <x v="5"/>
    <x v="353"/>
    <x v="121"/>
    <x v="119"/>
    <x v="1"/>
    <x v="1"/>
    <x v="19"/>
    <x v="39"/>
    <x v="0"/>
    <x v="14"/>
    <x v="2"/>
    <x v="8"/>
    <x v="14"/>
    <x v="303"/>
    <x v="4"/>
    <x v="0"/>
    <x v="0"/>
    <x v="388"/>
    <x v="389"/>
    <x v="372"/>
    <x v="5"/>
    <x v="2"/>
  </r>
  <r>
    <x v="393"/>
    <x v="356"/>
    <x v="0"/>
    <x v="7"/>
    <x v="7"/>
    <x v="354"/>
    <x v="136"/>
    <x v="109"/>
    <x v="1"/>
    <x v="1"/>
    <x v="39"/>
    <x v="34"/>
    <x v="2"/>
    <x v="29"/>
    <x v="0"/>
    <x v="12"/>
    <x v="29"/>
    <x v="112"/>
    <x v="0"/>
    <x v="0"/>
    <x v="0"/>
    <x v="389"/>
    <x v="390"/>
    <x v="373"/>
    <x v="1"/>
    <x v="1"/>
  </r>
  <r>
    <x v="394"/>
    <x v="357"/>
    <x v="2"/>
    <x v="2"/>
    <x v="2"/>
    <x v="355"/>
    <x v="204"/>
    <x v="191"/>
    <x v="2"/>
    <x v="0"/>
    <x v="10"/>
    <x v="78"/>
    <x v="0"/>
    <x v="2"/>
    <x v="1"/>
    <x v="2"/>
    <x v="2"/>
    <x v="304"/>
    <x v="1"/>
    <x v="4"/>
    <x v="3"/>
    <x v="390"/>
    <x v="391"/>
    <x v="194"/>
    <x v="6"/>
    <x v="0"/>
  </r>
  <r>
    <x v="395"/>
    <x v="244"/>
    <x v="1"/>
    <x v="9"/>
    <x v="9"/>
    <x v="356"/>
    <x v="24"/>
    <x v="24"/>
    <x v="0"/>
    <x v="1"/>
    <x v="11"/>
    <x v="11"/>
    <x v="0"/>
    <x v="59"/>
    <x v="1"/>
    <x v="1"/>
    <x v="59"/>
    <x v="216"/>
    <x v="1"/>
    <x v="0"/>
    <x v="0"/>
    <x v="391"/>
    <x v="392"/>
    <x v="374"/>
    <x v="4"/>
    <x v="1"/>
  </r>
  <r>
    <x v="396"/>
    <x v="358"/>
    <x v="1"/>
    <x v="1"/>
    <x v="1"/>
    <x v="357"/>
    <x v="116"/>
    <x v="114"/>
    <x v="0"/>
    <x v="1"/>
    <x v="10"/>
    <x v="10"/>
    <x v="0"/>
    <x v="22"/>
    <x v="1"/>
    <x v="2"/>
    <x v="22"/>
    <x v="54"/>
    <x v="2"/>
    <x v="6"/>
    <x v="3"/>
    <x v="392"/>
    <x v="393"/>
    <x v="375"/>
    <x v="7"/>
    <x v="1"/>
  </r>
  <r>
    <x v="397"/>
    <x v="359"/>
    <x v="4"/>
    <x v="8"/>
    <x v="8"/>
    <x v="358"/>
    <x v="162"/>
    <x v="155"/>
    <x v="1"/>
    <x v="0"/>
    <x v="1"/>
    <x v="18"/>
    <x v="1"/>
    <x v="30"/>
    <x v="0"/>
    <x v="10"/>
    <x v="30"/>
    <x v="305"/>
    <x v="3"/>
    <x v="3"/>
    <x v="2"/>
    <x v="393"/>
    <x v="394"/>
    <x v="376"/>
    <x v="4"/>
    <x v="2"/>
  </r>
  <r>
    <x v="398"/>
    <x v="360"/>
    <x v="1"/>
    <x v="11"/>
    <x v="11"/>
    <x v="359"/>
    <x v="117"/>
    <x v="115"/>
    <x v="2"/>
    <x v="1"/>
    <x v="12"/>
    <x v="37"/>
    <x v="2"/>
    <x v="38"/>
    <x v="1"/>
    <x v="1"/>
    <x v="38"/>
    <x v="306"/>
    <x v="3"/>
    <x v="5"/>
    <x v="2"/>
    <x v="394"/>
    <x v="395"/>
    <x v="377"/>
    <x v="2"/>
    <x v="1"/>
  </r>
  <r>
    <x v="399"/>
    <x v="350"/>
    <x v="2"/>
    <x v="8"/>
    <x v="8"/>
    <x v="360"/>
    <x v="116"/>
    <x v="114"/>
    <x v="0"/>
    <x v="1"/>
    <x v="10"/>
    <x v="10"/>
    <x v="0"/>
    <x v="23"/>
    <x v="2"/>
    <x v="6"/>
    <x v="23"/>
    <x v="273"/>
    <x v="1"/>
    <x v="4"/>
    <x v="3"/>
    <x v="395"/>
    <x v="396"/>
    <x v="378"/>
    <x v="6"/>
    <x v="0"/>
  </r>
  <r>
    <x v="400"/>
    <x v="361"/>
    <x v="0"/>
    <x v="5"/>
    <x v="5"/>
    <x v="361"/>
    <x v="205"/>
    <x v="192"/>
    <x v="1"/>
    <x v="1"/>
    <x v="18"/>
    <x v="19"/>
    <x v="1"/>
    <x v="62"/>
    <x v="0"/>
    <x v="0"/>
    <x v="62"/>
    <x v="307"/>
    <x v="4"/>
    <x v="5"/>
    <x v="2"/>
    <x v="396"/>
    <x v="397"/>
    <x v="379"/>
    <x v="4"/>
    <x v="0"/>
  </r>
  <r>
    <x v="401"/>
    <x v="362"/>
    <x v="4"/>
    <x v="11"/>
    <x v="11"/>
    <x v="335"/>
    <x v="206"/>
    <x v="193"/>
    <x v="1"/>
    <x v="1"/>
    <x v="21"/>
    <x v="94"/>
    <x v="1"/>
    <x v="29"/>
    <x v="0"/>
    <x v="12"/>
    <x v="29"/>
    <x v="251"/>
    <x v="4"/>
    <x v="1"/>
    <x v="1"/>
    <x v="397"/>
    <x v="398"/>
    <x v="380"/>
    <x v="2"/>
    <x v="1"/>
  </r>
  <r>
    <x v="402"/>
    <x v="118"/>
    <x v="1"/>
    <x v="11"/>
    <x v="11"/>
    <x v="362"/>
    <x v="82"/>
    <x v="81"/>
    <x v="0"/>
    <x v="1"/>
    <x v="7"/>
    <x v="51"/>
    <x v="2"/>
    <x v="38"/>
    <x v="1"/>
    <x v="1"/>
    <x v="38"/>
    <x v="308"/>
    <x v="3"/>
    <x v="6"/>
    <x v="3"/>
    <x v="398"/>
    <x v="399"/>
    <x v="381"/>
    <x v="3"/>
    <x v="1"/>
  </r>
  <r>
    <x v="403"/>
    <x v="363"/>
    <x v="3"/>
    <x v="3"/>
    <x v="3"/>
    <x v="363"/>
    <x v="48"/>
    <x v="48"/>
    <x v="1"/>
    <x v="0"/>
    <x v="14"/>
    <x v="40"/>
    <x v="3"/>
    <x v="21"/>
    <x v="0"/>
    <x v="0"/>
    <x v="21"/>
    <x v="309"/>
    <x v="2"/>
    <x v="1"/>
    <x v="1"/>
    <x v="399"/>
    <x v="400"/>
    <x v="382"/>
    <x v="3"/>
    <x v="0"/>
  </r>
  <r>
    <x v="404"/>
    <x v="256"/>
    <x v="2"/>
    <x v="5"/>
    <x v="5"/>
    <x v="364"/>
    <x v="60"/>
    <x v="60"/>
    <x v="0"/>
    <x v="0"/>
    <x v="33"/>
    <x v="42"/>
    <x v="2"/>
    <x v="59"/>
    <x v="1"/>
    <x v="1"/>
    <x v="59"/>
    <x v="310"/>
    <x v="0"/>
    <x v="2"/>
    <x v="1"/>
    <x v="400"/>
    <x v="401"/>
    <x v="383"/>
    <x v="7"/>
    <x v="1"/>
  </r>
  <r>
    <x v="405"/>
    <x v="364"/>
    <x v="2"/>
    <x v="2"/>
    <x v="2"/>
    <x v="365"/>
    <x v="13"/>
    <x v="13"/>
    <x v="2"/>
    <x v="0"/>
    <x v="11"/>
    <x v="11"/>
    <x v="0"/>
    <x v="21"/>
    <x v="0"/>
    <x v="0"/>
    <x v="21"/>
    <x v="121"/>
    <x v="1"/>
    <x v="3"/>
    <x v="2"/>
    <x v="401"/>
    <x v="402"/>
    <x v="384"/>
    <x v="0"/>
    <x v="2"/>
  </r>
  <r>
    <x v="406"/>
    <x v="365"/>
    <x v="1"/>
    <x v="10"/>
    <x v="10"/>
    <x v="366"/>
    <x v="207"/>
    <x v="194"/>
    <x v="2"/>
    <x v="0"/>
    <x v="26"/>
    <x v="46"/>
    <x v="3"/>
    <x v="22"/>
    <x v="1"/>
    <x v="2"/>
    <x v="22"/>
    <x v="68"/>
    <x v="0"/>
    <x v="2"/>
    <x v="1"/>
    <x v="402"/>
    <x v="403"/>
    <x v="385"/>
    <x v="6"/>
    <x v="1"/>
  </r>
  <r>
    <x v="407"/>
    <x v="291"/>
    <x v="1"/>
    <x v="5"/>
    <x v="5"/>
    <x v="367"/>
    <x v="147"/>
    <x v="140"/>
    <x v="0"/>
    <x v="1"/>
    <x v="9"/>
    <x v="81"/>
    <x v="2"/>
    <x v="23"/>
    <x v="2"/>
    <x v="6"/>
    <x v="23"/>
    <x v="175"/>
    <x v="3"/>
    <x v="2"/>
    <x v="1"/>
    <x v="403"/>
    <x v="404"/>
    <x v="386"/>
    <x v="3"/>
    <x v="0"/>
  </r>
  <r>
    <x v="408"/>
    <x v="366"/>
    <x v="2"/>
    <x v="11"/>
    <x v="11"/>
    <x v="368"/>
    <x v="19"/>
    <x v="19"/>
    <x v="1"/>
    <x v="1"/>
    <x v="17"/>
    <x v="17"/>
    <x v="0"/>
    <x v="32"/>
    <x v="2"/>
    <x v="13"/>
    <x v="32"/>
    <x v="167"/>
    <x v="2"/>
    <x v="5"/>
    <x v="2"/>
    <x v="404"/>
    <x v="405"/>
    <x v="387"/>
    <x v="4"/>
    <x v="1"/>
  </r>
  <r>
    <x v="409"/>
    <x v="367"/>
    <x v="2"/>
    <x v="0"/>
    <x v="0"/>
    <x v="369"/>
    <x v="208"/>
    <x v="195"/>
    <x v="1"/>
    <x v="1"/>
    <x v="6"/>
    <x v="47"/>
    <x v="0"/>
    <x v="24"/>
    <x v="0"/>
    <x v="4"/>
    <x v="24"/>
    <x v="311"/>
    <x v="4"/>
    <x v="0"/>
    <x v="0"/>
    <x v="405"/>
    <x v="406"/>
    <x v="388"/>
    <x v="6"/>
    <x v="0"/>
  </r>
  <r>
    <x v="410"/>
    <x v="368"/>
    <x v="0"/>
    <x v="3"/>
    <x v="3"/>
    <x v="370"/>
    <x v="40"/>
    <x v="40"/>
    <x v="0"/>
    <x v="1"/>
    <x v="15"/>
    <x v="34"/>
    <x v="1"/>
    <x v="10"/>
    <x v="1"/>
    <x v="9"/>
    <x v="10"/>
    <x v="312"/>
    <x v="2"/>
    <x v="4"/>
    <x v="3"/>
    <x v="406"/>
    <x v="407"/>
    <x v="389"/>
    <x v="4"/>
    <x v="1"/>
  </r>
  <r>
    <x v="411"/>
    <x v="369"/>
    <x v="0"/>
    <x v="3"/>
    <x v="3"/>
    <x v="371"/>
    <x v="209"/>
    <x v="196"/>
    <x v="2"/>
    <x v="1"/>
    <x v="18"/>
    <x v="19"/>
    <x v="1"/>
    <x v="34"/>
    <x v="1"/>
    <x v="11"/>
    <x v="34"/>
    <x v="313"/>
    <x v="2"/>
    <x v="3"/>
    <x v="2"/>
    <x v="407"/>
    <x v="408"/>
    <x v="390"/>
    <x v="7"/>
    <x v="1"/>
  </r>
  <r>
    <x v="412"/>
    <x v="29"/>
    <x v="3"/>
    <x v="8"/>
    <x v="8"/>
    <x v="211"/>
    <x v="144"/>
    <x v="137"/>
    <x v="1"/>
    <x v="1"/>
    <x v="36"/>
    <x v="75"/>
    <x v="0"/>
    <x v="15"/>
    <x v="0"/>
    <x v="10"/>
    <x v="15"/>
    <x v="314"/>
    <x v="4"/>
    <x v="6"/>
    <x v="3"/>
    <x v="408"/>
    <x v="409"/>
    <x v="60"/>
    <x v="2"/>
    <x v="0"/>
  </r>
  <r>
    <x v="413"/>
    <x v="370"/>
    <x v="4"/>
    <x v="7"/>
    <x v="7"/>
    <x v="372"/>
    <x v="180"/>
    <x v="170"/>
    <x v="2"/>
    <x v="1"/>
    <x v="26"/>
    <x v="88"/>
    <x v="3"/>
    <x v="45"/>
    <x v="1"/>
    <x v="2"/>
    <x v="45"/>
    <x v="315"/>
    <x v="3"/>
    <x v="5"/>
    <x v="2"/>
    <x v="409"/>
    <x v="410"/>
    <x v="391"/>
    <x v="6"/>
    <x v="1"/>
  </r>
  <r>
    <x v="414"/>
    <x v="371"/>
    <x v="4"/>
    <x v="6"/>
    <x v="6"/>
    <x v="373"/>
    <x v="78"/>
    <x v="197"/>
    <x v="0"/>
    <x v="1"/>
    <x v="3"/>
    <x v="3"/>
    <x v="3"/>
    <x v="43"/>
    <x v="1"/>
    <x v="9"/>
    <x v="43"/>
    <x v="78"/>
    <x v="2"/>
    <x v="0"/>
    <x v="0"/>
    <x v="410"/>
    <x v="411"/>
    <x v="392"/>
    <x v="3"/>
    <x v="1"/>
  </r>
  <r>
    <x v="415"/>
    <x v="372"/>
    <x v="2"/>
    <x v="6"/>
    <x v="6"/>
    <x v="15"/>
    <x v="210"/>
    <x v="198"/>
    <x v="2"/>
    <x v="1"/>
    <x v="37"/>
    <x v="76"/>
    <x v="1"/>
    <x v="52"/>
    <x v="0"/>
    <x v="4"/>
    <x v="52"/>
    <x v="248"/>
    <x v="2"/>
    <x v="0"/>
    <x v="0"/>
    <x v="411"/>
    <x v="412"/>
    <x v="393"/>
    <x v="1"/>
    <x v="0"/>
  </r>
  <r>
    <x v="416"/>
    <x v="373"/>
    <x v="2"/>
    <x v="6"/>
    <x v="6"/>
    <x v="374"/>
    <x v="161"/>
    <x v="154"/>
    <x v="1"/>
    <x v="0"/>
    <x v="2"/>
    <x v="52"/>
    <x v="2"/>
    <x v="61"/>
    <x v="1"/>
    <x v="2"/>
    <x v="61"/>
    <x v="316"/>
    <x v="2"/>
    <x v="4"/>
    <x v="3"/>
    <x v="412"/>
    <x v="413"/>
    <x v="394"/>
    <x v="7"/>
    <x v="1"/>
  </r>
  <r>
    <x v="417"/>
    <x v="374"/>
    <x v="3"/>
    <x v="2"/>
    <x v="2"/>
    <x v="148"/>
    <x v="75"/>
    <x v="75"/>
    <x v="0"/>
    <x v="1"/>
    <x v="2"/>
    <x v="52"/>
    <x v="2"/>
    <x v="4"/>
    <x v="0"/>
    <x v="4"/>
    <x v="4"/>
    <x v="150"/>
    <x v="3"/>
    <x v="4"/>
    <x v="3"/>
    <x v="413"/>
    <x v="414"/>
    <x v="395"/>
    <x v="4"/>
    <x v="2"/>
  </r>
  <r>
    <x v="418"/>
    <x v="375"/>
    <x v="2"/>
    <x v="10"/>
    <x v="10"/>
    <x v="75"/>
    <x v="210"/>
    <x v="198"/>
    <x v="2"/>
    <x v="1"/>
    <x v="37"/>
    <x v="76"/>
    <x v="1"/>
    <x v="52"/>
    <x v="0"/>
    <x v="4"/>
    <x v="52"/>
    <x v="98"/>
    <x v="0"/>
    <x v="0"/>
    <x v="0"/>
    <x v="414"/>
    <x v="415"/>
    <x v="396"/>
    <x v="4"/>
    <x v="2"/>
  </r>
  <r>
    <x v="419"/>
    <x v="376"/>
    <x v="0"/>
    <x v="10"/>
    <x v="10"/>
    <x v="375"/>
    <x v="30"/>
    <x v="30"/>
    <x v="2"/>
    <x v="0"/>
    <x v="0"/>
    <x v="25"/>
    <x v="0"/>
    <x v="20"/>
    <x v="1"/>
    <x v="9"/>
    <x v="20"/>
    <x v="317"/>
    <x v="0"/>
    <x v="2"/>
    <x v="1"/>
    <x v="415"/>
    <x v="416"/>
    <x v="397"/>
    <x v="2"/>
    <x v="1"/>
  </r>
  <r>
    <x v="420"/>
    <x v="377"/>
    <x v="1"/>
    <x v="1"/>
    <x v="1"/>
    <x v="376"/>
    <x v="86"/>
    <x v="85"/>
    <x v="1"/>
    <x v="1"/>
    <x v="25"/>
    <x v="57"/>
    <x v="1"/>
    <x v="60"/>
    <x v="0"/>
    <x v="12"/>
    <x v="60"/>
    <x v="318"/>
    <x v="3"/>
    <x v="3"/>
    <x v="2"/>
    <x v="416"/>
    <x v="417"/>
    <x v="398"/>
    <x v="6"/>
    <x v="2"/>
  </r>
  <r>
    <x v="421"/>
    <x v="378"/>
    <x v="1"/>
    <x v="3"/>
    <x v="3"/>
    <x v="377"/>
    <x v="145"/>
    <x v="138"/>
    <x v="2"/>
    <x v="1"/>
    <x v="2"/>
    <x v="2"/>
    <x v="2"/>
    <x v="2"/>
    <x v="1"/>
    <x v="2"/>
    <x v="2"/>
    <x v="319"/>
    <x v="4"/>
    <x v="6"/>
    <x v="3"/>
    <x v="417"/>
    <x v="418"/>
    <x v="399"/>
    <x v="1"/>
    <x v="1"/>
  </r>
  <r>
    <x v="422"/>
    <x v="379"/>
    <x v="2"/>
    <x v="2"/>
    <x v="2"/>
    <x v="355"/>
    <x v="64"/>
    <x v="64"/>
    <x v="2"/>
    <x v="1"/>
    <x v="31"/>
    <x v="36"/>
    <x v="2"/>
    <x v="14"/>
    <x v="2"/>
    <x v="8"/>
    <x v="14"/>
    <x v="320"/>
    <x v="3"/>
    <x v="4"/>
    <x v="3"/>
    <x v="418"/>
    <x v="419"/>
    <x v="400"/>
    <x v="4"/>
    <x v="2"/>
  </r>
  <r>
    <x v="423"/>
    <x v="380"/>
    <x v="2"/>
    <x v="7"/>
    <x v="7"/>
    <x v="378"/>
    <x v="36"/>
    <x v="36"/>
    <x v="0"/>
    <x v="1"/>
    <x v="16"/>
    <x v="31"/>
    <x v="1"/>
    <x v="31"/>
    <x v="1"/>
    <x v="1"/>
    <x v="31"/>
    <x v="321"/>
    <x v="0"/>
    <x v="1"/>
    <x v="1"/>
    <x v="419"/>
    <x v="420"/>
    <x v="401"/>
    <x v="1"/>
    <x v="1"/>
  </r>
  <r>
    <x v="424"/>
    <x v="14"/>
    <x v="2"/>
    <x v="10"/>
    <x v="10"/>
    <x v="14"/>
    <x v="208"/>
    <x v="195"/>
    <x v="1"/>
    <x v="1"/>
    <x v="6"/>
    <x v="47"/>
    <x v="0"/>
    <x v="1"/>
    <x v="1"/>
    <x v="1"/>
    <x v="1"/>
    <x v="322"/>
    <x v="2"/>
    <x v="0"/>
    <x v="0"/>
    <x v="420"/>
    <x v="421"/>
    <x v="402"/>
    <x v="3"/>
    <x v="1"/>
  </r>
  <r>
    <x v="425"/>
    <x v="381"/>
    <x v="1"/>
    <x v="1"/>
    <x v="1"/>
    <x v="379"/>
    <x v="211"/>
    <x v="199"/>
    <x v="0"/>
    <x v="1"/>
    <x v="26"/>
    <x v="46"/>
    <x v="3"/>
    <x v="53"/>
    <x v="2"/>
    <x v="3"/>
    <x v="53"/>
    <x v="323"/>
    <x v="0"/>
    <x v="4"/>
    <x v="3"/>
    <x v="421"/>
    <x v="422"/>
    <x v="403"/>
    <x v="4"/>
    <x v="0"/>
  </r>
  <r>
    <x v="426"/>
    <x v="382"/>
    <x v="2"/>
    <x v="9"/>
    <x v="9"/>
    <x v="380"/>
    <x v="182"/>
    <x v="173"/>
    <x v="0"/>
    <x v="1"/>
    <x v="29"/>
    <x v="16"/>
    <x v="1"/>
    <x v="2"/>
    <x v="1"/>
    <x v="2"/>
    <x v="2"/>
    <x v="324"/>
    <x v="2"/>
    <x v="1"/>
    <x v="1"/>
    <x v="422"/>
    <x v="423"/>
    <x v="404"/>
    <x v="0"/>
    <x v="1"/>
  </r>
  <r>
    <x v="427"/>
    <x v="383"/>
    <x v="0"/>
    <x v="10"/>
    <x v="10"/>
    <x v="381"/>
    <x v="11"/>
    <x v="11"/>
    <x v="0"/>
    <x v="0"/>
    <x v="10"/>
    <x v="10"/>
    <x v="0"/>
    <x v="1"/>
    <x v="1"/>
    <x v="1"/>
    <x v="1"/>
    <x v="325"/>
    <x v="0"/>
    <x v="3"/>
    <x v="2"/>
    <x v="423"/>
    <x v="424"/>
    <x v="405"/>
    <x v="3"/>
    <x v="1"/>
  </r>
  <r>
    <x v="428"/>
    <x v="384"/>
    <x v="3"/>
    <x v="0"/>
    <x v="0"/>
    <x v="382"/>
    <x v="212"/>
    <x v="200"/>
    <x v="1"/>
    <x v="1"/>
    <x v="2"/>
    <x v="55"/>
    <x v="2"/>
    <x v="34"/>
    <x v="1"/>
    <x v="11"/>
    <x v="34"/>
    <x v="326"/>
    <x v="2"/>
    <x v="5"/>
    <x v="2"/>
    <x v="424"/>
    <x v="425"/>
    <x v="406"/>
    <x v="4"/>
    <x v="1"/>
  </r>
  <r>
    <x v="429"/>
    <x v="385"/>
    <x v="3"/>
    <x v="3"/>
    <x v="3"/>
    <x v="383"/>
    <x v="213"/>
    <x v="201"/>
    <x v="2"/>
    <x v="0"/>
    <x v="3"/>
    <x v="43"/>
    <x v="3"/>
    <x v="56"/>
    <x v="0"/>
    <x v="0"/>
    <x v="56"/>
    <x v="327"/>
    <x v="0"/>
    <x v="1"/>
    <x v="1"/>
    <x v="425"/>
    <x v="426"/>
    <x v="407"/>
    <x v="6"/>
    <x v="2"/>
  </r>
  <r>
    <x v="430"/>
    <x v="386"/>
    <x v="2"/>
    <x v="4"/>
    <x v="4"/>
    <x v="384"/>
    <x v="214"/>
    <x v="202"/>
    <x v="0"/>
    <x v="1"/>
    <x v="14"/>
    <x v="40"/>
    <x v="3"/>
    <x v="57"/>
    <x v="0"/>
    <x v="4"/>
    <x v="57"/>
    <x v="328"/>
    <x v="3"/>
    <x v="0"/>
    <x v="0"/>
    <x v="426"/>
    <x v="427"/>
    <x v="99"/>
    <x v="6"/>
    <x v="2"/>
  </r>
  <r>
    <x v="431"/>
    <x v="387"/>
    <x v="1"/>
    <x v="4"/>
    <x v="4"/>
    <x v="385"/>
    <x v="65"/>
    <x v="65"/>
    <x v="1"/>
    <x v="1"/>
    <x v="18"/>
    <x v="44"/>
    <x v="1"/>
    <x v="20"/>
    <x v="1"/>
    <x v="9"/>
    <x v="20"/>
    <x v="188"/>
    <x v="2"/>
    <x v="0"/>
    <x v="0"/>
    <x v="427"/>
    <x v="428"/>
    <x v="408"/>
    <x v="6"/>
    <x v="1"/>
  </r>
  <r>
    <x v="432"/>
    <x v="388"/>
    <x v="1"/>
    <x v="0"/>
    <x v="0"/>
    <x v="386"/>
    <x v="180"/>
    <x v="170"/>
    <x v="2"/>
    <x v="1"/>
    <x v="26"/>
    <x v="88"/>
    <x v="3"/>
    <x v="18"/>
    <x v="1"/>
    <x v="11"/>
    <x v="18"/>
    <x v="329"/>
    <x v="4"/>
    <x v="1"/>
    <x v="1"/>
    <x v="428"/>
    <x v="429"/>
    <x v="409"/>
    <x v="5"/>
    <x v="1"/>
  </r>
  <r>
    <x v="433"/>
    <x v="309"/>
    <x v="0"/>
    <x v="4"/>
    <x v="4"/>
    <x v="387"/>
    <x v="51"/>
    <x v="51"/>
    <x v="1"/>
    <x v="1"/>
    <x v="3"/>
    <x v="3"/>
    <x v="3"/>
    <x v="29"/>
    <x v="0"/>
    <x v="12"/>
    <x v="29"/>
    <x v="302"/>
    <x v="1"/>
    <x v="3"/>
    <x v="2"/>
    <x v="429"/>
    <x v="430"/>
    <x v="410"/>
    <x v="8"/>
    <x v="1"/>
  </r>
  <r>
    <x v="434"/>
    <x v="389"/>
    <x v="3"/>
    <x v="6"/>
    <x v="6"/>
    <x v="388"/>
    <x v="215"/>
    <x v="203"/>
    <x v="0"/>
    <x v="0"/>
    <x v="16"/>
    <x v="83"/>
    <x v="1"/>
    <x v="8"/>
    <x v="0"/>
    <x v="7"/>
    <x v="8"/>
    <x v="330"/>
    <x v="2"/>
    <x v="4"/>
    <x v="3"/>
    <x v="430"/>
    <x v="431"/>
    <x v="411"/>
    <x v="5"/>
    <x v="1"/>
  </r>
  <r>
    <x v="435"/>
    <x v="390"/>
    <x v="2"/>
    <x v="6"/>
    <x v="6"/>
    <x v="29"/>
    <x v="43"/>
    <x v="43"/>
    <x v="0"/>
    <x v="1"/>
    <x v="31"/>
    <x v="36"/>
    <x v="2"/>
    <x v="43"/>
    <x v="1"/>
    <x v="9"/>
    <x v="43"/>
    <x v="331"/>
    <x v="4"/>
    <x v="4"/>
    <x v="3"/>
    <x v="431"/>
    <x v="432"/>
    <x v="412"/>
    <x v="6"/>
    <x v="1"/>
  </r>
  <r>
    <x v="436"/>
    <x v="391"/>
    <x v="0"/>
    <x v="8"/>
    <x v="8"/>
    <x v="389"/>
    <x v="117"/>
    <x v="115"/>
    <x v="2"/>
    <x v="1"/>
    <x v="12"/>
    <x v="37"/>
    <x v="2"/>
    <x v="16"/>
    <x v="1"/>
    <x v="1"/>
    <x v="16"/>
    <x v="332"/>
    <x v="0"/>
    <x v="2"/>
    <x v="1"/>
    <x v="432"/>
    <x v="433"/>
    <x v="94"/>
    <x v="4"/>
    <x v="1"/>
  </r>
  <r>
    <x v="437"/>
    <x v="367"/>
    <x v="2"/>
    <x v="0"/>
    <x v="0"/>
    <x v="104"/>
    <x v="207"/>
    <x v="194"/>
    <x v="2"/>
    <x v="0"/>
    <x v="26"/>
    <x v="46"/>
    <x v="3"/>
    <x v="15"/>
    <x v="0"/>
    <x v="10"/>
    <x v="15"/>
    <x v="333"/>
    <x v="3"/>
    <x v="6"/>
    <x v="3"/>
    <x v="433"/>
    <x v="434"/>
    <x v="413"/>
    <x v="1"/>
    <x v="2"/>
  </r>
  <r>
    <x v="438"/>
    <x v="392"/>
    <x v="0"/>
    <x v="8"/>
    <x v="8"/>
    <x v="390"/>
    <x v="124"/>
    <x v="92"/>
    <x v="0"/>
    <x v="1"/>
    <x v="3"/>
    <x v="43"/>
    <x v="3"/>
    <x v="66"/>
    <x v="0"/>
    <x v="7"/>
    <x v="66"/>
    <x v="334"/>
    <x v="4"/>
    <x v="1"/>
    <x v="1"/>
    <x v="434"/>
    <x v="435"/>
    <x v="414"/>
    <x v="1"/>
    <x v="0"/>
  </r>
  <r>
    <x v="439"/>
    <x v="393"/>
    <x v="3"/>
    <x v="4"/>
    <x v="4"/>
    <x v="391"/>
    <x v="202"/>
    <x v="189"/>
    <x v="1"/>
    <x v="1"/>
    <x v="32"/>
    <x v="38"/>
    <x v="0"/>
    <x v="47"/>
    <x v="2"/>
    <x v="13"/>
    <x v="47"/>
    <x v="275"/>
    <x v="4"/>
    <x v="0"/>
    <x v="0"/>
    <x v="435"/>
    <x v="436"/>
    <x v="415"/>
    <x v="3"/>
    <x v="2"/>
  </r>
  <r>
    <x v="440"/>
    <x v="136"/>
    <x v="0"/>
    <x v="2"/>
    <x v="2"/>
    <x v="392"/>
    <x v="166"/>
    <x v="115"/>
    <x v="0"/>
    <x v="1"/>
    <x v="9"/>
    <x v="81"/>
    <x v="2"/>
    <x v="31"/>
    <x v="1"/>
    <x v="1"/>
    <x v="31"/>
    <x v="171"/>
    <x v="4"/>
    <x v="1"/>
    <x v="1"/>
    <x v="436"/>
    <x v="437"/>
    <x v="416"/>
    <x v="3"/>
    <x v="1"/>
  </r>
  <r>
    <x v="441"/>
    <x v="2"/>
    <x v="2"/>
    <x v="2"/>
    <x v="2"/>
    <x v="393"/>
    <x v="14"/>
    <x v="14"/>
    <x v="0"/>
    <x v="1"/>
    <x v="12"/>
    <x v="12"/>
    <x v="2"/>
    <x v="32"/>
    <x v="2"/>
    <x v="13"/>
    <x v="32"/>
    <x v="335"/>
    <x v="3"/>
    <x v="0"/>
    <x v="0"/>
    <x v="437"/>
    <x v="438"/>
    <x v="417"/>
    <x v="6"/>
    <x v="2"/>
  </r>
  <r>
    <x v="442"/>
    <x v="64"/>
    <x v="2"/>
    <x v="10"/>
    <x v="10"/>
    <x v="394"/>
    <x v="202"/>
    <x v="189"/>
    <x v="1"/>
    <x v="1"/>
    <x v="32"/>
    <x v="38"/>
    <x v="0"/>
    <x v="3"/>
    <x v="2"/>
    <x v="3"/>
    <x v="3"/>
    <x v="336"/>
    <x v="0"/>
    <x v="6"/>
    <x v="3"/>
    <x v="438"/>
    <x v="439"/>
    <x v="418"/>
    <x v="4"/>
    <x v="0"/>
  </r>
  <r>
    <x v="443"/>
    <x v="209"/>
    <x v="4"/>
    <x v="0"/>
    <x v="0"/>
    <x v="395"/>
    <x v="66"/>
    <x v="66"/>
    <x v="0"/>
    <x v="1"/>
    <x v="1"/>
    <x v="1"/>
    <x v="1"/>
    <x v="56"/>
    <x v="0"/>
    <x v="0"/>
    <x v="56"/>
    <x v="337"/>
    <x v="0"/>
    <x v="0"/>
    <x v="0"/>
    <x v="439"/>
    <x v="440"/>
    <x v="419"/>
    <x v="0"/>
    <x v="2"/>
  </r>
  <r>
    <x v="444"/>
    <x v="394"/>
    <x v="4"/>
    <x v="5"/>
    <x v="5"/>
    <x v="266"/>
    <x v="205"/>
    <x v="192"/>
    <x v="1"/>
    <x v="1"/>
    <x v="18"/>
    <x v="19"/>
    <x v="1"/>
    <x v="48"/>
    <x v="2"/>
    <x v="6"/>
    <x v="48"/>
    <x v="338"/>
    <x v="1"/>
    <x v="4"/>
    <x v="3"/>
    <x v="440"/>
    <x v="441"/>
    <x v="420"/>
    <x v="1"/>
    <x v="2"/>
  </r>
  <r>
    <x v="445"/>
    <x v="395"/>
    <x v="1"/>
    <x v="6"/>
    <x v="6"/>
    <x v="396"/>
    <x v="216"/>
    <x v="204"/>
    <x v="1"/>
    <x v="1"/>
    <x v="12"/>
    <x v="20"/>
    <x v="2"/>
    <x v="39"/>
    <x v="0"/>
    <x v="12"/>
    <x v="39"/>
    <x v="339"/>
    <x v="2"/>
    <x v="1"/>
    <x v="1"/>
    <x v="441"/>
    <x v="442"/>
    <x v="421"/>
    <x v="1"/>
    <x v="0"/>
  </r>
  <r>
    <x v="446"/>
    <x v="396"/>
    <x v="3"/>
    <x v="11"/>
    <x v="11"/>
    <x v="397"/>
    <x v="217"/>
    <x v="205"/>
    <x v="2"/>
    <x v="1"/>
    <x v="20"/>
    <x v="22"/>
    <x v="1"/>
    <x v="28"/>
    <x v="0"/>
    <x v="12"/>
    <x v="28"/>
    <x v="340"/>
    <x v="2"/>
    <x v="0"/>
    <x v="0"/>
    <x v="442"/>
    <x v="443"/>
    <x v="422"/>
    <x v="5"/>
    <x v="0"/>
  </r>
  <r>
    <x v="447"/>
    <x v="182"/>
    <x v="0"/>
    <x v="5"/>
    <x v="5"/>
    <x v="398"/>
    <x v="114"/>
    <x v="112"/>
    <x v="1"/>
    <x v="1"/>
    <x v="12"/>
    <x v="37"/>
    <x v="2"/>
    <x v="5"/>
    <x v="2"/>
    <x v="5"/>
    <x v="5"/>
    <x v="243"/>
    <x v="1"/>
    <x v="1"/>
    <x v="1"/>
    <x v="443"/>
    <x v="444"/>
    <x v="423"/>
    <x v="6"/>
    <x v="1"/>
  </r>
  <r>
    <x v="448"/>
    <x v="397"/>
    <x v="0"/>
    <x v="3"/>
    <x v="3"/>
    <x v="399"/>
    <x v="218"/>
    <x v="206"/>
    <x v="2"/>
    <x v="1"/>
    <x v="24"/>
    <x v="60"/>
    <x v="2"/>
    <x v="57"/>
    <x v="0"/>
    <x v="4"/>
    <x v="57"/>
    <x v="228"/>
    <x v="3"/>
    <x v="3"/>
    <x v="2"/>
    <x v="444"/>
    <x v="445"/>
    <x v="424"/>
    <x v="6"/>
    <x v="0"/>
  </r>
  <r>
    <x v="449"/>
    <x v="398"/>
    <x v="0"/>
    <x v="5"/>
    <x v="5"/>
    <x v="400"/>
    <x v="190"/>
    <x v="181"/>
    <x v="2"/>
    <x v="1"/>
    <x v="23"/>
    <x v="26"/>
    <x v="3"/>
    <x v="18"/>
    <x v="1"/>
    <x v="11"/>
    <x v="18"/>
    <x v="341"/>
    <x v="4"/>
    <x v="2"/>
    <x v="1"/>
    <x v="445"/>
    <x v="446"/>
    <x v="425"/>
    <x v="7"/>
    <x v="1"/>
  </r>
  <r>
    <x v="450"/>
    <x v="399"/>
    <x v="0"/>
    <x v="4"/>
    <x v="4"/>
    <x v="311"/>
    <x v="33"/>
    <x v="35"/>
    <x v="1"/>
    <x v="1"/>
    <x v="5"/>
    <x v="28"/>
    <x v="3"/>
    <x v="8"/>
    <x v="0"/>
    <x v="7"/>
    <x v="8"/>
    <x v="342"/>
    <x v="2"/>
    <x v="6"/>
    <x v="3"/>
    <x v="446"/>
    <x v="447"/>
    <x v="426"/>
    <x v="7"/>
    <x v="1"/>
  </r>
  <r>
    <x v="451"/>
    <x v="400"/>
    <x v="2"/>
    <x v="6"/>
    <x v="6"/>
    <x v="401"/>
    <x v="202"/>
    <x v="189"/>
    <x v="1"/>
    <x v="1"/>
    <x v="32"/>
    <x v="38"/>
    <x v="0"/>
    <x v="52"/>
    <x v="0"/>
    <x v="4"/>
    <x v="52"/>
    <x v="77"/>
    <x v="4"/>
    <x v="0"/>
    <x v="0"/>
    <x v="447"/>
    <x v="448"/>
    <x v="427"/>
    <x v="7"/>
    <x v="2"/>
  </r>
  <r>
    <x v="452"/>
    <x v="401"/>
    <x v="4"/>
    <x v="11"/>
    <x v="11"/>
    <x v="402"/>
    <x v="191"/>
    <x v="113"/>
    <x v="1"/>
    <x v="1"/>
    <x v="17"/>
    <x v="17"/>
    <x v="0"/>
    <x v="35"/>
    <x v="0"/>
    <x v="4"/>
    <x v="35"/>
    <x v="343"/>
    <x v="2"/>
    <x v="6"/>
    <x v="3"/>
    <x v="448"/>
    <x v="449"/>
    <x v="428"/>
    <x v="1"/>
    <x v="1"/>
  </r>
  <r>
    <x v="453"/>
    <x v="402"/>
    <x v="4"/>
    <x v="1"/>
    <x v="1"/>
    <x v="223"/>
    <x v="29"/>
    <x v="29"/>
    <x v="2"/>
    <x v="1"/>
    <x v="22"/>
    <x v="89"/>
    <x v="3"/>
    <x v="35"/>
    <x v="0"/>
    <x v="4"/>
    <x v="35"/>
    <x v="344"/>
    <x v="1"/>
    <x v="3"/>
    <x v="2"/>
    <x v="449"/>
    <x v="450"/>
    <x v="429"/>
    <x v="1"/>
    <x v="0"/>
  </r>
  <r>
    <x v="454"/>
    <x v="87"/>
    <x v="0"/>
    <x v="7"/>
    <x v="7"/>
    <x v="165"/>
    <x v="168"/>
    <x v="159"/>
    <x v="1"/>
    <x v="1"/>
    <x v="24"/>
    <x v="60"/>
    <x v="2"/>
    <x v="14"/>
    <x v="2"/>
    <x v="8"/>
    <x v="14"/>
    <x v="345"/>
    <x v="1"/>
    <x v="2"/>
    <x v="1"/>
    <x v="450"/>
    <x v="451"/>
    <x v="430"/>
    <x v="6"/>
    <x v="2"/>
  </r>
  <r>
    <x v="455"/>
    <x v="403"/>
    <x v="2"/>
    <x v="4"/>
    <x v="4"/>
    <x v="403"/>
    <x v="59"/>
    <x v="59"/>
    <x v="1"/>
    <x v="1"/>
    <x v="6"/>
    <x v="47"/>
    <x v="0"/>
    <x v="34"/>
    <x v="1"/>
    <x v="11"/>
    <x v="34"/>
    <x v="346"/>
    <x v="1"/>
    <x v="0"/>
    <x v="0"/>
    <x v="451"/>
    <x v="452"/>
    <x v="431"/>
    <x v="7"/>
    <x v="0"/>
  </r>
  <r>
    <x v="456"/>
    <x v="404"/>
    <x v="1"/>
    <x v="4"/>
    <x v="4"/>
    <x v="404"/>
    <x v="73"/>
    <x v="73"/>
    <x v="1"/>
    <x v="1"/>
    <x v="7"/>
    <x v="51"/>
    <x v="2"/>
    <x v="30"/>
    <x v="0"/>
    <x v="10"/>
    <x v="30"/>
    <x v="23"/>
    <x v="2"/>
    <x v="0"/>
    <x v="0"/>
    <x v="452"/>
    <x v="453"/>
    <x v="432"/>
    <x v="4"/>
    <x v="0"/>
  </r>
  <r>
    <x v="457"/>
    <x v="405"/>
    <x v="2"/>
    <x v="4"/>
    <x v="4"/>
    <x v="405"/>
    <x v="219"/>
    <x v="207"/>
    <x v="1"/>
    <x v="1"/>
    <x v="20"/>
    <x v="22"/>
    <x v="1"/>
    <x v="56"/>
    <x v="0"/>
    <x v="0"/>
    <x v="56"/>
    <x v="347"/>
    <x v="1"/>
    <x v="5"/>
    <x v="2"/>
    <x v="453"/>
    <x v="454"/>
    <x v="433"/>
    <x v="7"/>
    <x v="2"/>
  </r>
  <r>
    <x v="458"/>
    <x v="257"/>
    <x v="0"/>
    <x v="3"/>
    <x v="3"/>
    <x v="406"/>
    <x v="1"/>
    <x v="1"/>
    <x v="1"/>
    <x v="1"/>
    <x v="1"/>
    <x v="1"/>
    <x v="1"/>
    <x v="14"/>
    <x v="2"/>
    <x v="8"/>
    <x v="14"/>
    <x v="345"/>
    <x v="1"/>
    <x v="2"/>
    <x v="1"/>
    <x v="454"/>
    <x v="455"/>
    <x v="434"/>
    <x v="2"/>
    <x v="2"/>
  </r>
  <r>
    <x v="459"/>
    <x v="205"/>
    <x v="4"/>
    <x v="4"/>
    <x v="4"/>
    <x v="407"/>
    <x v="220"/>
    <x v="208"/>
    <x v="2"/>
    <x v="1"/>
    <x v="11"/>
    <x v="10"/>
    <x v="0"/>
    <x v="7"/>
    <x v="2"/>
    <x v="6"/>
    <x v="7"/>
    <x v="106"/>
    <x v="2"/>
    <x v="0"/>
    <x v="0"/>
    <x v="455"/>
    <x v="456"/>
    <x v="435"/>
    <x v="5"/>
    <x v="1"/>
  </r>
  <r>
    <x v="460"/>
    <x v="406"/>
    <x v="0"/>
    <x v="8"/>
    <x v="8"/>
    <x v="99"/>
    <x v="221"/>
    <x v="209"/>
    <x v="1"/>
    <x v="1"/>
    <x v="15"/>
    <x v="15"/>
    <x v="1"/>
    <x v="3"/>
    <x v="2"/>
    <x v="3"/>
    <x v="3"/>
    <x v="348"/>
    <x v="4"/>
    <x v="5"/>
    <x v="2"/>
    <x v="456"/>
    <x v="457"/>
    <x v="242"/>
    <x v="5"/>
    <x v="0"/>
  </r>
  <r>
    <x v="461"/>
    <x v="407"/>
    <x v="3"/>
    <x v="4"/>
    <x v="4"/>
    <x v="408"/>
    <x v="104"/>
    <x v="102"/>
    <x v="1"/>
    <x v="0"/>
    <x v="3"/>
    <x v="66"/>
    <x v="3"/>
    <x v="12"/>
    <x v="0"/>
    <x v="7"/>
    <x v="12"/>
    <x v="25"/>
    <x v="1"/>
    <x v="2"/>
    <x v="1"/>
    <x v="457"/>
    <x v="458"/>
    <x v="436"/>
    <x v="1"/>
    <x v="1"/>
  </r>
  <r>
    <x v="462"/>
    <x v="408"/>
    <x v="1"/>
    <x v="11"/>
    <x v="11"/>
    <x v="409"/>
    <x v="222"/>
    <x v="210"/>
    <x v="0"/>
    <x v="1"/>
    <x v="34"/>
    <x v="95"/>
    <x v="3"/>
    <x v="34"/>
    <x v="1"/>
    <x v="11"/>
    <x v="34"/>
    <x v="95"/>
    <x v="3"/>
    <x v="0"/>
    <x v="0"/>
    <x v="458"/>
    <x v="459"/>
    <x v="437"/>
    <x v="4"/>
    <x v="0"/>
  </r>
  <r>
    <x v="463"/>
    <x v="381"/>
    <x v="1"/>
    <x v="1"/>
    <x v="1"/>
    <x v="379"/>
    <x v="207"/>
    <x v="194"/>
    <x v="2"/>
    <x v="0"/>
    <x v="26"/>
    <x v="46"/>
    <x v="3"/>
    <x v="10"/>
    <x v="1"/>
    <x v="9"/>
    <x v="10"/>
    <x v="94"/>
    <x v="0"/>
    <x v="5"/>
    <x v="2"/>
    <x v="459"/>
    <x v="460"/>
    <x v="438"/>
    <x v="5"/>
    <x v="1"/>
  </r>
  <r>
    <x v="464"/>
    <x v="113"/>
    <x v="0"/>
    <x v="10"/>
    <x v="10"/>
    <x v="410"/>
    <x v="223"/>
    <x v="211"/>
    <x v="2"/>
    <x v="1"/>
    <x v="28"/>
    <x v="96"/>
    <x v="3"/>
    <x v="64"/>
    <x v="1"/>
    <x v="11"/>
    <x v="64"/>
    <x v="349"/>
    <x v="3"/>
    <x v="3"/>
    <x v="2"/>
    <x v="460"/>
    <x v="461"/>
    <x v="439"/>
    <x v="2"/>
    <x v="0"/>
  </r>
  <r>
    <x v="465"/>
    <x v="409"/>
    <x v="4"/>
    <x v="0"/>
    <x v="0"/>
    <x v="411"/>
    <x v="109"/>
    <x v="107"/>
    <x v="0"/>
    <x v="1"/>
    <x v="21"/>
    <x v="69"/>
    <x v="1"/>
    <x v="45"/>
    <x v="1"/>
    <x v="2"/>
    <x v="45"/>
    <x v="17"/>
    <x v="3"/>
    <x v="0"/>
    <x v="0"/>
    <x v="461"/>
    <x v="462"/>
    <x v="440"/>
    <x v="0"/>
    <x v="1"/>
  </r>
  <r>
    <x v="466"/>
    <x v="48"/>
    <x v="0"/>
    <x v="2"/>
    <x v="2"/>
    <x v="412"/>
    <x v="224"/>
    <x v="212"/>
    <x v="0"/>
    <x v="0"/>
    <x v="10"/>
    <x v="97"/>
    <x v="0"/>
    <x v="59"/>
    <x v="1"/>
    <x v="1"/>
    <x v="59"/>
    <x v="350"/>
    <x v="2"/>
    <x v="0"/>
    <x v="0"/>
    <x v="462"/>
    <x v="463"/>
    <x v="441"/>
    <x v="4"/>
    <x v="1"/>
  </r>
  <r>
    <x v="467"/>
    <x v="410"/>
    <x v="4"/>
    <x v="1"/>
    <x v="1"/>
    <x v="413"/>
    <x v="74"/>
    <x v="74"/>
    <x v="2"/>
    <x v="1"/>
    <x v="33"/>
    <x v="42"/>
    <x v="2"/>
    <x v="45"/>
    <x v="1"/>
    <x v="2"/>
    <x v="45"/>
    <x v="59"/>
    <x v="3"/>
    <x v="2"/>
    <x v="1"/>
    <x v="463"/>
    <x v="464"/>
    <x v="442"/>
    <x v="2"/>
    <x v="1"/>
  </r>
  <r>
    <x v="468"/>
    <x v="249"/>
    <x v="2"/>
    <x v="2"/>
    <x v="2"/>
    <x v="116"/>
    <x v="225"/>
    <x v="213"/>
    <x v="1"/>
    <x v="1"/>
    <x v="9"/>
    <x v="81"/>
    <x v="2"/>
    <x v="17"/>
    <x v="1"/>
    <x v="9"/>
    <x v="17"/>
    <x v="316"/>
    <x v="2"/>
    <x v="4"/>
    <x v="3"/>
    <x v="464"/>
    <x v="465"/>
    <x v="308"/>
    <x v="4"/>
    <x v="1"/>
  </r>
  <r>
    <x v="469"/>
    <x v="5"/>
    <x v="0"/>
    <x v="4"/>
    <x v="4"/>
    <x v="414"/>
    <x v="171"/>
    <x v="162"/>
    <x v="2"/>
    <x v="1"/>
    <x v="2"/>
    <x v="52"/>
    <x v="2"/>
    <x v="8"/>
    <x v="0"/>
    <x v="7"/>
    <x v="8"/>
    <x v="351"/>
    <x v="4"/>
    <x v="4"/>
    <x v="3"/>
    <x v="465"/>
    <x v="466"/>
    <x v="443"/>
    <x v="5"/>
    <x v="0"/>
  </r>
  <r>
    <x v="470"/>
    <x v="411"/>
    <x v="2"/>
    <x v="5"/>
    <x v="5"/>
    <x v="415"/>
    <x v="64"/>
    <x v="64"/>
    <x v="2"/>
    <x v="1"/>
    <x v="31"/>
    <x v="36"/>
    <x v="2"/>
    <x v="49"/>
    <x v="2"/>
    <x v="5"/>
    <x v="49"/>
    <x v="165"/>
    <x v="4"/>
    <x v="6"/>
    <x v="3"/>
    <x v="466"/>
    <x v="467"/>
    <x v="444"/>
    <x v="5"/>
    <x v="1"/>
  </r>
  <r>
    <x v="471"/>
    <x v="412"/>
    <x v="0"/>
    <x v="1"/>
    <x v="1"/>
    <x v="416"/>
    <x v="226"/>
    <x v="214"/>
    <x v="1"/>
    <x v="1"/>
    <x v="0"/>
    <x v="0"/>
    <x v="0"/>
    <x v="31"/>
    <x v="1"/>
    <x v="1"/>
    <x v="31"/>
    <x v="232"/>
    <x v="2"/>
    <x v="0"/>
    <x v="0"/>
    <x v="467"/>
    <x v="468"/>
    <x v="445"/>
    <x v="1"/>
    <x v="1"/>
  </r>
  <r>
    <x v="472"/>
    <x v="413"/>
    <x v="4"/>
    <x v="5"/>
    <x v="5"/>
    <x v="417"/>
    <x v="227"/>
    <x v="54"/>
    <x v="1"/>
    <x v="1"/>
    <x v="10"/>
    <x v="10"/>
    <x v="0"/>
    <x v="25"/>
    <x v="2"/>
    <x v="13"/>
    <x v="25"/>
    <x v="209"/>
    <x v="4"/>
    <x v="6"/>
    <x v="3"/>
    <x v="468"/>
    <x v="469"/>
    <x v="446"/>
    <x v="7"/>
    <x v="2"/>
  </r>
  <r>
    <x v="473"/>
    <x v="414"/>
    <x v="2"/>
    <x v="0"/>
    <x v="0"/>
    <x v="418"/>
    <x v="158"/>
    <x v="151"/>
    <x v="0"/>
    <x v="1"/>
    <x v="22"/>
    <x v="53"/>
    <x v="3"/>
    <x v="20"/>
    <x v="1"/>
    <x v="9"/>
    <x v="20"/>
    <x v="117"/>
    <x v="1"/>
    <x v="3"/>
    <x v="2"/>
    <x v="469"/>
    <x v="470"/>
    <x v="447"/>
    <x v="4"/>
    <x v="1"/>
  </r>
  <r>
    <x v="474"/>
    <x v="415"/>
    <x v="4"/>
    <x v="0"/>
    <x v="0"/>
    <x v="411"/>
    <x v="228"/>
    <x v="215"/>
    <x v="2"/>
    <x v="1"/>
    <x v="32"/>
    <x v="38"/>
    <x v="0"/>
    <x v="59"/>
    <x v="1"/>
    <x v="1"/>
    <x v="59"/>
    <x v="352"/>
    <x v="3"/>
    <x v="4"/>
    <x v="3"/>
    <x v="470"/>
    <x v="471"/>
    <x v="448"/>
    <x v="6"/>
    <x v="1"/>
  </r>
  <r>
    <x v="475"/>
    <x v="416"/>
    <x v="4"/>
    <x v="4"/>
    <x v="4"/>
    <x v="419"/>
    <x v="203"/>
    <x v="190"/>
    <x v="1"/>
    <x v="1"/>
    <x v="7"/>
    <x v="93"/>
    <x v="2"/>
    <x v="51"/>
    <x v="1"/>
    <x v="9"/>
    <x v="51"/>
    <x v="353"/>
    <x v="4"/>
    <x v="0"/>
    <x v="0"/>
    <x v="471"/>
    <x v="472"/>
    <x v="449"/>
    <x v="5"/>
    <x v="1"/>
  </r>
  <r>
    <x v="476"/>
    <x v="417"/>
    <x v="4"/>
    <x v="3"/>
    <x v="3"/>
    <x v="59"/>
    <x v="65"/>
    <x v="65"/>
    <x v="1"/>
    <x v="1"/>
    <x v="18"/>
    <x v="44"/>
    <x v="1"/>
    <x v="3"/>
    <x v="2"/>
    <x v="3"/>
    <x v="3"/>
    <x v="354"/>
    <x v="2"/>
    <x v="5"/>
    <x v="2"/>
    <x v="472"/>
    <x v="473"/>
    <x v="450"/>
    <x v="2"/>
    <x v="0"/>
  </r>
  <r>
    <x v="477"/>
    <x v="418"/>
    <x v="3"/>
    <x v="3"/>
    <x v="3"/>
    <x v="420"/>
    <x v="185"/>
    <x v="176"/>
    <x v="0"/>
    <x v="1"/>
    <x v="27"/>
    <x v="32"/>
    <x v="1"/>
    <x v="30"/>
    <x v="0"/>
    <x v="10"/>
    <x v="30"/>
    <x v="121"/>
    <x v="4"/>
    <x v="0"/>
    <x v="0"/>
    <x v="473"/>
    <x v="474"/>
    <x v="451"/>
    <x v="2"/>
    <x v="2"/>
  </r>
  <r>
    <x v="478"/>
    <x v="419"/>
    <x v="2"/>
    <x v="9"/>
    <x v="9"/>
    <x v="87"/>
    <x v="229"/>
    <x v="216"/>
    <x v="1"/>
    <x v="0"/>
    <x v="5"/>
    <x v="5"/>
    <x v="3"/>
    <x v="13"/>
    <x v="1"/>
    <x v="2"/>
    <x v="13"/>
    <x v="250"/>
    <x v="0"/>
    <x v="6"/>
    <x v="3"/>
    <x v="474"/>
    <x v="475"/>
    <x v="452"/>
    <x v="6"/>
    <x v="1"/>
  </r>
  <r>
    <x v="479"/>
    <x v="420"/>
    <x v="1"/>
    <x v="5"/>
    <x v="5"/>
    <x v="421"/>
    <x v="84"/>
    <x v="83"/>
    <x v="2"/>
    <x v="1"/>
    <x v="17"/>
    <x v="56"/>
    <x v="0"/>
    <x v="6"/>
    <x v="0"/>
    <x v="0"/>
    <x v="6"/>
    <x v="6"/>
    <x v="0"/>
    <x v="4"/>
    <x v="3"/>
    <x v="475"/>
    <x v="476"/>
    <x v="453"/>
    <x v="6"/>
    <x v="2"/>
  </r>
  <r>
    <x v="480"/>
    <x v="421"/>
    <x v="4"/>
    <x v="3"/>
    <x v="3"/>
    <x v="422"/>
    <x v="14"/>
    <x v="14"/>
    <x v="0"/>
    <x v="1"/>
    <x v="12"/>
    <x v="12"/>
    <x v="2"/>
    <x v="65"/>
    <x v="0"/>
    <x v="10"/>
    <x v="65"/>
    <x v="355"/>
    <x v="2"/>
    <x v="0"/>
    <x v="0"/>
    <x v="476"/>
    <x v="477"/>
    <x v="454"/>
    <x v="3"/>
    <x v="0"/>
  </r>
  <r>
    <x v="481"/>
    <x v="422"/>
    <x v="2"/>
    <x v="4"/>
    <x v="4"/>
    <x v="423"/>
    <x v="216"/>
    <x v="204"/>
    <x v="1"/>
    <x v="1"/>
    <x v="12"/>
    <x v="20"/>
    <x v="2"/>
    <x v="32"/>
    <x v="2"/>
    <x v="13"/>
    <x v="32"/>
    <x v="356"/>
    <x v="1"/>
    <x v="0"/>
    <x v="0"/>
    <x v="477"/>
    <x v="478"/>
    <x v="455"/>
    <x v="1"/>
    <x v="2"/>
  </r>
  <r>
    <x v="482"/>
    <x v="423"/>
    <x v="4"/>
    <x v="10"/>
    <x v="10"/>
    <x v="424"/>
    <x v="62"/>
    <x v="62"/>
    <x v="2"/>
    <x v="1"/>
    <x v="34"/>
    <x v="48"/>
    <x v="3"/>
    <x v="38"/>
    <x v="1"/>
    <x v="1"/>
    <x v="38"/>
    <x v="357"/>
    <x v="3"/>
    <x v="3"/>
    <x v="2"/>
    <x v="478"/>
    <x v="479"/>
    <x v="456"/>
    <x v="0"/>
    <x v="1"/>
  </r>
  <r>
    <x v="483"/>
    <x v="254"/>
    <x v="0"/>
    <x v="5"/>
    <x v="5"/>
    <x v="259"/>
    <x v="69"/>
    <x v="69"/>
    <x v="1"/>
    <x v="1"/>
    <x v="25"/>
    <x v="49"/>
    <x v="1"/>
    <x v="4"/>
    <x v="0"/>
    <x v="4"/>
    <x v="4"/>
    <x v="358"/>
    <x v="2"/>
    <x v="0"/>
    <x v="0"/>
    <x v="479"/>
    <x v="480"/>
    <x v="457"/>
    <x v="3"/>
    <x v="0"/>
  </r>
  <r>
    <x v="484"/>
    <x v="424"/>
    <x v="1"/>
    <x v="3"/>
    <x v="3"/>
    <x v="425"/>
    <x v="230"/>
    <x v="217"/>
    <x v="1"/>
    <x v="1"/>
    <x v="25"/>
    <x v="49"/>
    <x v="1"/>
    <x v="35"/>
    <x v="0"/>
    <x v="4"/>
    <x v="35"/>
    <x v="359"/>
    <x v="2"/>
    <x v="1"/>
    <x v="1"/>
    <x v="480"/>
    <x v="481"/>
    <x v="458"/>
    <x v="5"/>
    <x v="1"/>
  </r>
  <r>
    <x v="485"/>
    <x v="425"/>
    <x v="2"/>
    <x v="11"/>
    <x v="11"/>
    <x v="426"/>
    <x v="231"/>
    <x v="80"/>
    <x v="0"/>
    <x v="1"/>
    <x v="27"/>
    <x v="86"/>
    <x v="1"/>
    <x v="59"/>
    <x v="1"/>
    <x v="1"/>
    <x v="59"/>
    <x v="310"/>
    <x v="0"/>
    <x v="2"/>
    <x v="1"/>
    <x v="481"/>
    <x v="482"/>
    <x v="459"/>
    <x v="2"/>
    <x v="1"/>
  </r>
  <r>
    <x v="486"/>
    <x v="18"/>
    <x v="0"/>
    <x v="7"/>
    <x v="7"/>
    <x v="427"/>
    <x v="232"/>
    <x v="218"/>
    <x v="2"/>
    <x v="1"/>
    <x v="8"/>
    <x v="98"/>
    <x v="0"/>
    <x v="35"/>
    <x v="0"/>
    <x v="4"/>
    <x v="35"/>
    <x v="360"/>
    <x v="0"/>
    <x v="4"/>
    <x v="3"/>
    <x v="482"/>
    <x v="483"/>
    <x v="460"/>
    <x v="0"/>
    <x v="1"/>
  </r>
  <r>
    <x v="487"/>
    <x v="246"/>
    <x v="3"/>
    <x v="1"/>
    <x v="1"/>
    <x v="47"/>
    <x v="233"/>
    <x v="219"/>
    <x v="1"/>
    <x v="0"/>
    <x v="16"/>
    <x v="83"/>
    <x v="1"/>
    <x v="66"/>
    <x v="0"/>
    <x v="7"/>
    <x v="66"/>
    <x v="361"/>
    <x v="4"/>
    <x v="0"/>
    <x v="0"/>
    <x v="483"/>
    <x v="484"/>
    <x v="461"/>
    <x v="2"/>
    <x v="0"/>
  </r>
  <r>
    <x v="488"/>
    <x v="426"/>
    <x v="3"/>
    <x v="0"/>
    <x v="0"/>
    <x v="186"/>
    <x v="83"/>
    <x v="82"/>
    <x v="2"/>
    <x v="0"/>
    <x v="25"/>
    <x v="49"/>
    <x v="1"/>
    <x v="50"/>
    <x v="2"/>
    <x v="3"/>
    <x v="50"/>
    <x v="362"/>
    <x v="4"/>
    <x v="4"/>
    <x v="3"/>
    <x v="484"/>
    <x v="485"/>
    <x v="462"/>
    <x v="5"/>
    <x v="2"/>
  </r>
  <r>
    <x v="489"/>
    <x v="57"/>
    <x v="1"/>
    <x v="8"/>
    <x v="8"/>
    <x v="428"/>
    <x v="174"/>
    <x v="164"/>
    <x v="1"/>
    <x v="1"/>
    <x v="34"/>
    <x v="48"/>
    <x v="3"/>
    <x v="30"/>
    <x v="0"/>
    <x v="10"/>
    <x v="30"/>
    <x v="23"/>
    <x v="2"/>
    <x v="0"/>
    <x v="0"/>
    <x v="485"/>
    <x v="486"/>
    <x v="463"/>
    <x v="0"/>
    <x v="0"/>
  </r>
  <r>
    <x v="490"/>
    <x v="427"/>
    <x v="4"/>
    <x v="3"/>
    <x v="3"/>
    <x v="429"/>
    <x v="112"/>
    <x v="110"/>
    <x v="1"/>
    <x v="0"/>
    <x v="3"/>
    <x v="3"/>
    <x v="3"/>
    <x v="12"/>
    <x v="0"/>
    <x v="7"/>
    <x v="12"/>
    <x v="363"/>
    <x v="2"/>
    <x v="1"/>
    <x v="1"/>
    <x v="486"/>
    <x v="487"/>
    <x v="464"/>
    <x v="0"/>
    <x v="1"/>
  </r>
  <r>
    <x v="491"/>
    <x v="428"/>
    <x v="3"/>
    <x v="1"/>
    <x v="1"/>
    <x v="430"/>
    <x v="36"/>
    <x v="36"/>
    <x v="0"/>
    <x v="1"/>
    <x v="16"/>
    <x v="31"/>
    <x v="1"/>
    <x v="4"/>
    <x v="0"/>
    <x v="4"/>
    <x v="4"/>
    <x v="364"/>
    <x v="0"/>
    <x v="5"/>
    <x v="2"/>
    <x v="487"/>
    <x v="488"/>
    <x v="465"/>
    <x v="6"/>
    <x v="0"/>
  </r>
  <r>
    <x v="492"/>
    <x v="429"/>
    <x v="2"/>
    <x v="3"/>
    <x v="3"/>
    <x v="431"/>
    <x v="150"/>
    <x v="143"/>
    <x v="0"/>
    <x v="1"/>
    <x v="16"/>
    <x v="83"/>
    <x v="1"/>
    <x v="18"/>
    <x v="1"/>
    <x v="11"/>
    <x v="18"/>
    <x v="365"/>
    <x v="0"/>
    <x v="1"/>
    <x v="1"/>
    <x v="488"/>
    <x v="489"/>
    <x v="466"/>
    <x v="6"/>
    <x v="1"/>
  </r>
  <r>
    <x v="493"/>
    <x v="430"/>
    <x v="4"/>
    <x v="8"/>
    <x v="8"/>
    <x v="432"/>
    <x v="91"/>
    <x v="90"/>
    <x v="0"/>
    <x v="0"/>
    <x v="36"/>
    <x v="59"/>
    <x v="0"/>
    <x v="32"/>
    <x v="2"/>
    <x v="13"/>
    <x v="32"/>
    <x v="356"/>
    <x v="1"/>
    <x v="0"/>
    <x v="0"/>
    <x v="489"/>
    <x v="490"/>
    <x v="154"/>
    <x v="6"/>
    <x v="2"/>
  </r>
  <r>
    <x v="494"/>
    <x v="131"/>
    <x v="0"/>
    <x v="0"/>
    <x v="0"/>
    <x v="0"/>
    <x v="131"/>
    <x v="128"/>
    <x v="0"/>
    <x v="0"/>
    <x v="39"/>
    <x v="34"/>
    <x v="2"/>
    <x v="32"/>
    <x v="2"/>
    <x v="13"/>
    <x v="32"/>
    <x v="227"/>
    <x v="0"/>
    <x v="5"/>
    <x v="2"/>
    <x v="490"/>
    <x v="491"/>
    <x v="467"/>
    <x v="6"/>
    <x v="0"/>
  </r>
  <r>
    <x v="495"/>
    <x v="431"/>
    <x v="1"/>
    <x v="1"/>
    <x v="1"/>
    <x v="433"/>
    <x v="140"/>
    <x v="134"/>
    <x v="2"/>
    <x v="1"/>
    <x v="16"/>
    <x v="16"/>
    <x v="1"/>
    <x v="46"/>
    <x v="2"/>
    <x v="13"/>
    <x v="46"/>
    <x v="106"/>
    <x v="2"/>
    <x v="0"/>
    <x v="0"/>
    <x v="491"/>
    <x v="492"/>
    <x v="468"/>
    <x v="5"/>
    <x v="1"/>
  </r>
  <r>
    <x v="496"/>
    <x v="432"/>
    <x v="4"/>
    <x v="0"/>
    <x v="0"/>
    <x v="434"/>
    <x v="234"/>
    <x v="220"/>
    <x v="0"/>
    <x v="1"/>
    <x v="28"/>
    <x v="99"/>
    <x v="3"/>
    <x v="30"/>
    <x v="0"/>
    <x v="10"/>
    <x v="30"/>
    <x v="23"/>
    <x v="2"/>
    <x v="0"/>
    <x v="0"/>
    <x v="492"/>
    <x v="493"/>
    <x v="469"/>
    <x v="6"/>
    <x v="0"/>
  </r>
  <r>
    <x v="497"/>
    <x v="433"/>
    <x v="1"/>
    <x v="0"/>
    <x v="0"/>
    <x v="435"/>
    <x v="84"/>
    <x v="83"/>
    <x v="2"/>
    <x v="1"/>
    <x v="17"/>
    <x v="56"/>
    <x v="0"/>
    <x v="5"/>
    <x v="2"/>
    <x v="5"/>
    <x v="5"/>
    <x v="366"/>
    <x v="4"/>
    <x v="2"/>
    <x v="1"/>
    <x v="493"/>
    <x v="494"/>
    <x v="470"/>
    <x v="7"/>
    <x v="1"/>
  </r>
  <r>
    <x v="498"/>
    <x v="434"/>
    <x v="4"/>
    <x v="0"/>
    <x v="0"/>
    <x v="436"/>
    <x v="94"/>
    <x v="92"/>
    <x v="1"/>
    <x v="1"/>
    <x v="26"/>
    <x v="46"/>
    <x v="3"/>
    <x v="14"/>
    <x v="2"/>
    <x v="8"/>
    <x v="14"/>
    <x v="63"/>
    <x v="0"/>
    <x v="4"/>
    <x v="3"/>
    <x v="494"/>
    <x v="495"/>
    <x v="471"/>
    <x v="5"/>
    <x v="0"/>
  </r>
  <r>
    <x v="499"/>
    <x v="435"/>
    <x v="2"/>
    <x v="3"/>
    <x v="3"/>
    <x v="252"/>
    <x v="200"/>
    <x v="32"/>
    <x v="1"/>
    <x v="1"/>
    <x v="15"/>
    <x v="15"/>
    <x v="1"/>
    <x v="42"/>
    <x v="1"/>
    <x v="11"/>
    <x v="42"/>
    <x v="367"/>
    <x v="1"/>
    <x v="2"/>
    <x v="1"/>
    <x v="495"/>
    <x v="496"/>
    <x v="472"/>
    <x v="6"/>
    <x v="1"/>
  </r>
  <r>
    <x v="500"/>
    <x v="75"/>
    <x v="3"/>
    <x v="1"/>
    <x v="1"/>
    <x v="437"/>
    <x v="78"/>
    <x v="197"/>
    <x v="0"/>
    <x v="1"/>
    <x v="3"/>
    <x v="3"/>
    <x v="3"/>
    <x v="40"/>
    <x v="0"/>
    <x v="10"/>
    <x v="40"/>
    <x v="368"/>
    <x v="1"/>
    <x v="1"/>
    <x v="1"/>
    <x v="496"/>
    <x v="497"/>
    <x v="473"/>
    <x v="0"/>
    <x v="2"/>
  </r>
  <r>
    <x v="501"/>
    <x v="436"/>
    <x v="4"/>
    <x v="10"/>
    <x v="10"/>
    <x v="438"/>
    <x v="129"/>
    <x v="126"/>
    <x v="2"/>
    <x v="1"/>
    <x v="37"/>
    <x v="76"/>
    <x v="1"/>
    <x v="20"/>
    <x v="1"/>
    <x v="9"/>
    <x v="20"/>
    <x v="329"/>
    <x v="4"/>
    <x v="1"/>
    <x v="1"/>
    <x v="497"/>
    <x v="498"/>
    <x v="474"/>
    <x v="6"/>
    <x v="1"/>
  </r>
  <r>
    <x v="502"/>
    <x v="354"/>
    <x v="2"/>
    <x v="5"/>
    <x v="5"/>
    <x v="307"/>
    <x v="96"/>
    <x v="94"/>
    <x v="2"/>
    <x v="1"/>
    <x v="13"/>
    <x v="61"/>
    <x v="3"/>
    <x v="31"/>
    <x v="1"/>
    <x v="1"/>
    <x v="31"/>
    <x v="369"/>
    <x v="4"/>
    <x v="5"/>
    <x v="2"/>
    <x v="498"/>
    <x v="499"/>
    <x v="475"/>
    <x v="4"/>
    <x v="1"/>
  </r>
  <r>
    <x v="503"/>
    <x v="437"/>
    <x v="4"/>
    <x v="6"/>
    <x v="6"/>
    <x v="439"/>
    <x v="124"/>
    <x v="92"/>
    <x v="0"/>
    <x v="1"/>
    <x v="3"/>
    <x v="43"/>
    <x v="3"/>
    <x v="1"/>
    <x v="1"/>
    <x v="1"/>
    <x v="1"/>
    <x v="325"/>
    <x v="0"/>
    <x v="3"/>
    <x v="2"/>
    <x v="499"/>
    <x v="500"/>
    <x v="476"/>
    <x v="1"/>
    <x v="1"/>
  </r>
  <r>
    <x v="504"/>
    <x v="438"/>
    <x v="0"/>
    <x v="9"/>
    <x v="9"/>
    <x v="440"/>
    <x v="235"/>
    <x v="221"/>
    <x v="1"/>
    <x v="0"/>
    <x v="25"/>
    <x v="49"/>
    <x v="1"/>
    <x v="66"/>
    <x v="0"/>
    <x v="7"/>
    <x v="66"/>
    <x v="370"/>
    <x v="1"/>
    <x v="2"/>
    <x v="1"/>
    <x v="500"/>
    <x v="501"/>
    <x v="477"/>
    <x v="6"/>
    <x v="0"/>
  </r>
  <r>
    <x v="505"/>
    <x v="128"/>
    <x v="3"/>
    <x v="1"/>
    <x v="1"/>
    <x v="441"/>
    <x v="160"/>
    <x v="153"/>
    <x v="1"/>
    <x v="1"/>
    <x v="1"/>
    <x v="1"/>
    <x v="1"/>
    <x v="18"/>
    <x v="1"/>
    <x v="11"/>
    <x v="18"/>
    <x v="191"/>
    <x v="3"/>
    <x v="3"/>
    <x v="2"/>
    <x v="501"/>
    <x v="502"/>
    <x v="478"/>
    <x v="1"/>
    <x v="1"/>
  </r>
  <r>
    <x v="506"/>
    <x v="439"/>
    <x v="3"/>
    <x v="10"/>
    <x v="10"/>
    <x v="442"/>
    <x v="144"/>
    <x v="137"/>
    <x v="1"/>
    <x v="1"/>
    <x v="36"/>
    <x v="75"/>
    <x v="0"/>
    <x v="22"/>
    <x v="1"/>
    <x v="2"/>
    <x v="22"/>
    <x v="371"/>
    <x v="1"/>
    <x v="3"/>
    <x v="2"/>
    <x v="502"/>
    <x v="503"/>
    <x v="479"/>
    <x v="1"/>
    <x v="1"/>
  </r>
  <r>
    <x v="507"/>
    <x v="440"/>
    <x v="0"/>
    <x v="5"/>
    <x v="5"/>
    <x v="443"/>
    <x v="236"/>
    <x v="222"/>
    <x v="1"/>
    <x v="1"/>
    <x v="21"/>
    <x v="69"/>
    <x v="1"/>
    <x v="14"/>
    <x v="2"/>
    <x v="8"/>
    <x v="14"/>
    <x v="372"/>
    <x v="3"/>
    <x v="3"/>
    <x v="2"/>
    <x v="503"/>
    <x v="504"/>
    <x v="480"/>
    <x v="5"/>
    <x v="2"/>
  </r>
  <r>
    <x v="508"/>
    <x v="441"/>
    <x v="1"/>
    <x v="4"/>
    <x v="4"/>
    <x v="444"/>
    <x v="219"/>
    <x v="207"/>
    <x v="1"/>
    <x v="1"/>
    <x v="20"/>
    <x v="22"/>
    <x v="1"/>
    <x v="66"/>
    <x v="0"/>
    <x v="7"/>
    <x v="66"/>
    <x v="373"/>
    <x v="4"/>
    <x v="2"/>
    <x v="1"/>
    <x v="504"/>
    <x v="505"/>
    <x v="481"/>
    <x v="2"/>
    <x v="0"/>
  </r>
  <r>
    <x v="509"/>
    <x v="442"/>
    <x v="4"/>
    <x v="5"/>
    <x v="5"/>
    <x v="417"/>
    <x v="237"/>
    <x v="223"/>
    <x v="1"/>
    <x v="1"/>
    <x v="14"/>
    <x v="40"/>
    <x v="3"/>
    <x v="16"/>
    <x v="1"/>
    <x v="1"/>
    <x v="16"/>
    <x v="302"/>
    <x v="4"/>
    <x v="0"/>
    <x v="0"/>
    <x v="505"/>
    <x v="506"/>
    <x v="482"/>
    <x v="0"/>
    <x v="1"/>
  </r>
  <r>
    <x v="510"/>
    <x v="443"/>
    <x v="3"/>
    <x v="4"/>
    <x v="4"/>
    <x v="445"/>
    <x v="185"/>
    <x v="176"/>
    <x v="0"/>
    <x v="1"/>
    <x v="27"/>
    <x v="32"/>
    <x v="1"/>
    <x v="27"/>
    <x v="2"/>
    <x v="6"/>
    <x v="27"/>
    <x v="242"/>
    <x v="1"/>
    <x v="2"/>
    <x v="1"/>
    <x v="506"/>
    <x v="507"/>
    <x v="207"/>
    <x v="0"/>
    <x v="2"/>
  </r>
  <r>
    <x v="511"/>
    <x v="444"/>
    <x v="4"/>
    <x v="1"/>
    <x v="1"/>
    <x v="339"/>
    <x v="183"/>
    <x v="174"/>
    <x v="0"/>
    <x v="1"/>
    <x v="23"/>
    <x v="26"/>
    <x v="3"/>
    <x v="27"/>
    <x v="2"/>
    <x v="6"/>
    <x v="27"/>
    <x v="374"/>
    <x v="0"/>
    <x v="6"/>
    <x v="3"/>
    <x v="507"/>
    <x v="508"/>
    <x v="483"/>
    <x v="3"/>
    <x v="0"/>
  </r>
  <r>
    <x v="512"/>
    <x v="424"/>
    <x v="1"/>
    <x v="3"/>
    <x v="3"/>
    <x v="425"/>
    <x v="65"/>
    <x v="65"/>
    <x v="1"/>
    <x v="1"/>
    <x v="18"/>
    <x v="44"/>
    <x v="1"/>
    <x v="64"/>
    <x v="1"/>
    <x v="11"/>
    <x v="64"/>
    <x v="269"/>
    <x v="2"/>
    <x v="2"/>
    <x v="1"/>
    <x v="508"/>
    <x v="509"/>
    <x v="484"/>
    <x v="4"/>
    <x v="1"/>
  </r>
  <r>
    <x v="513"/>
    <x v="445"/>
    <x v="3"/>
    <x v="2"/>
    <x v="2"/>
    <x v="210"/>
    <x v="40"/>
    <x v="40"/>
    <x v="0"/>
    <x v="1"/>
    <x v="15"/>
    <x v="34"/>
    <x v="1"/>
    <x v="62"/>
    <x v="0"/>
    <x v="0"/>
    <x v="62"/>
    <x v="267"/>
    <x v="4"/>
    <x v="0"/>
    <x v="0"/>
    <x v="509"/>
    <x v="510"/>
    <x v="485"/>
    <x v="5"/>
    <x v="0"/>
  </r>
  <r>
    <x v="514"/>
    <x v="446"/>
    <x v="4"/>
    <x v="8"/>
    <x v="8"/>
    <x v="27"/>
    <x v="26"/>
    <x v="26"/>
    <x v="1"/>
    <x v="1"/>
    <x v="1"/>
    <x v="18"/>
    <x v="1"/>
    <x v="26"/>
    <x v="2"/>
    <x v="5"/>
    <x v="26"/>
    <x v="375"/>
    <x v="2"/>
    <x v="4"/>
    <x v="3"/>
    <x v="510"/>
    <x v="511"/>
    <x v="486"/>
    <x v="7"/>
    <x v="1"/>
  </r>
  <r>
    <x v="515"/>
    <x v="447"/>
    <x v="1"/>
    <x v="3"/>
    <x v="3"/>
    <x v="446"/>
    <x v="201"/>
    <x v="188"/>
    <x v="0"/>
    <x v="1"/>
    <x v="27"/>
    <x v="32"/>
    <x v="1"/>
    <x v="13"/>
    <x v="1"/>
    <x v="2"/>
    <x v="13"/>
    <x v="376"/>
    <x v="0"/>
    <x v="5"/>
    <x v="2"/>
    <x v="511"/>
    <x v="512"/>
    <x v="487"/>
    <x v="6"/>
    <x v="1"/>
  </r>
  <r>
    <x v="516"/>
    <x v="448"/>
    <x v="4"/>
    <x v="2"/>
    <x v="2"/>
    <x v="447"/>
    <x v="46"/>
    <x v="46"/>
    <x v="2"/>
    <x v="1"/>
    <x v="32"/>
    <x v="38"/>
    <x v="0"/>
    <x v="4"/>
    <x v="0"/>
    <x v="4"/>
    <x v="4"/>
    <x v="377"/>
    <x v="2"/>
    <x v="5"/>
    <x v="2"/>
    <x v="512"/>
    <x v="513"/>
    <x v="488"/>
    <x v="5"/>
    <x v="0"/>
  </r>
  <r>
    <x v="517"/>
    <x v="449"/>
    <x v="4"/>
    <x v="3"/>
    <x v="3"/>
    <x v="448"/>
    <x v="172"/>
    <x v="151"/>
    <x v="0"/>
    <x v="1"/>
    <x v="6"/>
    <x v="62"/>
    <x v="0"/>
    <x v="33"/>
    <x v="1"/>
    <x v="11"/>
    <x v="33"/>
    <x v="378"/>
    <x v="1"/>
    <x v="6"/>
    <x v="3"/>
    <x v="513"/>
    <x v="514"/>
    <x v="489"/>
    <x v="0"/>
    <x v="1"/>
  </r>
  <r>
    <x v="518"/>
    <x v="450"/>
    <x v="3"/>
    <x v="8"/>
    <x v="8"/>
    <x v="449"/>
    <x v="35"/>
    <x v="172"/>
    <x v="2"/>
    <x v="1"/>
    <x v="26"/>
    <x v="30"/>
    <x v="3"/>
    <x v="28"/>
    <x v="0"/>
    <x v="12"/>
    <x v="28"/>
    <x v="379"/>
    <x v="0"/>
    <x v="4"/>
    <x v="3"/>
    <x v="514"/>
    <x v="515"/>
    <x v="490"/>
    <x v="5"/>
    <x v="0"/>
  </r>
  <r>
    <x v="519"/>
    <x v="451"/>
    <x v="1"/>
    <x v="7"/>
    <x v="7"/>
    <x v="450"/>
    <x v="238"/>
    <x v="224"/>
    <x v="2"/>
    <x v="1"/>
    <x v="28"/>
    <x v="96"/>
    <x v="3"/>
    <x v="55"/>
    <x v="2"/>
    <x v="8"/>
    <x v="55"/>
    <x v="380"/>
    <x v="2"/>
    <x v="0"/>
    <x v="0"/>
    <x v="515"/>
    <x v="516"/>
    <x v="491"/>
    <x v="0"/>
    <x v="0"/>
  </r>
  <r>
    <x v="520"/>
    <x v="452"/>
    <x v="3"/>
    <x v="3"/>
    <x v="3"/>
    <x v="451"/>
    <x v="114"/>
    <x v="112"/>
    <x v="1"/>
    <x v="1"/>
    <x v="12"/>
    <x v="37"/>
    <x v="2"/>
    <x v="8"/>
    <x v="0"/>
    <x v="7"/>
    <x v="8"/>
    <x v="265"/>
    <x v="0"/>
    <x v="6"/>
    <x v="3"/>
    <x v="516"/>
    <x v="517"/>
    <x v="492"/>
    <x v="2"/>
    <x v="1"/>
  </r>
  <r>
    <x v="521"/>
    <x v="453"/>
    <x v="3"/>
    <x v="0"/>
    <x v="0"/>
    <x v="452"/>
    <x v="203"/>
    <x v="190"/>
    <x v="1"/>
    <x v="1"/>
    <x v="7"/>
    <x v="93"/>
    <x v="2"/>
    <x v="33"/>
    <x v="1"/>
    <x v="11"/>
    <x v="33"/>
    <x v="381"/>
    <x v="3"/>
    <x v="4"/>
    <x v="3"/>
    <x v="517"/>
    <x v="518"/>
    <x v="493"/>
    <x v="2"/>
    <x v="1"/>
  </r>
  <r>
    <x v="522"/>
    <x v="454"/>
    <x v="1"/>
    <x v="5"/>
    <x v="5"/>
    <x v="48"/>
    <x v="63"/>
    <x v="63"/>
    <x v="1"/>
    <x v="1"/>
    <x v="19"/>
    <x v="39"/>
    <x v="0"/>
    <x v="1"/>
    <x v="1"/>
    <x v="1"/>
    <x v="1"/>
    <x v="114"/>
    <x v="3"/>
    <x v="0"/>
    <x v="0"/>
    <x v="518"/>
    <x v="519"/>
    <x v="494"/>
    <x v="7"/>
    <x v="1"/>
  </r>
  <r>
    <x v="523"/>
    <x v="455"/>
    <x v="0"/>
    <x v="8"/>
    <x v="8"/>
    <x v="453"/>
    <x v="19"/>
    <x v="19"/>
    <x v="1"/>
    <x v="1"/>
    <x v="17"/>
    <x v="17"/>
    <x v="0"/>
    <x v="31"/>
    <x v="1"/>
    <x v="1"/>
    <x v="31"/>
    <x v="382"/>
    <x v="1"/>
    <x v="2"/>
    <x v="1"/>
    <x v="519"/>
    <x v="520"/>
    <x v="391"/>
    <x v="7"/>
    <x v="1"/>
  </r>
  <r>
    <x v="524"/>
    <x v="456"/>
    <x v="3"/>
    <x v="11"/>
    <x v="11"/>
    <x v="276"/>
    <x v="146"/>
    <x v="139"/>
    <x v="2"/>
    <x v="1"/>
    <x v="36"/>
    <x v="75"/>
    <x v="0"/>
    <x v="64"/>
    <x v="1"/>
    <x v="11"/>
    <x v="64"/>
    <x v="12"/>
    <x v="3"/>
    <x v="0"/>
    <x v="0"/>
    <x v="520"/>
    <x v="521"/>
    <x v="495"/>
    <x v="1"/>
    <x v="0"/>
  </r>
  <r>
    <x v="525"/>
    <x v="457"/>
    <x v="4"/>
    <x v="2"/>
    <x v="2"/>
    <x v="454"/>
    <x v="43"/>
    <x v="43"/>
    <x v="0"/>
    <x v="1"/>
    <x v="31"/>
    <x v="36"/>
    <x v="2"/>
    <x v="63"/>
    <x v="0"/>
    <x v="7"/>
    <x v="63"/>
    <x v="383"/>
    <x v="0"/>
    <x v="0"/>
    <x v="0"/>
    <x v="521"/>
    <x v="522"/>
    <x v="496"/>
    <x v="5"/>
    <x v="1"/>
  </r>
  <r>
    <x v="526"/>
    <x v="458"/>
    <x v="0"/>
    <x v="3"/>
    <x v="3"/>
    <x v="455"/>
    <x v="88"/>
    <x v="87"/>
    <x v="2"/>
    <x v="1"/>
    <x v="36"/>
    <x v="59"/>
    <x v="0"/>
    <x v="30"/>
    <x v="0"/>
    <x v="10"/>
    <x v="30"/>
    <x v="384"/>
    <x v="3"/>
    <x v="2"/>
    <x v="1"/>
    <x v="522"/>
    <x v="523"/>
    <x v="497"/>
    <x v="1"/>
    <x v="2"/>
  </r>
  <r>
    <x v="527"/>
    <x v="459"/>
    <x v="3"/>
    <x v="11"/>
    <x v="11"/>
    <x v="456"/>
    <x v="94"/>
    <x v="92"/>
    <x v="1"/>
    <x v="1"/>
    <x v="26"/>
    <x v="46"/>
    <x v="3"/>
    <x v="2"/>
    <x v="1"/>
    <x v="2"/>
    <x v="2"/>
    <x v="385"/>
    <x v="0"/>
    <x v="1"/>
    <x v="1"/>
    <x v="523"/>
    <x v="524"/>
    <x v="498"/>
    <x v="2"/>
    <x v="1"/>
  </r>
  <r>
    <x v="528"/>
    <x v="460"/>
    <x v="1"/>
    <x v="1"/>
    <x v="1"/>
    <x v="302"/>
    <x v="239"/>
    <x v="225"/>
    <x v="0"/>
    <x v="1"/>
    <x v="10"/>
    <x v="78"/>
    <x v="0"/>
    <x v="49"/>
    <x v="2"/>
    <x v="5"/>
    <x v="49"/>
    <x v="246"/>
    <x v="2"/>
    <x v="0"/>
    <x v="0"/>
    <x v="524"/>
    <x v="525"/>
    <x v="499"/>
    <x v="3"/>
    <x v="1"/>
  </r>
  <r>
    <x v="529"/>
    <x v="461"/>
    <x v="4"/>
    <x v="1"/>
    <x v="1"/>
    <x v="457"/>
    <x v="239"/>
    <x v="225"/>
    <x v="0"/>
    <x v="1"/>
    <x v="10"/>
    <x v="78"/>
    <x v="0"/>
    <x v="47"/>
    <x v="2"/>
    <x v="13"/>
    <x v="47"/>
    <x v="386"/>
    <x v="0"/>
    <x v="0"/>
    <x v="0"/>
    <x v="525"/>
    <x v="526"/>
    <x v="500"/>
    <x v="6"/>
    <x v="0"/>
  </r>
  <r>
    <x v="530"/>
    <x v="219"/>
    <x v="2"/>
    <x v="10"/>
    <x v="10"/>
    <x v="82"/>
    <x v="169"/>
    <x v="160"/>
    <x v="2"/>
    <x v="1"/>
    <x v="35"/>
    <x v="50"/>
    <x v="2"/>
    <x v="30"/>
    <x v="0"/>
    <x v="10"/>
    <x v="30"/>
    <x v="387"/>
    <x v="0"/>
    <x v="6"/>
    <x v="3"/>
    <x v="526"/>
    <x v="527"/>
    <x v="501"/>
    <x v="1"/>
    <x v="2"/>
  </r>
  <r>
    <x v="531"/>
    <x v="462"/>
    <x v="2"/>
    <x v="8"/>
    <x v="8"/>
    <x v="360"/>
    <x v="9"/>
    <x v="9"/>
    <x v="2"/>
    <x v="1"/>
    <x v="8"/>
    <x v="8"/>
    <x v="0"/>
    <x v="3"/>
    <x v="2"/>
    <x v="3"/>
    <x v="3"/>
    <x v="185"/>
    <x v="1"/>
    <x v="6"/>
    <x v="3"/>
    <x v="527"/>
    <x v="528"/>
    <x v="502"/>
    <x v="0"/>
    <x v="2"/>
  </r>
  <r>
    <x v="532"/>
    <x v="463"/>
    <x v="2"/>
    <x v="1"/>
    <x v="1"/>
    <x v="458"/>
    <x v="240"/>
    <x v="226"/>
    <x v="0"/>
    <x v="1"/>
    <x v="33"/>
    <x v="42"/>
    <x v="2"/>
    <x v="10"/>
    <x v="1"/>
    <x v="9"/>
    <x v="10"/>
    <x v="10"/>
    <x v="2"/>
    <x v="6"/>
    <x v="3"/>
    <x v="528"/>
    <x v="529"/>
    <x v="503"/>
    <x v="2"/>
    <x v="1"/>
  </r>
  <r>
    <x v="533"/>
    <x v="464"/>
    <x v="4"/>
    <x v="1"/>
    <x v="1"/>
    <x v="459"/>
    <x v="137"/>
    <x v="133"/>
    <x v="2"/>
    <x v="1"/>
    <x v="39"/>
    <x v="71"/>
    <x v="2"/>
    <x v="12"/>
    <x v="0"/>
    <x v="7"/>
    <x v="12"/>
    <x v="12"/>
    <x v="3"/>
    <x v="0"/>
    <x v="0"/>
    <x v="529"/>
    <x v="530"/>
    <x v="504"/>
    <x v="2"/>
    <x v="0"/>
  </r>
  <r>
    <x v="534"/>
    <x v="201"/>
    <x v="1"/>
    <x v="2"/>
    <x v="2"/>
    <x v="201"/>
    <x v="241"/>
    <x v="227"/>
    <x v="0"/>
    <x v="0"/>
    <x v="9"/>
    <x v="81"/>
    <x v="2"/>
    <x v="25"/>
    <x v="2"/>
    <x v="13"/>
    <x v="25"/>
    <x v="388"/>
    <x v="0"/>
    <x v="5"/>
    <x v="2"/>
    <x v="530"/>
    <x v="531"/>
    <x v="505"/>
    <x v="6"/>
    <x v="0"/>
  </r>
  <r>
    <x v="535"/>
    <x v="465"/>
    <x v="1"/>
    <x v="3"/>
    <x v="3"/>
    <x v="460"/>
    <x v="242"/>
    <x v="228"/>
    <x v="0"/>
    <x v="1"/>
    <x v="27"/>
    <x v="100"/>
    <x v="1"/>
    <x v="4"/>
    <x v="0"/>
    <x v="4"/>
    <x v="4"/>
    <x v="377"/>
    <x v="2"/>
    <x v="5"/>
    <x v="2"/>
    <x v="531"/>
    <x v="532"/>
    <x v="272"/>
    <x v="5"/>
    <x v="0"/>
  </r>
  <r>
    <x v="536"/>
    <x v="466"/>
    <x v="4"/>
    <x v="11"/>
    <x v="11"/>
    <x v="461"/>
    <x v="238"/>
    <x v="224"/>
    <x v="2"/>
    <x v="1"/>
    <x v="28"/>
    <x v="96"/>
    <x v="3"/>
    <x v="10"/>
    <x v="1"/>
    <x v="9"/>
    <x v="10"/>
    <x v="389"/>
    <x v="2"/>
    <x v="1"/>
    <x v="1"/>
    <x v="532"/>
    <x v="533"/>
    <x v="506"/>
    <x v="0"/>
    <x v="1"/>
  </r>
  <r>
    <x v="537"/>
    <x v="304"/>
    <x v="3"/>
    <x v="2"/>
    <x v="2"/>
    <x v="148"/>
    <x v="168"/>
    <x v="159"/>
    <x v="1"/>
    <x v="1"/>
    <x v="24"/>
    <x v="60"/>
    <x v="2"/>
    <x v="46"/>
    <x v="2"/>
    <x v="13"/>
    <x v="46"/>
    <x v="390"/>
    <x v="4"/>
    <x v="0"/>
    <x v="0"/>
    <x v="533"/>
    <x v="534"/>
    <x v="507"/>
    <x v="0"/>
    <x v="0"/>
  </r>
  <r>
    <x v="538"/>
    <x v="467"/>
    <x v="3"/>
    <x v="2"/>
    <x v="2"/>
    <x v="16"/>
    <x v="237"/>
    <x v="223"/>
    <x v="1"/>
    <x v="1"/>
    <x v="14"/>
    <x v="40"/>
    <x v="3"/>
    <x v="48"/>
    <x v="2"/>
    <x v="6"/>
    <x v="48"/>
    <x v="391"/>
    <x v="3"/>
    <x v="1"/>
    <x v="1"/>
    <x v="534"/>
    <x v="535"/>
    <x v="508"/>
    <x v="5"/>
    <x v="2"/>
  </r>
  <r>
    <x v="539"/>
    <x v="468"/>
    <x v="4"/>
    <x v="11"/>
    <x v="11"/>
    <x v="462"/>
    <x v="89"/>
    <x v="88"/>
    <x v="2"/>
    <x v="1"/>
    <x v="26"/>
    <x v="46"/>
    <x v="3"/>
    <x v="48"/>
    <x v="2"/>
    <x v="6"/>
    <x v="48"/>
    <x v="392"/>
    <x v="0"/>
    <x v="6"/>
    <x v="3"/>
    <x v="535"/>
    <x v="536"/>
    <x v="509"/>
    <x v="2"/>
    <x v="0"/>
  </r>
  <r>
    <x v="540"/>
    <x v="469"/>
    <x v="1"/>
    <x v="5"/>
    <x v="5"/>
    <x v="463"/>
    <x v="169"/>
    <x v="160"/>
    <x v="2"/>
    <x v="1"/>
    <x v="35"/>
    <x v="50"/>
    <x v="2"/>
    <x v="43"/>
    <x v="1"/>
    <x v="9"/>
    <x v="43"/>
    <x v="393"/>
    <x v="0"/>
    <x v="3"/>
    <x v="2"/>
    <x v="536"/>
    <x v="537"/>
    <x v="510"/>
    <x v="7"/>
    <x v="1"/>
  </r>
  <r>
    <x v="541"/>
    <x v="470"/>
    <x v="1"/>
    <x v="9"/>
    <x v="9"/>
    <x v="464"/>
    <x v="100"/>
    <x v="98"/>
    <x v="0"/>
    <x v="1"/>
    <x v="11"/>
    <x v="63"/>
    <x v="0"/>
    <x v="11"/>
    <x v="2"/>
    <x v="3"/>
    <x v="11"/>
    <x v="394"/>
    <x v="2"/>
    <x v="5"/>
    <x v="2"/>
    <x v="537"/>
    <x v="538"/>
    <x v="511"/>
    <x v="3"/>
    <x v="1"/>
  </r>
  <r>
    <x v="542"/>
    <x v="471"/>
    <x v="2"/>
    <x v="5"/>
    <x v="5"/>
    <x v="261"/>
    <x v="148"/>
    <x v="141"/>
    <x v="1"/>
    <x v="1"/>
    <x v="31"/>
    <x v="82"/>
    <x v="2"/>
    <x v="53"/>
    <x v="2"/>
    <x v="3"/>
    <x v="53"/>
    <x v="169"/>
    <x v="3"/>
    <x v="0"/>
    <x v="0"/>
    <x v="538"/>
    <x v="539"/>
    <x v="512"/>
    <x v="6"/>
    <x v="2"/>
  </r>
  <r>
    <x v="543"/>
    <x v="43"/>
    <x v="4"/>
    <x v="8"/>
    <x v="8"/>
    <x v="465"/>
    <x v="30"/>
    <x v="30"/>
    <x v="2"/>
    <x v="0"/>
    <x v="0"/>
    <x v="25"/>
    <x v="0"/>
    <x v="22"/>
    <x v="1"/>
    <x v="2"/>
    <x v="22"/>
    <x v="395"/>
    <x v="3"/>
    <x v="3"/>
    <x v="2"/>
    <x v="539"/>
    <x v="540"/>
    <x v="513"/>
    <x v="3"/>
    <x v="1"/>
  </r>
  <r>
    <x v="544"/>
    <x v="410"/>
    <x v="4"/>
    <x v="1"/>
    <x v="1"/>
    <x v="466"/>
    <x v="243"/>
    <x v="229"/>
    <x v="1"/>
    <x v="1"/>
    <x v="1"/>
    <x v="18"/>
    <x v="1"/>
    <x v="0"/>
    <x v="0"/>
    <x v="0"/>
    <x v="0"/>
    <x v="396"/>
    <x v="1"/>
    <x v="5"/>
    <x v="2"/>
    <x v="540"/>
    <x v="541"/>
    <x v="514"/>
    <x v="3"/>
    <x v="0"/>
  </r>
  <r>
    <x v="545"/>
    <x v="353"/>
    <x v="1"/>
    <x v="9"/>
    <x v="9"/>
    <x v="351"/>
    <x v="197"/>
    <x v="186"/>
    <x v="2"/>
    <x v="1"/>
    <x v="32"/>
    <x v="74"/>
    <x v="0"/>
    <x v="64"/>
    <x v="1"/>
    <x v="11"/>
    <x v="64"/>
    <x v="247"/>
    <x v="3"/>
    <x v="5"/>
    <x v="2"/>
    <x v="541"/>
    <x v="542"/>
    <x v="515"/>
    <x v="6"/>
    <x v="0"/>
  </r>
  <r>
    <x v="546"/>
    <x v="279"/>
    <x v="0"/>
    <x v="6"/>
    <x v="6"/>
    <x v="467"/>
    <x v="244"/>
    <x v="230"/>
    <x v="2"/>
    <x v="1"/>
    <x v="24"/>
    <x v="27"/>
    <x v="2"/>
    <x v="59"/>
    <x v="1"/>
    <x v="1"/>
    <x v="59"/>
    <x v="397"/>
    <x v="0"/>
    <x v="4"/>
    <x v="3"/>
    <x v="542"/>
    <x v="543"/>
    <x v="516"/>
    <x v="6"/>
    <x v="1"/>
  </r>
  <r>
    <x v="547"/>
    <x v="472"/>
    <x v="4"/>
    <x v="5"/>
    <x v="5"/>
    <x v="468"/>
    <x v="245"/>
    <x v="58"/>
    <x v="0"/>
    <x v="0"/>
    <x v="35"/>
    <x v="101"/>
    <x v="2"/>
    <x v="21"/>
    <x v="0"/>
    <x v="0"/>
    <x v="21"/>
    <x v="384"/>
    <x v="1"/>
    <x v="0"/>
    <x v="0"/>
    <x v="543"/>
    <x v="544"/>
    <x v="517"/>
    <x v="8"/>
    <x v="2"/>
  </r>
  <r>
    <x v="548"/>
    <x v="473"/>
    <x v="4"/>
    <x v="1"/>
    <x v="1"/>
    <x v="466"/>
    <x v="19"/>
    <x v="19"/>
    <x v="1"/>
    <x v="1"/>
    <x v="17"/>
    <x v="17"/>
    <x v="0"/>
    <x v="16"/>
    <x v="1"/>
    <x v="1"/>
    <x v="16"/>
    <x v="332"/>
    <x v="0"/>
    <x v="2"/>
    <x v="1"/>
    <x v="544"/>
    <x v="545"/>
    <x v="70"/>
    <x v="7"/>
    <x v="1"/>
  </r>
  <r>
    <x v="549"/>
    <x v="474"/>
    <x v="0"/>
    <x v="2"/>
    <x v="2"/>
    <x v="144"/>
    <x v="176"/>
    <x v="166"/>
    <x v="1"/>
    <x v="1"/>
    <x v="10"/>
    <x v="10"/>
    <x v="0"/>
    <x v="0"/>
    <x v="0"/>
    <x v="0"/>
    <x v="0"/>
    <x v="398"/>
    <x v="3"/>
    <x v="6"/>
    <x v="3"/>
    <x v="545"/>
    <x v="546"/>
    <x v="518"/>
    <x v="3"/>
    <x v="2"/>
  </r>
  <r>
    <x v="550"/>
    <x v="475"/>
    <x v="1"/>
    <x v="10"/>
    <x v="10"/>
    <x v="469"/>
    <x v="8"/>
    <x v="8"/>
    <x v="0"/>
    <x v="0"/>
    <x v="7"/>
    <x v="7"/>
    <x v="2"/>
    <x v="56"/>
    <x v="0"/>
    <x v="0"/>
    <x v="56"/>
    <x v="399"/>
    <x v="1"/>
    <x v="4"/>
    <x v="3"/>
    <x v="546"/>
    <x v="547"/>
    <x v="519"/>
    <x v="2"/>
    <x v="2"/>
  </r>
  <r>
    <x v="551"/>
    <x v="476"/>
    <x v="2"/>
    <x v="7"/>
    <x v="7"/>
    <x v="470"/>
    <x v="131"/>
    <x v="128"/>
    <x v="0"/>
    <x v="0"/>
    <x v="39"/>
    <x v="34"/>
    <x v="2"/>
    <x v="57"/>
    <x v="0"/>
    <x v="4"/>
    <x v="57"/>
    <x v="400"/>
    <x v="4"/>
    <x v="0"/>
    <x v="0"/>
    <x v="547"/>
    <x v="548"/>
    <x v="125"/>
    <x v="5"/>
    <x v="0"/>
  </r>
  <r>
    <x v="552"/>
    <x v="477"/>
    <x v="1"/>
    <x v="0"/>
    <x v="0"/>
    <x v="471"/>
    <x v="246"/>
    <x v="231"/>
    <x v="0"/>
    <x v="1"/>
    <x v="1"/>
    <x v="18"/>
    <x v="1"/>
    <x v="29"/>
    <x v="0"/>
    <x v="12"/>
    <x v="29"/>
    <x v="401"/>
    <x v="1"/>
    <x v="5"/>
    <x v="2"/>
    <x v="548"/>
    <x v="549"/>
    <x v="520"/>
    <x v="5"/>
    <x v="1"/>
  </r>
  <r>
    <x v="553"/>
    <x v="478"/>
    <x v="2"/>
    <x v="11"/>
    <x v="11"/>
    <x v="472"/>
    <x v="162"/>
    <x v="155"/>
    <x v="1"/>
    <x v="0"/>
    <x v="1"/>
    <x v="18"/>
    <x v="1"/>
    <x v="40"/>
    <x v="0"/>
    <x v="10"/>
    <x v="40"/>
    <x v="402"/>
    <x v="1"/>
    <x v="0"/>
    <x v="0"/>
    <x v="549"/>
    <x v="550"/>
    <x v="521"/>
    <x v="1"/>
    <x v="2"/>
  </r>
  <r>
    <x v="554"/>
    <x v="479"/>
    <x v="3"/>
    <x v="7"/>
    <x v="7"/>
    <x v="473"/>
    <x v="56"/>
    <x v="56"/>
    <x v="0"/>
    <x v="1"/>
    <x v="17"/>
    <x v="17"/>
    <x v="0"/>
    <x v="22"/>
    <x v="1"/>
    <x v="2"/>
    <x v="22"/>
    <x v="403"/>
    <x v="2"/>
    <x v="0"/>
    <x v="0"/>
    <x v="550"/>
    <x v="551"/>
    <x v="522"/>
    <x v="2"/>
    <x v="1"/>
  </r>
  <r>
    <x v="555"/>
    <x v="480"/>
    <x v="0"/>
    <x v="6"/>
    <x v="6"/>
    <x v="474"/>
    <x v="71"/>
    <x v="71"/>
    <x v="2"/>
    <x v="1"/>
    <x v="4"/>
    <x v="41"/>
    <x v="0"/>
    <x v="9"/>
    <x v="2"/>
    <x v="8"/>
    <x v="9"/>
    <x v="404"/>
    <x v="1"/>
    <x v="4"/>
    <x v="3"/>
    <x v="551"/>
    <x v="552"/>
    <x v="523"/>
    <x v="0"/>
    <x v="2"/>
  </r>
  <r>
    <x v="556"/>
    <x v="267"/>
    <x v="1"/>
    <x v="2"/>
    <x v="2"/>
    <x v="475"/>
    <x v="101"/>
    <x v="99"/>
    <x v="0"/>
    <x v="0"/>
    <x v="18"/>
    <x v="44"/>
    <x v="1"/>
    <x v="54"/>
    <x v="2"/>
    <x v="8"/>
    <x v="54"/>
    <x v="405"/>
    <x v="4"/>
    <x v="3"/>
    <x v="2"/>
    <x v="552"/>
    <x v="553"/>
    <x v="524"/>
    <x v="1"/>
    <x v="2"/>
  </r>
  <r>
    <x v="557"/>
    <x v="145"/>
    <x v="2"/>
    <x v="5"/>
    <x v="5"/>
    <x v="476"/>
    <x v="148"/>
    <x v="141"/>
    <x v="1"/>
    <x v="1"/>
    <x v="31"/>
    <x v="82"/>
    <x v="2"/>
    <x v="18"/>
    <x v="1"/>
    <x v="11"/>
    <x v="18"/>
    <x v="406"/>
    <x v="1"/>
    <x v="1"/>
    <x v="1"/>
    <x v="553"/>
    <x v="554"/>
    <x v="525"/>
    <x v="1"/>
    <x v="1"/>
  </r>
  <r>
    <x v="558"/>
    <x v="286"/>
    <x v="4"/>
    <x v="7"/>
    <x v="7"/>
    <x v="477"/>
    <x v="211"/>
    <x v="199"/>
    <x v="0"/>
    <x v="1"/>
    <x v="26"/>
    <x v="46"/>
    <x v="3"/>
    <x v="34"/>
    <x v="1"/>
    <x v="11"/>
    <x v="34"/>
    <x v="407"/>
    <x v="1"/>
    <x v="3"/>
    <x v="2"/>
    <x v="554"/>
    <x v="555"/>
    <x v="526"/>
    <x v="5"/>
    <x v="0"/>
  </r>
  <r>
    <x v="559"/>
    <x v="481"/>
    <x v="1"/>
    <x v="8"/>
    <x v="8"/>
    <x v="478"/>
    <x v="13"/>
    <x v="13"/>
    <x v="2"/>
    <x v="0"/>
    <x v="11"/>
    <x v="11"/>
    <x v="0"/>
    <x v="66"/>
    <x v="0"/>
    <x v="7"/>
    <x v="66"/>
    <x v="408"/>
    <x v="0"/>
    <x v="5"/>
    <x v="2"/>
    <x v="555"/>
    <x v="556"/>
    <x v="527"/>
    <x v="0"/>
    <x v="1"/>
  </r>
  <r>
    <x v="560"/>
    <x v="23"/>
    <x v="4"/>
    <x v="2"/>
    <x v="2"/>
    <x v="454"/>
    <x v="247"/>
    <x v="232"/>
    <x v="2"/>
    <x v="1"/>
    <x v="23"/>
    <x v="102"/>
    <x v="3"/>
    <x v="25"/>
    <x v="2"/>
    <x v="13"/>
    <x v="25"/>
    <x v="179"/>
    <x v="4"/>
    <x v="0"/>
    <x v="0"/>
    <x v="556"/>
    <x v="557"/>
    <x v="528"/>
    <x v="0"/>
    <x v="2"/>
  </r>
  <r>
    <x v="561"/>
    <x v="434"/>
    <x v="4"/>
    <x v="0"/>
    <x v="0"/>
    <x v="479"/>
    <x v="221"/>
    <x v="209"/>
    <x v="1"/>
    <x v="1"/>
    <x v="15"/>
    <x v="15"/>
    <x v="1"/>
    <x v="13"/>
    <x v="1"/>
    <x v="2"/>
    <x v="13"/>
    <x v="250"/>
    <x v="0"/>
    <x v="6"/>
    <x v="3"/>
    <x v="557"/>
    <x v="558"/>
    <x v="529"/>
    <x v="6"/>
    <x v="1"/>
  </r>
  <r>
    <x v="562"/>
    <x v="482"/>
    <x v="0"/>
    <x v="9"/>
    <x v="9"/>
    <x v="480"/>
    <x v="9"/>
    <x v="9"/>
    <x v="2"/>
    <x v="1"/>
    <x v="8"/>
    <x v="8"/>
    <x v="0"/>
    <x v="3"/>
    <x v="2"/>
    <x v="3"/>
    <x v="3"/>
    <x v="409"/>
    <x v="4"/>
    <x v="2"/>
    <x v="1"/>
    <x v="558"/>
    <x v="559"/>
    <x v="530"/>
    <x v="2"/>
    <x v="0"/>
  </r>
  <r>
    <x v="563"/>
    <x v="355"/>
    <x v="3"/>
    <x v="5"/>
    <x v="5"/>
    <x v="481"/>
    <x v="197"/>
    <x v="186"/>
    <x v="2"/>
    <x v="1"/>
    <x v="32"/>
    <x v="74"/>
    <x v="0"/>
    <x v="12"/>
    <x v="0"/>
    <x v="7"/>
    <x v="12"/>
    <x v="112"/>
    <x v="0"/>
    <x v="0"/>
    <x v="0"/>
    <x v="559"/>
    <x v="560"/>
    <x v="251"/>
    <x v="6"/>
    <x v="1"/>
  </r>
  <r>
    <x v="564"/>
    <x v="483"/>
    <x v="2"/>
    <x v="1"/>
    <x v="1"/>
    <x v="482"/>
    <x v="198"/>
    <x v="187"/>
    <x v="2"/>
    <x v="1"/>
    <x v="27"/>
    <x v="32"/>
    <x v="1"/>
    <x v="46"/>
    <x v="2"/>
    <x v="13"/>
    <x v="46"/>
    <x v="410"/>
    <x v="3"/>
    <x v="2"/>
    <x v="1"/>
    <x v="560"/>
    <x v="561"/>
    <x v="531"/>
    <x v="5"/>
    <x v="0"/>
  </r>
  <r>
    <x v="565"/>
    <x v="484"/>
    <x v="4"/>
    <x v="5"/>
    <x v="5"/>
    <x v="483"/>
    <x v="234"/>
    <x v="220"/>
    <x v="0"/>
    <x v="1"/>
    <x v="28"/>
    <x v="99"/>
    <x v="3"/>
    <x v="1"/>
    <x v="1"/>
    <x v="1"/>
    <x v="1"/>
    <x v="411"/>
    <x v="0"/>
    <x v="0"/>
    <x v="0"/>
    <x v="561"/>
    <x v="562"/>
    <x v="532"/>
    <x v="1"/>
    <x v="1"/>
  </r>
  <r>
    <x v="566"/>
    <x v="485"/>
    <x v="4"/>
    <x v="4"/>
    <x v="4"/>
    <x v="484"/>
    <x v="248"/>
    <x v="233"/>
    <x v="1"/>
    <x v="0"/>
    <x v="38"/>
    <x v="70"/>
    <x v="3"/>
    <x v="53"/>
    <x v="2"/>
    <x v="3"/>
    <x v="53"/>
    <x v="311"/>
    <x v="4"/>
    <x v="0"/>
    <x v="0"/>
    <x v="562"/>
    <x v="563"/>
    <x v="533"/>
    <x v="3"/>
    <x v="0"/>
  </r>
  <r>
    <x v="567"/>
    <x v="443"/>
    <x v="3"/>
    <x v="4"/>
    <x v="4"/>
    <x v="485"/>
    <x v="73"/>
    <x v="73"/>
    <x v="1"/>
    <x v="1"/>
    <x v="7"/>
    <x v="51"/>
    <x v="2"/>
    <x v="28"/>
    <x v="0"/>
    <x v="12"/>
    <x v="28"/>
    <x v="412"/>
    <x v="4"/>
    <x v="5"/>
    <x v="2"/>
    <x v="563"/>
    <x v="564"/>
    <x v="221"/>
    <x v="4"/>
    <x v="0"/>
  </r>
  <r>
    <x v="568"/>
    <x v="45"/>
    <x v="1"/>
    <x v="4"/>
    <x v="4"/>
    <x v="486"/>
    <x v="122"/>
    <x v="120"/>
    <x v="2"/>
    <x v="1"/>
    <x v="13"/>
    <x v="73"/>
    <x v="3"/>
    <x v="38"/>
    <x v="1"/>
    <x v="1"/>
    <x v="38"/>
    <x v="413"/>
    <x v="0"/>
    <x v="4"/>
    <x v="3"/>
    <x v="564"/>
    <x v="565"/>
    <x v="534"/>
    <x v="5"/>
    <x v="1"/>
  </r>
  <r>
    <x v="569"/>
    <x v="486"/>
    <x v="2"/>
    <x v="8"/>
    <x v="8"/>
    <x v="487"/>
    <x v="175"/>
    <x v="165"/>
    <x v="2"/>
    <x v="1"/>
    <x v="10"/>
    <x v="78"/>
    <x v="0"/>
    <x v="39"/>
    <x v="0"/>
    <x v="12"/>
    <x v="39"/>
    <x v="414"/>
    <x v="3"/>
    <x v="6"/>
    <x v="3"/>
    <x v="565"/>
    <x v="566"/>
    <x v="535"/>
    <x v="0"/>
    <x v="2"/>
  </r>
  <r>
    <x v="570"/>
    <x v="23"/>
    <x v="4"/>
    <x v="2"/>
    <x v="2"/>
    <x v="488"/>
    <x v="138"/>
    <x v="101"/>
    <x v="1"/>
    <x v="1"/>
    <x v="21"/>
    <x v="79"/>
    <x v="1"/>
    <x v="2"/>
    <x v="1"/>
    <x v="2"/>
    <x v="2"/>
    <x v="415"/>
    <x v="0"/>
    <x v="0"/>
    <x v="0"/>
    <x v="566"/>
    <x v="567"/>
    <x v="536"/>
    <x v="4"/>
    <x v="1"/>
  </r>
  <r>
    <x v="571"/>
    <x v="487"/>
    <x v="3"/>
    <x v="4"/>
    <x v="4"/>
    <x v="489"/>
    <x v="12"/>
    <x v="12"/>
    <x v="0"/>
    <x v="1"/>
    <x v="4"/>
    <x v="4"/>
    <x v="0"/>
    <x v="30"/>
    <x v="0"/>
    <x v="10"/>
    <x v="30"/>
    <x v="384"/>
    <x v="1"/>
    <x v="0"/>
    <x v="0"/>
    <x v="567"/>
    <x v="568"/>
    <x v="537"/>
    <x v="5"/>
    <x v="2"/>
  </r>
  <r>
    <x v="572"/>
    <x v="488"/>
    <x v="2"/>
    <x v="4"/>
    <x v="4"/>
    <x v="490"/>
    <x v="27"/>
    <x v="27"/>
    <x v="2"/>
    <x v="1"/>
    <x v="20"/>
    <x v="22"/>
    <x v="1"/>
    <x v="35"/>
    <x v="0"/>
    <x v="4"/>
    <x v="35"/>
    <x v="416"/>
    <x v="3"/>
    <x v="3"/>
    <x v="2"/>
    <x v="568"/>
    <x v="569"/>
    <x v="415"/>
    <x v="1"/>
    <x v="0"/>
  </r>
  <r>
    <x v="573"/>
    <x v="489"/>
    <x v="3"/>
    <x v="4"/>
    <x v="4"/>
    <x v="491"/>
    <x v="229"/>
    <x v="216"/>
    <x v="1"/>
    <x v="0"/>
    <x v="5"/>
    <x v="5"/>
    <x v="3"/>
    <x v="25"/>
    <x v="2"/>
    <x v="13"/>
    <x v="25"/>
    <x v="179"/>
    <x v="4"/>
    <x v="0"/>
    <x v="0"/>
    <x v="569"/>
    <x v="570"/>
    <x v="538"/>
    <x v="2"/>
    <x v="2"/>
  </r>
  <r>
    <x v="574"/>
    <x v="258"/>
    <x v="3"/>
    <x v="4"/>
    <x v="4"/>
    <x v="492"/>
    <x v="49"/>
    <x v="49"/>
    <x v="1"/>
    <x v="0"/>
    <x v="4"/>
    <x v="41"/>
    <x v="0"/>
    <x v="45"/>
    <x v="1"/>
    <x v="2"/>
    <x v="45"/>
    <x v="92"/>
    <x v="4"/>
    <x v="0"/>
    <x v="0"/>
    <x v="570"/>
    <x v="571"/>
    <x v="539"/>
    <x v="1"/>
    <x v="1"/>
  </r>
  <r>
    <x v="575"/>
    <x v="490"/>
    <x v="1"/>
    <x v="4"/>
    <x v="4"/>
    <x v="385"/>
    <x v="249"/>
    <x v="234"/>
    <x v="0"/>
    <x v="1"/>
    <x v="30"/>
    <x v="91"/>
    <x v="2"/>
    <x v="48"/>
    <x v="2"/>
    <x v="6"/>
    <x v="48"/>
    <x v="417"/>
    <x v="2"/>
    <x v="2"/>
    <x v="1"/>
    <x v="571"/>
    <x v="572"/>
    <x v="540"/>
    <x v="6"/>
    <x v="0"/>
  </r>
  <r>
    <x v="576"/>
    <x v="275"/>
    <x v="3"/>
    <x v="4"/>
    <x v="4"/>
    <x v="493"/>
    <x v="107"/>
    <x v="105"/>
    <x v="0"/>
    <x v="1"/>
    <x v="22"/>
    <x v="53"/>
    <x v="3"/>
    <x v="1"/>
    <x v="1"/>
    <x v="1"/>
    <x v="1"/>
    <x v="411"/>
    <x v="0"/>
    <x v="0"/>
    <x v="0"/>
    <x v="572"/>
    <x v="573"/>
    <x v="541"/>
    <x v="0"/>
    <x v="1"/>
  </r>
  <r>
    <x v="577"/>
    <x v="491"/>
    <x v="3"/>
    <x v="2"/>
    <x v="2"/>
    <x v="494"/>
    <x v="250"/>
    <x v="234"/>
    <x v="2"/>
    <x v="1"/>
    <x v="25"/>
    <x v="49"/>
    <x v="1"/>
    <x v="19"/>
    <x v="0"/>
    <x v="12"/>
    <x v="19"/>
    <x v="418"/>
    <x v="3"/>
    <x v="0"/>
    <x v="0"/>
    <x v="573"/>
    <x v="574"/>
    <x v="538"/>
    <x v="4"/>
    <x v="0"/>
  </r>
  <r>
    <x v="578"/>
    <x v="492"/>
    <x v="2"/>
    <x v="3"/>
    <x v="3"/>
    <x v="495"/>
    <x v="251"/>
    <x v="235"/>
    <x v="2"/>
    <x v="1"/>
    <x v="25"/>
    <x v="57"/>
    <x v="1"/>
    <x v="1"/>
    <x v="1"/>
    <x v="1"/>
    <x v="1"/>
    <x v="49"/>
    <x v="0"/>
    <x v="1"/>
    <x v="1"/>
    <x v="574"/>
    <x v="575"/>
    <x v="542"/>
    <x v="1"/>
    <x v="1"/>
  </r>
  <r>
    <x v="579"/>
    <x v="493"/>
    <x v="1"/>
    <x v="5"/>
    <x v="5"/>
    <x v="292"/>
    <x v="109"/>
    <x v="107"/>
    <x v="0"/>
    <x v="1"/>
    <x v="21"/>
    <x v="69"/>
    <x v="1"/>
    <x v="6"/>
    <x v="0"/>
    <x v="0"/>
    <x v="6"/>
    <x v="147"/>
    <x v="3"/>
    <x v="0"/>
    <x v="0"/>
    <x v="575"/>
    <x v="576"/>
    <x v="543"/>
    <x v="3"/>
    <x v="2"/>
  </r>
  <r>
    <x v="580"/>
    <x v="494"/>
    <x v="3"/>
    <x v="8"/>
    <x v="8"/>
    <x v="496"/>
    <x v="128"/>
    <x v="125"/>
    <x v="0"/>
    <x v="1"/>
    <x v="19"/>
    <x v="39"/>
    <x v="0"/>
    <x v="64"/>
    <x v="1"/>
    <x v="11"/>
    <x v="64"/>
    <x v="419"/>
    <x v="0"/>
    <x v="1"/>
    <x v="1"/>
    <x v="576"/>
    <x v="577"/>
    <x v="544"/>
    <x v="1"/>
    <x v="1"/>
  </r>
  <r>
    <x v="581"/>
    <x v="495"/>
    <x v="1"/>
    <x v="1"/>
    <x v="1"/>
    <x v="497"/>
    <x v="125"/>
    <x v="122"/>
    <x v="0"/>
    <x v="0"/>
    <x v="6"/>
    <x v="62"/>
    <x v="0"/>
    <x v="8"/>
    <x v="0"/>
    <x v="7"/>
    <x v="8"/>
    <x v="420"/>
    <x v="3"/>
    <x v="2"/>
    <x v="1"/>
    <x v="577"/>
    <x v="578"/>
    <x v="49"/>
    <x v="6"/>
    <x v="0"/>
  </r>
  <r>
    <x v="582"/>
    <x v="496"/>
    <x v="3"/>
    <x v="6"/>
    <x v="6"/>
    <x v="498"/>
    <x v="173"/>
    <x v="163"/>
    <x v="2"/>
    <x v="1"/>
    <x v="18"/>
    <x v="84"/>
    <x v="1"/>
    <x v="55"/>
    <x v="2"/>
    <x v="8"/>
    <x v="55"/>
    <x v="421"/>
    <x v="4"/>
    <x v="5"/>
    <x v="2"/>
    <x v="578"/>
    <x v="579"/>
    <x v="545"/>
    <x v="7"/>
    <x v="2"/>
  </r>
  <r>
    <x v="583"/>
    <x v="497"/>
    <x v="1"/>
    <x v="9"/>
    <x v="9"/>
    <x v="499"/>
    <x v="201"/>
    <x v="188"/>
    <x v="0"/>
    <x v="1"/>
    <x v="27"/>
    <x v="32"/>
    <x v="1"/>
    <x v="66"/>
    <x v="0"/>
    <x v="7"/>
    <x v="66"/>
    <x v="422"/>
    <x v="0"/>
    <x v="3"/>
    <x v="2"/>
    <x v="579"/>
    <x v="580"/>
    <x v="546"/>
    <x v="7"/>
    <x v="1"/>
  </r>
  <r>
    <x v="584"/>
    <x v="498"/>
    <x v="1"/>
    <x v="4"/>
    <x v="4"/>
    <x v="500"/>
    <x v="198"/>
    <x v="187"/>
    <x v="2"/>
    <x v="1"/>
    <x v="27"/>
    <x v="32"/>
    <x v="1"/>
    <x v="4"/>
    <x v="0"/>
    <x v="4"/>
    <x v="4"/>
    <x v="142"/>
    <x v="2"/>
    <x v="3"/>
    <x v="2"/>
    <x v="580"/>
    <x v="581"/>
    <x v="547"/>
    <x v="7"/>
    <x v="0"/>
  </r>
  <r>
    <x v="585"/>
    <x v="158"/>
    <x v="3"/>
    <x v="8"/>
    <x v="8"/>
    <x v="160"/>
    <x v="210"/>
    <x v="198"/>
    <x v="2"/>
    <x v="1"/>
    <x v="37"/>
    <x v="76"/>
    <x v="1"/>
    <x v="33"/>
    <x v="1"/>
    <x v="11"/>
    <x v="33"/>
    <x v="423"/>
    <x v="1"/>
    <x v="0"/>
    <x v="0"/>
    <x v="581"/>
    <x v="582"/>
    <x v="548"/>
    <x v="2"/>
    <x v="1"/>
  </r>
  <r>
    <x v="586"/>
    <x v="46"/>
    <x v="3"/>
    <x v="1"/>
    <x v="1"/>
    <x v="47"/>
    <x v="241"/>
    <x v="227"/>
    <x v="0"/>
    <x v="0"/>
    <x v="9"/>
    <x v="81"/>
    <x v="2"/>
    <x v="45"/>
    <x v="1"/>
    <x v="2"/>
    <x v="45"/>
    <x v="84"/>
    <x v="0"/>
    <x v="0"/>
    <x v="0"/>
    <x v="582"/>
    <x v="583"/>
    <x v="549"/>
    <x v="3"/>
    <x v="1"/>
  </r>
  <r>
    <x v="587"/>
    <x v="410"/>
    <x v="4"/>
    <x v="1"/>
    <x v="1"/>
    <x v="501"/>
    <x v="155"/>
    <x v="148"/>
    <x v="1"/>
    <x v="1"/>
    <x v="5"/>
    <x v="5"/>
    <x v="3"/>
    <x v="29"/>
    <x v="0"/>
    <x v="12"/>
    <x v="29"/>
    <x v="12"/>
    <x v="3"/>
    <x v="0"/>
    <x v="0"/>
    <x v="583"/>
    <x v="584"/>
    <x v="550"/>
    <x v="1"/>
    <x v="0"/>
  </r>
  <r>
    <x v="588"/>
    <x v="296"/>
    <x v="4"/>
    <x v="8"/>
    <x v="8"/>
    <x v="502"/>
    <x v="136"/>
    <x v="109"/>
    <x v="1"/>
    <x v="1"/>
    <x v="39"/>
    <x v="34"/>
    <x v="2"/>
    <x v="16"/>
    <x v="1"/>
    <x v="1"/>
    <x v="16"/>
    <x v="401"/>
    <x v="1"/>
    <x v="5"/>
    <x v="2"/>
    <x v="584"/>
    <x v="585"/>
    <x v="551"/>
    <x v="4"/>
    <x v="1"/>
  </r>
  <r>
    <x v="589"/>
    <x v="499"/>
    <x v="1"/>
    <x v="1"/>
    <x v="1"/>
    <x v="379"/>
    <x v="145"/>
    <x v="138"/>
    <x v="2"/>
    <x v="1"/>
    <x v="2"/>
    <x v="2"/>
    <x v="2"/>
    <x v="42"/>
    <x v="1"/>
    <x v="11"/>
    <x v="42"/>
    <x v="230"/>
    <x v="0"/>
    <x v="0"/>
    <x v="0"/>
    <x v="585"/>
    <x v="586"/>
    <x v="552"/>
    <x v="7"/>
    <x v="1"/>
  </r>
  <r>
    <x v="590"/>
    <x v="380"/>
    <x v="2"/>
    <x v="7"/>
    <x v="7"/>
    <x v="503"/>
    <x v="162"/>
    <x v="155"/>
    <x v="1"/>
    <x v="0"/>
    <x v="1"/>
    <x v="18"/>
    <x v="1"/>
    <x v="17"/>
    <x v="1"/>
    <x v="9"/>
    <x v="17"/>
    <x v="411"/>
    <x v="0"/>
    <x v="0"/>
    <x v="0"/>
    <x v="586"/>
    <x v="587"/>
    <x v="553"/>
    <x v="5"/>
    <x v="1"/>
  </r>
  <r>
    <x v="591"/>
    <x v="500"/>
    <x v="1"/>
    <x v="0"/>
    <x v="0"/>
    <x v="504"/>
    <x v="252"/>
    <x v="236"/>
    <x v="0"/>
    <x v="1"/>
    <x v="11"/>
    <x v="10"/>
    <x v="0"/>
    <x v="18"/>
    <x v="1"/>
    <x v="11"/>
    <x v="18"/>
    <x v="148"/>
    <x v="1"/>
    <x v="0"/>
    <x v="0"/>
    <x v="587"/>
    <x v="588"/>
    <x v="554"/>
    <x v="5"/>
    <x v="1"/>
  </r>
  <r>
    <x v="592"/>
    <x v="435"/>
    <x v="2"/>
    <x v="3"/>
    <x v="3"/>
    <x v="505"/>
    <x v="117"/>
    <x v="115"/>
    <x v="2"/>
    <x v="1"/>
    <x v="12"/>
    <x v="37"/>
    <x v="2"/>
    <x v="59"/>
    <x v="1"/>
    <x v="1"/>
    <x v="59"/>
    <x v="424"/>
    <x v="2"/>
    <x v="4"/>
    <x v="3"/>
    <x v="588"/>
    <x v="589"/>
    <x v="555"/>
    <x v="6"/>
    <x v="1"/>
  </r>
  <r>
    <x v="593"/>
    <x v="501"/>
    <x v="0"/>
    <x v="1"/>
    <x v="1"/>
    <x v="506"/>
    <x v="93"/>
    <x v="19"/>
    <x v="0"/>
    <x v="1"/>
    <x v="24"/>
    <x v="60"/>
    <x v="2"/>
    <x v="29"/>
    <x v="0"/>
    <x v="12"/>
    <x v="29"/>
    <x v="247"/>
    <x v="3"/>
    <x v="5"/>
    <x v="2"/>
    <x v="589"/>
    <x v="590"/>
    <x v="556"/>
    <x v="2"/>
    <x v="0"/>
  </r>
  <r>
    <x v="594"/>
    <x v="502"/>
    <x v="1"/>
    <x v="9"/>
    <x v="9"/>
    <x v="507"/>
    <x v="233"/>
    <x v="219"/>
    <x v="1"/>
    <x v="0"/>
    <x v="16"/>
    <x v="83"/>
    <x v="1"/>
    <x v="42"/>
    <x v="1"/>
    <x v="11"/>
    <x v="42"/>
    <x v="425"/>
    <x v="0"/>
    <x v="3"/>
    <x v="2"/>
    <x v="590"/>
    <x v="591"/>
    <x v="557"/>
    <x v="1"/>
    <x v="1"/>
  </r>
  <r>
    <x v="595"/>
    <x v="503"/>
    <x v="1"/>
    <x v="5"/>
    <x v="5"/>
    <x v="508"/>
    <x v="14"/>
    <x v="14"/>
    <x v="0"/>
    <x v="1"/>
    <x v="12"/>
    <x v="12"/>
    <x v="2"/>
    <x v="37"/>
    <x v="2"/>
    <x v="3"/>
    <x v="37"/>
    <x v="426"/>
    <x v="4"/>
    <x v="4"/>
    <x v="3"/>
    <x v="591"/>
    <x v="592"/>
    <x v="226"/>
    <x v="7"/>
    <x v="0"/>
  </r>
  <r>
    <x v="596"/>
    <x v="345"/>
    <x v="3"/>
    <x v="10"/>
    <x v="10"/>
    <x v="73"/>
    <x v="23"/>
    <x v="23"/>
    <x v="1"/>
    <x v="1"/>
    <x v="19"/>
    <x v="21"/>
    <x v="0"/>
    <x v="59"/>
    <x v="1"/>
    <x v="1"/>
    <x v="59"/>
    <x v="427"/>
    <x v="1"/>
    <x v="5"/>
    <x v="2"/>
    <x v="592"/>
    <x v="593"/>
    <x v="558"/>
    <x v="7"/>
    <x v="1"/>
  </r>
  <r>
    <x v="597"/>
    <x v="236"/>
    <x v="4"/>
    <x v="8"/>
    <x v="8"/>
    <x v="509"/>
    <x v="185"/>
    <x v="176"/>
    <x v="0"/>
    <x v="1"/>
    <x v="27"/>
    <x v="32"/>
    <x v="1"/>
    <x v="13"/>
    <x v="1"/>
    <x v="2"/>
    <x v="13"/>
    <x v="428"/>
    <x v="2"/>
    <x v="4"/>
    <x v="3"/>
    <x v="593"/>
    <x v="594"/>
    <x v="559"/>
    <x v="2"/>
    <x v="1"/>
  </r>
  <r>
    <x v="598"/>
    <x v="504"/>
    <x v="4"/>
    <x v="9"/>
    <x v="9"/>
    <x v="203"/>
    <x v="98"/>
    <x v="96"/>
    <x v="0"/>
    <x v="1"/>
    <x v="29"/>
    <x v="16"/>
    <x v="1"/>
    <x v="34"/>
    <x v="1"/>
    <x v="11"/>
    <x v="34"/>
    <x v="429"/>
    <x v="3"/>
    <x v="5"/>
    <x v="2"/>
    <x v="594"/>
    <x v="595"/>
    <x v="560"/>
    <x v="2"/>
    <x v="0"/>
  </r>
  <r>
    <x v="599"/>
    <x v="505"/>
    <x v="1"/>
    <x v="5"/>
    <x v="5"/>
    <x v="510"/>
    <x v="93"/>
    <x v="19"/>
    <x v="0"/>
    <x v="1"/>
    <x v="24"/>
    <x v="60"/>
    <x v="2"/>
    <x v="13"/>
    <x v="1"/>
    <x v="2"/>
    <x v="13"/>
    <x v="430"/>
    <x v="4"/>
    <x v="0"/>
    <x v="0"/>
    <x v="595"/>
    <x v="596"/>
    <x v="15"/>
    <x v="5"/>
    <x v="1"/>
  </r>
  <r>
    <x v="600"/>
    <x v="87"/>
    <x v="0"/>
    <x v="7"/>
    <x v="7"/>
    <x v="207"/>
    <x v="233"/>
    <x v="219"/>
    <x v="1"/>
    <x v="0"/>
    <x v="16"/>
    <x v="83"/>
    <x v="1"/>
    <x v="31"/>
    <x v="1"/>
    <x v="1"/>
    <x v="31"/>
    <x v="431"/>
    <x v="2"/>
    <x v="4"/>
    <x v="3"/>
    <x v="596"/>
    <x v="597"/>
    <x v="561"/>
    <x v="6"/>
    <x v="1"/>
  </r>
  <r>
    <x v="601"/>
    <x v="506"/>
    <x v="3"/>
    <x v="1"/>
    <x v="1"/>
    <x v="430"/>
    <x v="119"/>
    <x v="117"/>
    <x v="2"/>
    <x v="1"/>
    <x v="17"/>
    <x v="72"/>
    <x v="0"/>
    <x v="51"/>
    <x v="1"/>
    <x v="9"/>
    <x v="51"/>
    <x v="432"/>
    <x v="0"/>
    <x v="0"/>
    <x v="0"/>
    <x v="597"/>
    <x v="598"/>
    <x v="562"/>
    <x v="3"/>
    <x v="1"/>
  </r>
  <r>
    <x v="602"/>
    <x v="79"/>
    <x v="4"/>
    <x v="0"/>
    <x v="0"/>
    <x v="411"/>
    <x v="181"/>
    <x v="171"/>
    <x v="2"/>
    <x v="1"/>
    <x v="12"/>
    <x v="12"/>
    <x v="2"/>
    <x v="47"/>
    <x v="2"/>
    <x v="13"/>
    <x v="47"/>
    <x v="275"/>
    <x v="4"/>
    <x v="0"/>
    <x v="0"/>
    <x v="598"/>
    <x v="599"/>
    <x v="563"/>
    <x v="7"/>
    <x v="2"/>
  </r>
  <r>
    <x v="603"/>
    <x v="334"/>
    <x v="3"/>
    <x v="3"/>
    <x v="3"/>
    <x v="198"/>
    <x v="139"/>
    <x v="9"/>
    <x v="2"/>
    <x v="1"/>
    <x v="24"/>
    <x v="80"/>
    <x v="2"/>
    <x v="13"/>
    <x v="1"/>
    <x v="2"/>
    <x v="13"/>
    <x v="433"/>
    <x v="1"/>
    <x v="0"/>
    <x v="0"/>
    <x v="599"/>
    <x v="600"/>
    <x v="564"/>
    <x v="5"/>
    <x v="1"/>
  </r>
  <r>
    <x v="604"/>
    <x v="164"/>
    <x v="0"/>
    <x v="11"/>
    <x v="11"/>
    <x v="511"/>
    <x v="38"/>
    <x v="38"/>
    <x v="0"/>
    <x v="1"/>
    <x v="28"/>
    <x v="33"/>
    <x v="3"/>
    <x v="29"/>
    <x v="0"/>
    <x v="12"/>
    <x v="29"/>
    <x v="120"/>
    <x v="0"/>
    <x v="3"/>
    <x v="2"/>
    <x v="600"/>
    <x v="601"/>
    <x v="565"/>
    <x v="4"/>
    <x v="1"/>
  </r>
  <r>
    <x v="605"/>
    <x v="289"/>
    <x v="3"/>
    <x v="3"/>
    <x v="3"/>
    <x v="512"/>
    <x v="164"/>
    <x v="156"/>
    <x v="1"/>
    <x v="1"/>
    <x v="27"/>
    <x v="86"/>
    <x v="1"/>
    <x v="56"/>
    <x v="0"/>
    <x v="0"/>
    <x v="56"/>
    <x v="434"/>
    <x v="3"/>
    <x v="0"/>
    <x v="0"/>
    <x v="601"/>
    <x v="602"/>
    <x v="566"/>
    <x v="7"/>
    <x v="2"/>
  </r>
  <r>
    <x v="606"/>
    <x v="507"/>
    <x v="4"/>
    <x v="0"/>
    <x v="0"/>
    <x v="513"/>
    <x v="185"/>
    <x v="176"/>
    <x v="0"/>
    <x v="1"/>
    <x v="27"/>
    <x v="32"/>
    <x v="1"/>
    <x v="59"/>
    <x v="1"/>
    <x v="1"/>
    <x v="59"/>
    <x v="435"/>
    <x v="1"/>
    <x v="6"/>
    <x v="3"/>
    <x v="602"/>
    <x v="603"/>
    <x v="567"/>
    <x v="5"/>
    <x v="1"/>
  </r>
  <r>
    <x v="607"/>
    <x v="508"/>
    <x v="3"/>
    <x v="2"/>
    <x v="2"/>
    <x v="148"/>
    <x v="38"/>
    <x v="38"/>
    <x v="0"/>
    <x v="1"/>
    <x v="28"/>
    <x v="33"/>
    <x v="3"/>
    <x v="57"/>
    <x v="0"/>
    <x v="4"/>
    <x v="57"/>
    <x v="436"/>
    <x v="0"/>
    <x v="5"/>
    <x v="2"/>
    <x v="603"/>
    <x v="604"/>
    <x v="568"/>
    <x v="6"/>
    <x v="0"/>
  </r>
  <r>
    <x v="608"/>
    <x v="41"/>
    <x v="4"/>
    <x v="8"/>
    <x v="8"/>
    <x v="514"/>
    <x v="31"/>
    <x v="31"/>
    <x v="0"/>
    <x v="1"/>
    <x v="23"/>
    <x v="26"/>
    <x v="3"/>
    <x v="66"/>
    <x v="0"/>
    <x v="7"/>
    <x v="66"/>
    <x v="370"/>
    <x v="1"/>
    <x v="2"/>
    <x v="1"/>
    <x v="604"/>
    <x v="605"/>
    <x v="569"/>
    <x v="3"/>
    <x v="0"/>
  </r>
  <r>
    <x v="609"/>
    <x v="509"/>
    <x v="0"/>
    <x v="10"/>
    <x v="10"/>
    <x v="515"/>
    <x v="10"/>
    <x v="10"/>
    <x v="0"/>
    <x v="1"/>
    <x v="9"/>
    <x v="9"/>
    <x v="2"/>
    <x v="65"/>
    <x v="0"/>
    <x v="10"/>
    <x v="65"/>
    <x v="437"/>
    <x v="0"/>
    <x v="5"/>
    <x v="2"/>
    <x v="605"/>
    <x v="606"/>
    <x v="570"/>
    <x v="7"/>
    <x v="2"/>
  </r>
  <r>
    <x v="610"/>
    <x v="127"/>
    <x v="4"/>
    <x v="4"/>
    <x v="4"/>
    <x v="516"/>
    <x v="253"/>
    <x v="237"/>
    <x v="0"/>
    <x v="0"/>
    <x v="27"/>
    <x v="32"/>
    <x v="1"/>
    <x v="64"/>
    <x v="1"/>
    <x v="11"/>
    <x v="64"/>
    <x v="401"/>
    <x v="1"/>
    <x v="5"/>
    <x v="2"/>
    <x v="606"/>
    <x v="607"/>
    <x v="571"/>
    <x v="1"/>
    <x v="1"/>
  </r>
  <r>
    <x v="611"/>
    <x v="510"/>
    <x v="2"/>
    <x v="7"/>
    <x v="7"/>
    <x v="517"/>
    <x v="85"/>
    <x v="84"/>
    <x v="1"/>
    <x v="1"/>
    <x v="2"/>
    <x v="2"/>
    <x v="2"/>
    <x v="9"/>
    <x v="2"/>
    <x v="8"/>
    <x v="9"/>
    <x v="248"/>
    <x v="2"/>
    <x v="0"/>
    <x v="0"/>
    <x v="607"/>
    <x v="608"/>
    <x v="572"/>
    <x v="4"/>
    <x v="0"/>
  </r>
  <r>
    <x v="612"/>
    <x v="494"/>
    <x v="3"/>
    <x v="8"/>
    <x v="8"/>
    <x v="71"/>
    <x v="254"/>
    <x v="238"/>
    <x v="0"/>
    <x v="1"/>
    <x v="6"/>
    <x v="6"/>
    <x v="0"/>
    <x v="8"/>
    <x v="0"/>
    <x v="7"/>
    <x v="8"/>
    <x v="420"/>
    <x v="1"/>
    <x v="0"/>
    <x v="0"/>
    <x v="608"/>
    <x v="609"/>
    <x v="573"/>
    <x v="2"/>
    <x v="0"/>
  </r>
  <r>
    <x v="613"/>
    <x v="511"/>
    <x v="2"/>
    <x v="9"/>
    <x v="9"/>
    <x v="518"/>
    <x v="56"/>
    <x v="56"/>
    <x v="0"/>
    <x v="1"/>
    <x v="17"/>
    <x v="17"/>
    <x v="0"/>
    <x v="8"/>
    <x v="0"/>
    <x v="7"/>
    <x v="8"/>
    <x v="342"/>
    <x v="2"/>
    <x v="6"/>
    <x v="3"/>
    <x v="609"/>
    <x v="610"/>
    <x v="574"/>
    <x v="1"/>
    <x v="1"/>
  </r>
  <r>
    <x v="614"/>
    <x v="512"/>
    <x v="2"/>
    <x v="0"/>
    <x v="0"/>
    <x v="519"/>
    <x v="49"/>
    <x v="49"/>
    <x v="1"/>
    <x v="0"/>
    <x v="4"/>
    <x v="41"/>
    <x v="0"/>
    <x v="21"/>
    <x v="0"/>
    <x v="0"/>
    <x v="21"/>
    <x v="100"/>
    <x v="0"/>
    <x v="0"/>
    <x v="0"/>
    <x v="610"/>
    <x v="611"/>
    <x v="575"/>
    <x v="4"/>
    <x v="2"/>
  </r>
  <r>
    <x v="615"/>
    <x v="513"/>
    <x v="3"/>
    <x v="6"/>
    <x v="6"/>
    <x v="520"/>
    <x v="31"/>
    <x v="31"/>
    <x v="0"/>
    <x v="1"/>
    <x v="23"/>
    <x v="26"/>
    <x v="3"/>
    <x v="2"/>
    <x v="1"/>
    <x v="2"/>
    <x v="2"/>
    <x v="438"/>
    <x v="2"/>
    <x v="3"/>
    <x v="2"/>
    <x v="611"/>
    <x v="612"/>
    <x v="576"/>
    <x v="4"/>
    <x v="1"/>
  </r>
  <r>
    <x v="616"/>
    <x v="514"/>
    <x v="3"/>
    <x v="8"/>
    <x v="8"/>
    <x v="521"/>
    <x v="255"/>
    <x v="239"/>
    <x v="0"/>
    <x v="1"/>
    <x v="6"/>
    <x v="47"/>
    <x v="0"/>
    <x v="55"/>
    <x v="2"/>
    <x v="8"/>
    <x v="55"/>
    <x v="439"/>
    <x v="3"/>
    <x v="0"/>
    <x v="0"/>
    <x v="612"/>
    <x v="613"/>
    <x v="577"/>
    <x v="3"/>
    <x v="2"/>
  </r>
  <r>
    <x v="617"/>
    <x v="347"/>
    <x v="4"/>
    <x v="5"/>
    <x v="5"/>
    <x v="180"/>
    <x v="150"/>
    <x v="143"/>
    <x v="0"/>
    <x v="1"/>
    <x v="16"/>
    <x v="83"/>
    <x v="1"/>
    <x v="43"/>
    <x v="1"/>
    <x v="9"/>
    <x v="43"/>
    <x v="440"/>
    <x v="4"/>
    <x v="5"/>
    <x v="2"/>
    <x v="613"/>
    <x v="614"/>
    <x v="318"/>
    <x v="1"/>
    <x v="1"/>
  </r>
  <r>
    <x v="618"/>
    <x v="515"/>
    <x v="0"/>
    <x v="1"/>
    <x v="1"/>
    <x v="72"/>
    <x v="227"/>
    <x v="54"/>
    <x v="1"/>
    <x v="1"/>
    <x v="10"/>
    <x v="10"/>
    <x v="0"/>
    <x v="38"/>
    <x v="1"/>
    <x v="1"/>
    <x v="38"/>
    <x v="441"/>
    <x v="1"/>
    <x v="0"/>
    <x v="0"/>
    <x v="614"/>
    <x v="615"/>
    <x v="578"/>
    <x v="2"/>
    <x v="1"/>
  </r>
  <r>
    <x v="619"/>
    <x v="516"/>
    <x v="4"/>
    <x v="10"/>
    <x v="10"/>
    <x v="522"/>
    <x v="256"/>
    <x v="240"/>
    <x v="2"/>
    <x v="1"/>
    <x v="33"/>
    <x v="103"/>
    <x v="2"/>
    <x v="20"/>
    <x v="1"/>
    <x v="9"/>
    <x v="20"/>
    <x v="442"/>
    <x v="0"/>
    <x v="4"/>
    <x v="3"/>
    <x v="615"/>
    <x v="616"/>
    <x v="579"/>
    <x v="6"/>
    <x v="1"/>
  </r>
  <r>
    <x v="620"/>
    <x v="517"/>
    <x v="4"/>
    <x v="2"/>
    <x v="2"/>
    <x v="41"/>
    <x v="257"/>
    <x v="181"/>
    <x v="0"/>
    <x v="1"/>
    <x v="34"/>
    <x v="95"/>
    <x v="3"/>
    <x v="13"/>
    <x v="1"/>
    <x v="2"/>
    <x v="13"/>
    <x v="443"/>
    <x v="2"/>
    <x v="0"/>
    <x v="0"/>
    <x v="616"/>
    <x v="617"/>
    <x v="580"/>
    <x v="5"/>
    <x v="1"/>
  </r>
  <r>
    <x v="621"/>
    <x v="150"/>
    <x v="1"/>
    <x v="0"/>
    <x v="0"/>
    <x v="523"/>
    <x v="3"/>
    <x v="3"/>
    <x v="1"/>
    <x v="1"/>
    <x v="0"/>
    <x v="0"/>
    <x v="0"/>
    <x v="33"/>
    <x v="1"/>
    <x v="11"/>
    <x v="33"/>
    <x v="444"/>
    <x v="3"/>
    <x v="0"/>
    <x v="0"/>
    <x v="617"/>
    <x v="618"/>
    <x v="581"/>
    <x v="0"/>
    <x v="1"/>
  </r>
  <r>
    <x v="622"/>
    <x v="518"/>
    <x v="2"/>
    <x v="10"/>
    <x v="10"/>
    <x v="524"/>
    <x v="158"/>
    <x v="151"/>
    <x v="0"/>
    <x v="1"/>
    <x v="22"/>
    <x v="53"/>
    <x v="3"/>
    <x v="1"/>
    <x v="1"/>
    <x v="1"/>
    <x v="1"/>
    <x v="445"/>
    <x v="4"/>
    <x v="1"/>
    <x v="1"/>
    <x v="618"/>
    <x v="619"/>
    <x v="273"/>
    <x v="0"/>
    <x v="1"/>
  </r>
  <r>
    <x v="623"/>
    <x v="519"/>
    <x v="0"/>
    <x v="8"/>
    <x v="8"/>
    <x v="525"/>
    <x v="27"/>
    <x v="27"/>
    <x v="2"/>
    <x v="1"/>
    <x v="20"/>
    <x v="22"/>
    <x v="1"/>
    <x v="52"/>
    <x v="0"/>
    <x v="4"/>
    <x v="52"/>
    <x v="77"/>
    <x v="4"/>
    <x v="0"/>
    <x v="0"/>
    <x v="619"/>
    <x v="620"/>
    <x v="582"/>
    <x v="2"/>
    <x v="2"/>
  </r>
  <r>
    <x v="624"/>
    <x v="259"/>
    <x v="0"/>
    <x v="9"/>
    <x v="9"/>
    <x v="263"/>
    <x v="258"/>
    <x v="241"/>
    <x v="2"/>
    <x v="1"/>
    <x v="38"/>
    <x v="104"/>
    <x v="3"/>
    <x v="32"/>
    <x v="2"/>
    <x v="13"/>
    <x v="32"/>
    <x v="227"/>
    <x v="0"/>
    <x v="5"/>
    <x v="2"/>
    <x v="620"/>
    <x v="621"/>
    <x v="583"/>
    <x v="7"/>
    <x v="0"/>
  </r>
  <r>
    <x v="625"/>
    <x v="520"/>
    <x v="2"/>
    <x v="10"/>
    <x v="10"/>
    <x v="526"/>
    <x v="259"/>
    <x v="242"/>
    <x v="1"/>
    <x v="1"/>
    <x v="20"/>
    <x v="105"/>
    <x v="1"/>
    <x v="35"/>
    <x v="0"/>
    <x v="4"/>
    <x v="35"/>
    <x v="344"/>
    <x v="4"/>
    <x v="0"/>
    <x v="0"/>
    <x v="621"/>
    <x v="622"/>
    <x v="584"/>
    <x v="2"/>
    <x v="0"/>
  </r>
  <r>
    <x v="626"/>
    <x v="521"/>
    <x v="0"/>
    <x v="0"/>
    <x v="0"/>
    <x v="527"/>
    <x v="260"/>
    <x v="243"/>
    <x v="2"/>
    <x v="0"/>
    <x v="2"/>
    <x v="55"/>
    <x v="2"/>
    <x v="62"/>
    <x v="0"/>
    <x v="0"/>
    <x v="62"/>
    <x v="446"/>
    <x v="1"/>
    <x v="4"/>
    <x v="3"/>
    <x v="622"/>
    <x v="623"/>
    <x v="585"/>
    <x v="1"/>
    <x v="2"/>
  </r>
  <r>
    <x v="627"/>
    <x v="522"/>
    <x v="3"/>
    <x v="10"/>
    <x v="10"/>
    <x v="528"/>
    <x v="78"/>
    <x v="197"/>
    <x v="0"/>
    <x v="1"/>
    <x v="3"/>
    <x v="3"/>
    <x v="3"/>
    <x v="58"/>
    <x v="2"/>
    <x v="5"/>
    <x v="58"/>
    <x v="447"/>
    <x v="1"/>
    <x v="2"/>
    <x v="1"/>
    <x v="623"/>
    <x v="624"/>
    <x v="586"/>
    <x v="1"/>
    <x v="0"/>
  </r>
  <r>
    <x v="628"/>
    <x v="523"/>
    <x v="2"/>
    <x v="3"/>
    <x v="3"/>
    <x v="529"/>
    <x v="193"/>
    <x v="183"/>
    <x v="2"/>
    <x v="1"/>
    <x v="9"/>
    <x v="81"/>
    <x v="2"/>
    <x v="37"/>
    <x v="2"/>
    <x v="3"/>
    <x v="37"/>
    <x v="448"/>
    <x v="0"/>
    <x v="6"/>
    <x v="3"/>
    <x v="624"/>
    <x v="625"/>
    <x v="587"/>
    <x v="2"/>
    <x v="0"/>
  </r>
  <r>
    <x v="629"/>
    <x v="192"/>
    <x v="1"/>
    <x v="4"/>
    <x v="4"/>
    <x v="530"/>
    <x v="106"/>
    <x v="104"/>
    <x v="2"/>
    <x v="1"/>
    <x v="14"/>
    <x v="67"/>
    <x v="3"/>
    <x v="40"/>
    <x v="0"/>
    <x v="10"/>
    <x v="40"/>
    <x v="107"/>
    <x v="4"/>
    <x v="4"/>
    <x v="3"/>
    <x v="625"/>
    <x v="626"/>
    <x v="588"/>
    <x v="3"/>
    <x v="0"/>
  </r>
  <r>
    <x v="630"/>
    <x v="524"/>
    <x v="1"/>
    <x v="7"/>
    <x v="7"/>
    <x v="531"/>
    <x v="44"/>
    <x v="44"/>
    <x v="2"/>
    <x v="1"/>
    <x v="12"/>
    <x v="37"/>
    <x v="2"/>
    <x v="17"/>
    <x v="1"/>
    <x v="9"/>
    <x v="17"/>
    <x v="411"/>
    <x v="0"/>
    <x v="0"/>
    <x v="0"/>
    <x v="626"/>
    <x v="627"/>
    <x v="589"/>
    <x v="2"/>
    <x v="1"/>
  </r>
  <r>
    <x v="631"/>
    <x v="525"/>
    <x v="4"/>
    <x v="0"/>
    <x v="0"/>
    <x v="436"/>
    <x v="119"/>
    <x v="117"/>
    <x v="2"/>
    <x v="1"/>
    <x v="17"/>
    <x v="72"/>
    <x v="0"/>
    <x v="14"/>
    <x v="2"/>
    <x v="8"/>
    <x v="14"/>
    <x v="303"/>
    <x v="1"/>
    <x v="3"/>
    <x v="2"/>
    <x v="627"/>
    <x v="628"/>
    <x v="590"/>
    <x v="3"/>
    <x v="2"/>
  </r>
  <r>
    <x v="632"/>
    <x v="50"/>
    <x v="4"/>
    <x v="4"/>
    <x v="4"/>
    <x v="184"/>
    <x v="242"/>
    <x v="228"/>
    <x v="0"/>
    <x v="1"/>
    <x v="27"/>
    <x v="100"/>
    <x v="1"/>
    <x v="42"/>
    <x v="1"/>
    <x v="11"/>
    <x v="42"/>
    <x v="449"/>
    <x v="1"/>
    <x v="0"/>
    <x v="0"/>
    <x v="628"/>
    <x v="629"/>
    <x v="591"/>
    <x v="7"/>
    <x v="1"/>
  </r>
  <r>
    <x v="633"/>
    <x v="526"/>
    <x v="2"/>
    <x v="7"/>
    <x v="7"/>
    <x v="532"/>
    <x v="217"/>
    <x v="205"/>
    <x v="2"/>
    <x v="1"/>
    <x v="20"/>
    <x v="22"/>
    <x v="1"/>
    <x v="48"/>
    <x v="2"/>
    <x v="6"/>
    <x v="48"/>
    <x v="450"/>
    <x v="3"/>
    <x v="0"/>
    <x v="0"/>
    <x v="629"/>
    <x v="630"/>
    <x v="592"/>
    <x v="0"/>
    <x v="2"/>
  </r>
  <r>
    <x v="634"/>
    <x v="527"/>
    <x v="4"/>
    <x v="3"/>
    <x v="3"/>
    <x v="8"/>
    <x v="12"/>
    <x v="12"/>
    <x v="0"/>
    <x v="1"/>
    <x v="4"/>
    <x v="4"/>
    <x v="0"/>
    <x v="9"/>
    <x v="2"/>
    <x v="8"/>
    <x v="9"/>
    <x v="151"/>
    <x v="3"/>
    <x v="5"/>
    <x v="2"/>
    <x v="630"/>
    <x v="631"/>
    <x v="593"/>
    <x v="3"/>
    <x v="2"/>
  </r>
  <r>
    <x v="635"/>
    <x v="528"/>
    <x v="3"/>
    <x v="1"/>
    <x v="1"/>
    <x v="533"/>
    <x v="55"/>
    <x v="55"/>
    <x v="0"/>
    <x v="0"/>
    <x v="18"/>
    <x v="44"/>
    <x v="1"/>
    <x v="24"/>
    <x v="0"/>
    <x v="4"/>
    <x v="24"/>
    <x v="451"/>
    <x v="0"/>
    <x v="2"/>
    <x v="1"/>
    <x v="631"/>
    <x v="632"/>
    <x v="594"/>
    <x v="0"/>
    <x v="0"/>
  </r>
  <r>
    <x v="636"/>
    <x v="529"/>
    <x v="0"/>
    <x v="0"/>
    <x v="0"/>
    <x v="534"/>
    <x v="179"/>
    <x v="169"/>
    <x v="2"/>
    <x v="1"/>
    <x v="3"/>
    <x v="43"/>
    <x v="3"/>
    <x v="23"/>
    <x v="2"/>
    <x v="6"/>
    <x v="23"/>
    <x v="452"/>
    <x v="1"/>
    <x v="6"/>
    <x v="3"/>
    <x v="632"/>
    <x v="633"/>
    <x v="595"/>
    <x v="5"/>
    <x v="0"/>
  </r>
  <r>
    <x v="637"/>
    <x v="530"/>
    <x v="0"/>
    <x v="0"/>
    <x v="0"/>
    <x v="535"/>
    <x v="4"/>
    <x v="4"/>
    <x v="2"/>
    <x v="0"/>
    <x v="3"/>
    <x v="3"/>
    <x v="3"/>
    <x v="32"/>
    <x v="2"/>
    <x v="13"/>
    <x v="32"/>
    <x v="335"/>
    <x v="3"/>
    <x v="0"/>
    <x v="0"/>
    <x v="633"/>
    <x v="634"/>
    <x v="596"/>
    <x v="3"/>
    <x v="2"/>
  </r>
  <r>
    <x v="638"/>
    <x v="531"/>
    <x v="4"/>
    <x v="10"/>
    <x v="10"/>
    <x v="424"/>
    <x v="178"/>
    <x v="168"/>
    <x v="0"/>
    <x v="0"/>
    <x v="4"/>
    <x v="41"/>
    <x v="0"/>
    <x v="52"/>
    <x v="0"/>
    <x v="4"/>
    <x v="52"/>
    <x v="77"/>
    <x v="4"/>
    <x v="0"/>
    <x v="0"/>
    <x v="634"/>
    <x v="635"/>
    <x v="597"/>
    <x v="5"/>
    <x v="2"/>
  </r>
  <r>
    <x v="639"/>
    <x v="15"/>
    <x v="2"/>
    <x v="6"/>
    <x v="6"/>
    <x v="536"/>
    <x v="201"/>
    <x v="188"/>
    <x v="0"/>
    <x v="1"/>
    <x v="27"/>
    <x v="32"/>
    <x v="1"/>
    <x v="11"/>
    <x v="2"/>
    <x v="3"/>
    <x v="11"/>
    <x v="62"/>
    <x v="1"/>
    <x v="5"/>
    <x v="2"/>
    <x v="635"/>
    <x v="636"/>
    <x v="598"/>
    <x v="5"/>
    <x v="0"/>
  </r>
  <r>
    <x v="640"/>
    <x v="532"/>
    <x v="1"/>
    <x v="6"/>
    <x v="6"/>
    <x v="537"/>
    <x v="247"/>
    <x v="232"/>
    <x v="2"/>
    <x v="1"/>
    <x v="23"/>
    <x v="102"/>
    <x v="3"/>
    <x v="40"/>
    <x v="0"/>
    <x v="10"/>
    <x v="40"/>
    <x v="450"/>
    <x v="3"/>
    <x v="0"/>
    <x v="0"/>
    <x v="636"/>
    <x v="637"/>
    <x v="599"/>
    <x v="2"/>
    <x v="2"/>
  </r>
  <r>
    <x v="641"/>
    <x v="526"/>
    <x v="2"/>
    <x v="7"/>
    <x v="7"/>
    <x v="538"/>
    <x v="7"/>
    <x v="7"/>
    <x v="2"/>
    <x v="1"/>
    <x v="6"/>
    <x v="6"/>
    <x v="0"/>
    <x v="7"/>
    <x v="2"/>
    <x v="6"/>
    <x v="7"/>
    <x v="106"/>
    <x v="2"/>
    <x v="0"/>
    <x v="0"/>
    <x v="637"/>
    <x v="638"/>
    <x v="310"/>
    <x v="1"/>
    <x v="1"/>
  </r>
  <r>
    <x v="642"/>
    <x v="533"/>
    <x v="1"/>
    <x v="7"/>
    <x v="7"/>
    <x v="539"/>
    <x v="102"/>
    <x v="100"/>
    <x v="2"/>
    <x v="1"/>
    <x v="37"/>
    <x v="64"/>
    <x v="1"/>
    <x v="10"/>
    <x v="1"/>
    <x v="9"/>
    <x v="10"/>
    <x v="294"/>
    <x v="1"/>
    <x v="0"/>
    <x v="0"/>
    <x v="638"/>
    <x v="639"/>
    <x v="600"/>
    <x v="3"/>
    <x v="1"/>
  </r>
  <r>
    <x v="643"/>
    <x v="534"/>
    <x v="3"/>
    <x v="5"/>
    <x v="5"/>
    <x v="540"/>
    <x v="258"/>
    <x v="241"/>
    <x v="2"/>
    <x v="1"/>
    <x v="38"/>
    <x v="104"/>
    <x v="3"/>
    <x v="62"/>
    <x v="0"/>
    <x v="0"/>
    <x v="62"/>
    <x v="453"/>
    <x v="1"/>
    <x v="0"/>
    <x v="0"/>
    <x v="639"/>
    <x v="640"/>
    <x v="601"/>
    <x v="7"/>
    <x v="2"/>
  </r>
  <r>
    <x v="644"/>
    <x v="535"/>
    <x v="0"/>
    <x v="1"/>
    <x v="1"/>
    <x v="541"/>
    <x v="9"/>
    <x v="9"/>
    <x v="2"/>
    <x v="1"/>
    <x v="8"/>
    <x v="8"/>
    <x v="0"/>
    <x v="33"/>
    <x v="1"/>
    <x v="11"/>
    <x v="33"/>
    <x v="423"/>
    <x v="1"/>
    <x v="0"/>
    <x v="0"/>
    <x v="640"/>
    <x v="641"/>
    <x v="602"/>
    <x v="7"/>
    <x v="1"/>
  </r>
  <r>
    <x v="645"/>
    <x v="9"/>
    <x v="3"/>
    <x v="6"/>
    <x v="6"/>
    <x v="9"/>
    <x v="71"/>
    <x v="71"/>
    <x v="2"/>
    <x v="1"/>
    <x v="4"/>
    <x v="41"/>
    <x v="0"/>
    <x v="50"/>
    <x v="2"/>
    <x v="3"/>
    <x v="50"/>
    <x v="66"/>
    <x v="0"/>
    <x v="5"/>
    <x v="2"/>
    <x v="641"/>
    <x v="642"/>
    <x v="603"/>
    <x v="4"/>
    <x v="0"/>
  </r>
  <r>
    <x v="646"/>
    <x v="536"/>
    <x v="4"/>
    <x v="9"/>
    <x v="9"/>
    <x v="177"/>
    <x v="205"/>
    <x v="192"/>
    <x v="1"/>
    <x v="1"/>
    <x v="18"/>
    <x v="19"/>
    <x v="1"/>
    <x v="64"/>
    <x v="1"/>
    <x v="11"/>
    <x v="64"/>
    <x v="16"/>
    <x v="2"/>
    <x v="0"/>
    <x v="0"/>
    <x v="223"/>
    <x v="643"/>
    <x v="604"/>
    <x v="0"/>
    <x v="1"/>
  </r>
  <r>
    <x v="647"/>
    <x v="537"/>
    <x v="2"/>
    <x v="6"/>
    <x v="6"/>
    <x v="542"/>
    <x v="194"/>
    <x v="22"/>
    <x v="2"/>
    <x v="0"/>
    <x v="25"/>
    <x v="29"/>
    <x v="1"/>
    <x v="18"/>
    <x v="1"/>
    <x v="11"/>
    <x v="18"/>
    <x v="212"/>
    <x v="4"/>
    <x v="3"/>
    <x v="2"/>
    <x v="642"/>
    <x v="644"/>
    <x v="605"/>
    <x v="1"/>
    <x v="1"/>
  </r>
  <r>
    <x v="648"/>
    <x v="538"/>
    <x v="3"/>
    <x v="5"/>
    <x v="5"/>
    <x v="543"/>
    <x v="30"/>
    <x v="30"/>
    <x v="2"/>
    <x v="0"/>
    <x v="0"/>
    <x v="24"/>
    <x v="0"/>
    <x v="3"/>
    <x v="2"/>
    <x v="3"/>
    <x v="3"/>
    <x v="454"/>
    <x v="2"/>
    <x v="3"/>
    <x v="2"/>
    <x v="643"/>
    <x v="645"/>
    <x v="606"/>
    <x v="2"/>
    <x v="0"/>
  </r>
  <r>
    <x v="649"/>
    <x v="539"/>
    <x v="2"/>
    <x v="9"/>
    <x v="9"/>
    <x v="544"/>
    <x v="205"/>
    <x v="192"/>
    <x v="1"/>
    <x v="1"/>
    <x v="18"/>
    <x v="19"/>
    <x v="1"/>
    <x v="52"/>
    <x v="0"/>
    <x v="4"/>
    <x v="52"/>
    <x v="455"/>
    <x v="0"/>
    <x v="1"/>
    <x v="1"/>
    <x v="644"/>
    <x v="646"/>
    <x v="607"/>
    <x v="0"/>
    <x v="2"/>
  </r>
  <r>
    <x v="650"/>
    <x v="540"/>
    <x v="2"/>
    <x v="11"/>
    <x v="11"/>
    <x v="545"/>
    <x v="102"/>
    <x v="100"/>
    <x v="2"/>
    <x v="1"/>
    <x v="37"/>
    <x v="64"/>
    <x v="1"/>
    <x v="33"/>
    <x v="1"/>
    <x v="11"/>
    <x v="33"/>
    <x v="456"/>
    <x v="4"/>
    <x v="1"/>
    <x v="1"/>
    <x v="645"/>
    <x v="647"/>
    <x v="608"/>
    <x v="4"/>
    <x v="1"/>
  </r>
  <r>
    <x v="651"/>
    <x v="125"/>
    <x v="2"/>
    <x v="7"/>
    <x v="7"/>
    <x v="546"/>
    <x v="7"/>
    <x v="7"/>
    <x v="2"/>
    <x v="1"/>
    <x v="6"/>
    <x v="6"/>
    <x v="0"/>
    <x v="12"/>
    <x v="0"/>
    <x v="7"/>
    <x v="12"/>
    <x v="401"/>
    <x v="1"/>
    <x v="5"/>
    <x v="2"/>
    <x v="646"/>
    <x v="648"/>
    <x v="609"/>
    <x v="2"/>
    <x v="1"/>
  </r>
  <r>
    <x v="652"/>
    <x v="541"/>
    <x v="4"/>
    <x v="10"/>
    <x v="10"/>
    <x v="547"/>
    <x v="217"/>
    <x v="205"/>
    <x v="2"/>
    <x v="1"/>
    <x v="20"/>
    <x v="22"/>
    <x v="1"/>
    <x v="18"/>
    <x v="1"/>
    <x v="11"/>
    <x v="18"/>
    <x v="406"/>
    <x v="1"/>
    <x v="1"/>
    <x v="1"/>
    <x v="647"/>
    <x v="649"/>
    <x v="610"/>
    <x v="7"/>
    <x v="1"/>
  </r>
  <r>
    <x v="653"/>
    <x v="65"/>
    <x v="3"/>
    <x v="2"/>
    <x v="2"/>
    <x v="548"/>
    <x v="12"/>
    <x v="12"/>
    <x v="0"/>
    <x v="1"/>
    <x v="4"/>
    <x v="4"/>
    <x v="0"/>
    <x v="25"/>
    <x v="2"/>
    <x v="13"/>
    <x v="25"/>
    <x v="179"/>
    <x v="1"/>
    <x v="3"/>
    <x v="2"/>
    <x v="648"/>
    <x v="650"/>
    <x v="611"/>
    <x v="3"/>
    <x v="2"/>
  </r>
  <r>
    <x v="654"/>
    <x v="542"/>
    <x v="1"/>
    <x v="10"/>
    <x v="10"/>
    <x v="549"/>
    <x v="89"/>
    <x v="88"/>
    <x v="2"/>
    <x v="1"/>
    <x v="26"/>
    <x v="46"/>
    <x v="3"/>
    <x v="23"/>
    <x v="2"/>
    <x v="6"/>
    <x v="23"/>
    <x v="452"/>
    <x v="1"/>
    <x v="6"/>
    <x v="3"/>
    <x v="649"/>
    <x v="651"/>
    <x v="612"/>
    <x v="5"/>
    <x v="0"/>
  </r>
  <r>
    <x v="655"/>
    <x v="543"/>
    <x v="1"/>
    <x v="3"/>
    <x v="3"/>
    <x v="425"/>
    <x v="141"/>
    <x v="1"/>
    <x v="1"/>
    <x v="1"/>
    <x v="3"/>
    <x v="66"/>
    <x v="3"/>
    <x v="56"/>
    <x v="0"/>
    <x v="0"/>
    <x v="56"/>
    <x v="96"/>
    <x v="4"/>
    <x v="0"/>
    <x v="0"/>
    <x v="650"/>
    <x v="652"/>
    <x v="613"/>
    <x v="3"/>
    <x v="2"/>
  </r>
  <r>
    <x v="656"/>
    <x v="355"/>
    <x v="3"/>
    <x v="5"/>
    <x v="5"/>
    <x v="353"/>
    <x v="155"/>
    <x v="148"/>
    <x v="1"/>
    <x v="1"/>
    <x v="5"/>
    <x v="5"/>
    <x v="3"/>
    <x v="58"/>
    <x v="2"/>
    <x v="5"/>
    <x v="58"/>
    <x v="457"/>
    <x v="1"/>
    <x v="1"/>
    <x v="1"/>
    <x v="651"/>
    <x v="653"/>
    <x v="614"/>
    <x v="5"/>
    <x v="0"/>
  </r>
  <r>
    <x v="657"/>
    <x v="392"/>
    <x v="0"/>
    <x v="8"/>
    <x v="8"/>
    <x v="453"/>
    <x v="156"/>
    <x v="149"/>
    <x v="2"/>
    <x v="1"/>
    <x v="18"/>
    <x v="84"/>
    <x v="1"/>
    <x v="7"/>
    <x v="2"/>
    <x v="6"/>
    <x v="7"/>
    <x v="410"/>
    <x v="1"/>
    <x v="0"/>
    <x v="0"/>
    <x v="652"/>
    <x v="654"/>
    <x v="615"/>
    <x v="5"/>
    <x v="0"/>
  </r>
  <r>
    <x v="658"/>
    <x v="58"/>
    <x v="4"/>
    <x v="3"/>
    <x v="3"/>
    <x v="550"/>
    <x v="228"/>
    <x v="215"/>
    <x v="2"/>
    <x v="1"/>
    <x v="32"/>
    <x v="38"/>
    <x v="0"/>
    <x v="23"/>
    <x v="2"/>
    <x v="6"/>
    <x v="23"/>
    <x v="175"/>
    <x v="1"/>
    <x v="0"/>
    <x v="0"/>
    <x v="653"/>
    <x v="655"/>
    <x v="93"/>
    <x v="3"/>
    <x v="0"/>
  </r>
  <r>
    <x v="659"/>
    <x v="544"/>
    <x v="0"/>
    <x v="9"/>
    <x v="9"/>
    <x v="17"/>
    <x v="36"/>
    <x v="36"/>
    <x v="0"/>
    <x v="1"/>
    <x v="16"/>
    <x v="31"/>
    <x v="1"/>
    <x v="42"/>
    <x v="1"/>
    <x v="11"/>
    <x v="42"/>
    <x v="299"/>
    <x v="2"/>
    <x v="5"/>
    <x v="2"/>
    <x v="101"/>
    <x v="656"/>
    <x v="616"/>
    <x v="4"/>
    <x v="1"/>
  </r>
  <r>
    <x v="660"/>
    <x v="212"/>
    <x v="3"/>
    <x v="9"/>
    <x v="9"/>
    <x v="551"/>
    <x v="261"/>
    <x v="244"/>
    <x v="1"/>
    <x v="1"/>
    <x v="28"/>
    <x v="33"/>
    <x v="3"/>
    <x v="14"/>
    <x v="2"/>
    <x v="8"/>
    <x v="14"/>
    <x v="320"/>
    <x v="3"/>
    <x v="4"/>
    <x v="3"/>
    <x v="654"/>
    <x v="657"/>
    <x v="127"/>
    <x v="7"/>
    <x v="2"/>
  </r>
  <r>
    <x v="661"/>
    <x v="491"/>
    <x v="3"/>
    <x v="2"/>
    <x v="2"/>
    <x v="552"/>
    <x v="74"/>
    <x v="74"/>
    <x v="2"/>
    <x v="1"/>
    <x v="33"/>
    <x v="42"/>
    <x v="2"/>
    <x v="35"/>
    <x v="0"/>
    <x v="4"/>
    <x v="35"/>
    <x v="458"/>
    <x v="3"/>
    <x v="4"/>
    <x v="3"/>
    <x v="655"/>
    <x v="658"/>
    <x v="617"/>
    <x v="6"/>
    <x v="0"/>
  </r>
  <r>
    <x v="662"/>
    <x v="545"/>
    <x v="1"/>
    <x v="7"/>
    <x v="7"/>
    <x v="278"/>
    <x v="163"/>
    <x v="127"/>
    <x v="0"/>
    <x v="1"/>
    <x v="35"/>
    <x v="50"/>
    <x v="2"/>
    <x v="64"/>
    <x v="1"/>
    <x v="11"/>
    <x v="64"/>
    <x v="349"/>
    <x v="3"/>
    <x v="3"/>
    <x v="2"/>
    <x v="656"/>
    <x v="659"/>
    <x v="618"/>
    <x v="4"/>
    <x v="0"/>
  </r>
  <r>
    <x v="663"/>
    <x v="391"/>
    <x v="0"/>
    <x v="8"/>
    <x v="8"/>
    <x v="389"/>
    <x v="31"/>
    <x v="31"/>
    <x v="0"/>
    <x v="1"/>
    <x v="23"/>
    <x v="26"/>
    <x v="3"/>
    <x v="2"/>
    <x v="1"/>
    <x v="2"/>
    <x v="2"/>
    <x v="459"/>
    <x v="2"/>
    <x v="5"/>
    <x v="2"/>
    <x v="657"/>
    <x v="660"/>
    <x v="619"/>
    <x v="1"/>
    <x v="1"/>
  </r>
  <r>
    <x v="664"/>
    <x v="546"/>
    <x v="1"/>
    <x v="5"/>
    <x v="5"/>
    <x v="367"/>
    <x v="23"/>
    <x v="23"/>
    <x v="1"/>
    <x v="1"/>
    <x v="19"/>
    <x v="21"/>
    <x v="0"/>
    <x v="66"/>
    <x v="0"/>
    <x v="7"/>
    <x v="66"/>
    <x v="460"/>
    <x v="4"/>
    <x v="3"/>
    <x v="2"/>
    <x v="658"/>
    <x v="661"/>
    <x v="620"/>
    <x v="5"/>
    <x v="0"/>
  </r>
  <r>
    <x v="665"/>
    <x v="547"/>
    <x v="4"/>
    <x v="1"/>
    <x v="1"/>
    <x v="218"/>
    <x v="48"/>
    <x v="48"/>
    <x v="1"/>
    <x v="0"/>
    <x v="14"/>
    <x v="40"/>
    <x v="3"/>
    <x v="21"/>
    <x v="0"/>
    <x v="0"/>
    <x v="21"/>
    <x v="88"/>
    <x v="1"/>
    <x v="5"/>
    <x v="2"/>
    <x v="659"/>
    <x v="662"/>
    <x v="621"/>
    <x v="5"/>
    <x v="2"/>
  </r>
  <r>
    <x v="666"/>
    <x v="548"/>
    <x v="3"/>
    <x v="3"/>
    <x v="3"/>
    <x v="553"/>
    <x v="115"/>
    <x v="113"/>
    <x v="1"/>
    <x v="1"/>
    <x v="17"/>
    <x v="72"/>
    <x v="0"/>
    <x v="55"/>
    <x v="2"/>
    <x v="8"/>
    <x v="55"/>
    <x v="461"/>
    <x v="0"/>
    <x v="3"/>
    <x v="2"/>
    <x v="660"/>
    <x v="663"/>
    <x v="370"/>
    <x v="4"/>
    <x v="0"/>
  </r>
  <r>
    <x v="667"/>
    <x v="271"/>
    <x v="1"/>
    <x v="7"/>
    <x v="7"/>
    <x v="154"/>
    <x v="214"/>
    <x v="202"/>
    <x v="0"/>
    <x v="1"/>
    <x v="14"/>
    <x v="40"/>
    <x v="3"/>
    <x v="33"/>
    <x v="1"/>
    <x v="11"/>
    <x v="33"/>
    <x v="462"/>
    <x v="0"/>
    <x v="6"/>
    <x v="3"/>
    <x v="661"/>
    <x v="664"/>
    <x v="622"/>
    <x v="3"/>
    <x v="1"/>
  </r>
  <r>
    <x v="668"/>
    <x v="549"/>
    <x v="1"/>
    <x v="9"/>
    <x v="9"/>
    <x v="554"/>
    <x v="57"/>
    <x v="57"/>
    <x v="2"/>
    <x v="1"/>
    <x v="19"/>
    <x v="45"/>
    <x v="0"/>
    <x v="17"/>
    <x v="1"/>
    <x v="9"/>
    <x v="17"/>
    <x v="463"/>
    <x v="4"/>
    <x v="0"/>
    <x v="0"/>
    <x v="662"/>
    <x v="665"/>
    <x v="623"/>
    <x v="3"/>
    <x v="1"/>
  </r>
  <r>
    <x v="669"/>
    <x v="550"/>
    <x v="4"/>
    <x v="0"/>
    <x v="0"/>
    <x v="555"/>
    <x v="243"/>
    <x v="229"/>
    <x v="1"/>
    <x v="1"/>
    <x v="1"/>
    <x v="18"/>
    <x v="1"/>
    <x v="50"/>
    <x v="2"/>
    <x v="3"/>
    <x v="50"/>
    <x v="256"/>
    <x v="1"/>
    <x v="0"/>
    <x v="0"/>
    <x v="663"/>
    <x v="666"/>
    <x v="624"/>
    <x v="0"/>
    <x v="2"/>
  </r>
  <r>
    <x v="670"/>
    <x v="551"/>
    <x v="0"/>
    <x v="0"/>
    <x v="0"/>
    <x v="556"/>
    <x v="146"/>
    <x v="139"/>
    <x v="2"/>
    <x v="1"/>
    <x v="36"/>
    <x v="75"/>
    <x v="0"/>
    <x v="23"/>
    <x v="2"/>
    <x v="6"/>
    <x v="23"/>
    <x v="464"/>
    <x v="0"/>
    <x v="4"/>
    <x v="3"/>
    <x v="664"/>
    <x v="667"/>
    <x v="625"/>
    <x v="2"/>
    <x v="1"/>
  </r>
  <r>
    <x v="671"/>
    <x v="9"/>
    <x v="3"/>
    <x v="6"/>
    <x v="6"/>
    <x v="557"/>
    <x v="79"/>
    <x v="78"/>
    <x v="2"/>
    <x v="1"/>
    <x v="22"/>
    <x v="53"/>
    <x v="3"/>
    <x v="4"/>
    <x v="0"/>
    <x v="4"/>
    <x v="4"/>
    <x v="465"/>
    <x v="4"/>
    <x v="5"/>
    <x v="2"/>
    <x v="665"/>
    <x v="668"/>
    <x v="626"/>
    <x v="3"/>
    <x v="2"/>
  </r>
  <r>
    <x v="672"/>
    <x v="552"/>
    <x v="4"/>
    <x v="11"/>
    <x v="11"/>
    <x v="558"/>
    <x v="98"/>
    <x v="96"/>
    <x v="0"/>
    <x v="1"/>
    <x v="29"/>
    <x v="16"/>
    <x v="1"/>
    <x v="0"/>
    <x v="0"/>
    <x v="0"/>
    <x v="0"/>
    <x v="466"/>
    <x v="3"/>
    <x v="0"/>
    <x v="0"/>
    <x v="666"/>
    <x v="669"/>
    <x v="627"/>
    <x v="2"/>
    <x v="2"/>
  </r>
  <r>
    <x v="673"/>
    <x v="553"/>
    <x v="4"/>
    <x v="9"/>
    <x v="9"/>
    <x v="559"/>
    <x v="39"/>
    <x v="39"/>
    <x v="2"/>
    <x v="1"/>
    <x v="8"/>
    <x v="8"/>
    <x v="0"/>
    <x v="23"/>
    <x v="2"/>
    <x v="6"/>
    <x v="23"/>
    <x v="217"/>
    <x v="1"/>
    <x v="1"/>
    <x v="1"/>
    <x v="667"/>
    <x v="670"/>
    <x v="473"/>
    <x v="3"/>
    <x v="0"/>
  </r>
  <r>
    <x v="674"/>
    <x v="554"/>
    <x v="1"/>
    <x v="5"/>
    <x v="5"/>
    <x v="560"/>
    <x v="262"/>
    <x v="245"/>
    <x v="1"/>
    <x v="1"/>
    <x v="38"/>
    <x v="85"/>
    <x v="3"/>
    <x v="63"/>
    <x v="0"/>
    <x v="7"/>
    <x v="63"/>
    <x v="467"/>
    <x v="4"/>
    <x v="4"/>
    <x v="3"/>
    <x v="668"/>
    <x v="671"/>
    <x v="628"/>
    <x v="4"/>
    <x v="0"/>
  </r>
  <r>
    <x v="675"/>
    <x v="555"/>
    <x v="2"/>
    <x v="4"/>
    <x v="4"/>
    <x v="561"/>
    <x v="262"/>
    <x v="245"/>
    <x v="1"/>
    <x v="1"/>
    <x v="38"/>
    <x v="85"/>
    <x v="3"/>
    <x v="30"/>
    <x v="0"/>
    <x v="10"/>
    <x v="30"/>
    <x v="121"/>
    <x v="4"/>
    <x v="0"/>
    <x v="0"/>
    <x v="669"/>
    <x v="672"/>
    <x v="629"/>
    <x v="4"/>
    <x v="2"/>
  </r>
  <r>
    <x v="676"/>
    <x v="556"/>
    <x v="4"/>
    <x v="4"/>
    <x v="4"/>
    <x v="562"/>
    <x v="54"/>
    <x v="54"/>
    <x v="1"/>
    <x v="1"/>
    <x v="29"/>
    <x v="16"/>
    <x v="1"/>
    <x v="30"/>
    <x v="0"/>
    <x v="10"/>
    <x v="30"/>
    <x v="468"/>
    <x v="1"/>
    <x v="6"/>
    <x v="3"/>
    <x v="670"/>
    <x v="673"/>
    <x v="630"/>
    <x v="7"/>
    <x v="2"/>
  </r>
  <r>
    <x v="677"/>
    <x v="557"/>
    <x v="3"/>
    <x v="10"/>
    <x v="10"/>
    <x v="563"/>
    <x v="179"/>
    <x v="169"/>
    <x v="2"/>
    <x v="1"/>
    <x v="3"/>
    <x v="43"/>
    <x v="3"/>
    <x v="11"/>
    <x v="2"/>
    <x v="3"/>
    <x v="11"/>
    <x v="469"/>
    <x v="4"/>
    <x v="2"/>
    <x v="1"/>
    <x v="671"/>
    <x v="674"/>
    <x v="631"/>
    <x v="1"/>
    <x v="0"/>
  </r>
  <r>
    <x v="678"/>
    <x v="558"/>
    <x v="4"/>
    <x v="3"/>
    <x v="3"/>
    <x v="564"/>
    <x v="90"/>
    <x v="89"/>
    <x v="1"/>
    <x v="1"/>
    <x v="20"/>
    <x v="22"/>
    <x v="1"/>
    <x v="30"/>
    <x v="0"/>
    <x v="10"/>
    <x v="30"/>
    <x v="470"/>
    <x v="3"/>
    <x v="5"/>
    <x v="2"/>
    <x v="672"/>
    <x v="675"/>
    <x v="632"/>
    <x v="2"/>
    <x v="2"/>
  </r>
  <r>
    <x v="679"/>
    <x v="559"/>
    <x v="3"/>
    <x v="10"/>
    <x v="10"/>
    <x v="565"/>
    <x v="14"/>
    <x v="14"/>
    <x v="0"/>
    <x v="1"/>
    <x v="12"/>
    <x v="12"/>
    <x v="2"/>
    <x v="34"/>
    <x v="1"/>
    <x v="11"/>
    <x v="34"/>
    <x v="346"/>
    <x v="1"/>
    <x v="0"/>
    <x v="0"/>
    <x v="673"/>
    <x v="676"/>
    <x v="633"/>
    <x v="3"/>
    <x v="0"/>
  </r>
  <r>
    <x v="680"/>
    <x v="560"/>
    <x v="3"/>
    <x v="10"/>
    <x v="10"/>
    <x v="321"/>
    <x v="47"/>
    <x v="47"/>
    <x v="0"/>
    <x v="1"/>
    <x v="19"/>
    <x v="39"/>
    <x v="0"/>
    <x v="5"/>
    <x v="2"/>
    <x v="5"/>
    <x v="5"/>
    <x v="350"/>
    <x v="0"/>
    <x v="0"/>
    <x v="0"/>
    <x v="674"/>
    <x v="677"/>
    <x v="634"/>
    <x v="6"/>
    <x v="1"/>
  </r>
  <r>
    <x v="681"/>
    <x v="32"/>
    <x v="0"/>
    <x v="1"/>
    <x v="1"/>
    <x v="96"/>
    <x v="48"/>
    <x v="48"/>
    <x v="1"/>
    <x v="0"/>
    <x v="14"/>
    <x v="40"/>
    <x v="3"/>
    <x v="46"/>
    <x v="2"/>
    <x v="13"/>
    <x v="46"/>
    <x v="27"/>
    <x v="4"/>
    <x v="2"/>
    <x v="1"/>
    <x v="675"/>
    <x v="678"/>
    <x v="635"/>
    <x v="2"/>
    <x v="0"/>
  </r>
  <r>
    <x v="682"/>
    <x v="561"/>
    <x v="0"/>
    <x v="2"/>
    <x v="2"/>
    <x v="566"/>
    <x v="106"/>
    <x v="104"/>
    <x v="2"/>
    <x v="1"/>
    <x v="14"/>
    <x v="67"/>
    <x v="3"/>
    <x v="10"/>
    <x v="1"/>
    <x v="9"/>
    <x v="10"/>
    <x v="17"/>
    <x v="1"/>
    <x v="3"/>
    <x v="2"/>
    <x v="676"/>
    <x v="679"/>
    <x v="636"/>
    <x v="1"/>
    <x v="1"/>
  </r>
  <r>
    <x v="683"/>
    <x v="562"/>
    <x v="4"/>
    <x v="4"/>
    <x v="4"/>
    <x v="205"/>
    <x v="205"/>
    <x v="192"/>
    <x v="1"/>
    <x v="1"/>
    <x v="18"/>
    <x v="19"/>
    <x v="1"/>
    <x v="36"/>
    <x v="0"/>
    <x v="10"/>
    <x v="36"/>
    <x v="185"/>
    <x v="1"/>
    <x v="6"/>
    <x v="3"/>
    <x v="677"/>
    <x v="680"/>
    <x v="637"/>
    <x v="3"/>
    <x v="2"/>
  </r>
  <r>
    <x v="684"/>
    <x v="563"/>
    <x v="2"/>
    <x v="5"/>
    <x v="5"/>
    <x v="567"/>
    <x v="19"/>
    <x v="19"/>
    <x v="1"/>
    <x v="1"/>
    <x v="17"/>
    <x v="17"/>
    <x v="0"/>
    <x v="62"/>
    <x v="0"/>
    <x v="0"/>
    <x v="62"/>
    <x v="453"/>
    <x v="1"/>
    <x v="0"/>
    <x v="0"/>
    <x v="678"/>
    <x v="681"/>
    <x v="638"/>
    <x v="4"/>
    <x v="2"/>
  </r>
  <r>
    <x v="685"/>
    <x v="564"/>
    <x v="1"/>
    <x v="5"/>
    <x v="5"/>
    <x v="508"/>
    <x v="46"/>
    <x v="46"/>
    <x v="2"/>
    <x v="1"/>
    <x v="32"/>
    <x v="38"/>
    <x v="0"/>
    <x v="47"/>
    <x v="2"/>
    <x v="13"/>
    <x v="47"/>
    <x v="281"/>
    <x v="3"/>
    <x v="0"/>
    <x v="0"/>
    <x v="679"/>
    <x v="682"/>
    <x v="639"/>
    <x v="7"/>
    <x v="2"/>
  </r>
  <r>
    <x v="686"/>
    <x v="565"/>
    <x v="2"/>
    <x v="5"/>
    <x v="5"/>
    <x v="567"/>
    <x v="142"/>
    <x v="135"/>
    <x v="1"/>
    <x v="0"/>
    <x v="15"/>
    <x v="34"/>
    <x v="1"/>
    <x v="27"/>
    <x v="2"/>
    <x v="6"/>
    <x v="27"/>
    <x v="471"/>
    <x v="3"/>
    <x v="2"/>
    <x v="1"/>
    <x v="680"/>
    <x v="683"/>
    <x v="640"/>
    <x v="2"/>
    <x v="2"/>
  </r>
  <r>
    <x v="687"/>
    <x v="566"/>
    <x v="2"/>
    <x v="1"/>
    <x v="1"/>
    <x v="482"/>
    <x v="147"/>
    <x v="140"/>
    <x v="0"/>
    <x v="1"/>
    <x v="9"/>
    <x v="81"/>
    <x v="2"/>
    <x v="46"/>
    <x v="2"/>
    <x v="13"/>
    <x v="46"/>
    <x v="390"/>
    <x v="4"/>
    <x v="0"/>
    <x v="0"/>
    <x v="681"/>
    <x v="684"/>
    <x v="641"/>
    <x v="1"/>
    <x v="0"/>
  </r>
  <r>
    <x v="688"/>
    <x v="567"/>
    <x v="1"/>
    <x v="3"/>
    <x v="3"/>
    <x v="568"/>
    <x v="103"/>
    <x v="101"/>
    <x v="2"/>
    <x v="1"/>
    <x v="5"/>
    <x v="65"/>
    <x v="3"/>
    <x v="50"/>
    <x v="2"/>
    <x v="3"/>
    <x v="50"/>
    <x v="362"/>
    <x v="4"/>
    <x v="4"/>
    <x v="3"/>
    <x v="682"/>
    <x v="685"/>
    <x v="642"/>
    <x v="2"/>
    <x v="2"/>
  </r>
  <r>
    <x v="689"/>
    <x v="568"/>
    <x v="0"/>
    <x v="7"/>
    <x v="7"/>
    <x v="569"/>
    <x v="245"/>
    <x v="58"/>
    <x v="0"/>
    <x v="0"/>
    <x v="35"/>
    <x v="101"/>
    <x v="2"/>
    <x v="52"/>
    <x v="0"/>
    <x v="4"/>
    <x v="52"/>
    <x v="98"/>
    <x v="0"/>
    <x v="0"/>
    <x v="0"/>
    <x v="683"/>
    <x v="686"/>
    <x v="643"/>
    <x v="6"/>
    <x v="2"/>
  </r>
  <r>
    <x v="690"/>
    <x v="569"/>
    <x v="0"/>
    <x v="5"/>
    <x v="5"/>
    <x v="570"/>
    <x v="263"/>
    <x v="246"/>
    <x v="1"/>
    <x v="0"/>
    <x v="27"/>
    <x v="32"/>
    <x v="1"/>
    <x v="66"/>
    <x v="0"/>
    <x v="7"/>
    <x v="66"/>
    <x v="472"/>
    <x v="2"/>
    <x v="0"/>
    <x v="0"/>
    <x v="684"/>
    <x v="687"/>
    <x v="644"/>
    <x v="4"/>
    <x v="1"/>
  </r>
  <r>
    <x v="691"/>
    <x v="128"/>
    <x v="3"/>
    <x v="1"/>
    <x v="1"/>
    <x v="441"/>
    <x v="231"/>
    <x v="80"/>
    <x v="0"/>
    <x v="1"/>
    <x v="27"/>
    <x v="86"/>
    <x v="1"/>
    <x v="9"/>
    <x v="2"/>
    <x v="8"/>
    <x v="9"/>
    <x v="473"/>
    <x v="2"/>
    <x v="5"/>
    <x v="2"/>
    <x v="685"/>
    <x v="688"/>
    <x v="645"/>
    <x v="7"/>
    <x v="0"/>
  </r>
  <r>
    <x v="692"/>
    <x v="570"/>
    <x v="3"/>
    <x v="9"/>
    <x v="9"/>
    <x v="212"/>
    <x v="18"/>
    <x v="18"/>
    <x v="0"/>
    <x v="1"/>
    <x v="16"/>
    <x v="16"/>
    <x v="1"/>
    <x v="52"/>
    <x v="0"/>
    <x v="4"/>
    <x v="52"/>
    <x v="474"/>
    <x v="2"/>
    <x v="4"/>
    <x v="3"/>
    <x v="686"/>
    <x v="689"/>
    <x v="646"/>
    <x v="3"/>
    <x v="0"/>
  </r>
  <r>
    <x v="693"/>
    <x v="145"/>
    <x v="2"/>
    <x v="5"/>
    <x v="5"/>
    <x v="66"/>
    <x v="264"/>
    <x v="247"/>
    <x v="2"/>
    <x v="0"/>
    <x v="15"/>
    <x v="15"/>
    <x v="1"/>
    <x v="25"/>
    <x v="2"/>
    <x v="13"/>
    <x v="25"/>
    <x v="475"/>
    <x v="3"/>
    <x v="5"/>
    <x v="2"/>
    <x v="687"/>
    <x v="690"/>
    <x v="647"/>
    <x v="1"/>
    <x v="2"/>
  </r>
  <r>
    <x v="694"/>
    <x v="571"/>
    <x v="2"/>
    <x v="11"/>
    <x v="11"/>
    <x v="571"/>
    <x v="186"/>
    <x v="177"/>
    <x v="0"/>
    <x v="1"/>
    <x v="8"/>
    <x v="8"/>
    <x v="0"/>
    <x v="34"/>
    <x v="1"/>
    <x v="11"/>
    <x v="34"/>
    <x v="133"/>
    <x v="2"/>
    <x v="0"/>
    <x v="0"/>
    <x v="688"/>
    <x v="691"/>
    <x v="648"/>
    <x v="0"/>
    <x v="1"/>
  </r>
  <r>
    <x v="695"/>
    <x v="572"/>
    <x v="2"/>
    <x v="11"/>
    <x v="11"/>
    <x v="572"/>
    <x v="244"/>
    <x v="230"/>
    <x v="2"/>
    <x v="1"/>
    <x v="24"/>
    <x v="27"/>
    <x v="2"/>
    <x v="9"/>
    <x v="2"/>
    <x v="8"/>
    <x v="9"/>
    <x v="298"/>
    <x v="2"/>
    <x v="1"/>
    <x v="1"/>
    <x v="689"/>
    <x v="692"/>
    <x v="649"/>
    <x v="5"/>
    <x v="0"/>
  </r>
  <r>
    <x v="696"/>
    <x v="573"/>
    <x v="1"/>
    <x v="5"/>
    <x v="5"/>
    <x v="573"/>
    <x v="41"/>
    <x v="41"/>
    <x v="1"/>
    <x v="0"/>
    <x v="29"/>
    <x v="16"/>
    <x v="1"/>
    <x v="39"/>
    <x v="0"/>
    <x v="12"/>
    <x v="39"/>
    <x v="476"/>
    <x v="2"/>
    <x v="0"/>
    <x v="0"/>
    <x v="690"/>
    <x v="693"/>
    <x v="650"/>
    <x v="6"/>
    <x v="0"/>
  </r>
  <r>
    <x v="697"/>
    <x v="574"/>
    <x v="1"/>
    <x v="7"/>
    <x v="7"/>
    <x v="531"/>
    <x v="238"/>
    <x v="224"/>
    <x v="2"/>
    <x v="1"/>
    <x v="28"/>
    <x v="96"/>
    <x v="3"/>
    <x v="26"/>
    <x v="2"/>
    <x v="5"/>
    <x v="26"/>
    <x v="477"/>
    <x v="0"/>
    <x v="0"/>
    <x v="0"/>
    <x v="691"/>
    <x v="694"/>
    <x v="651"/>
    <x v="2"/>
    <x v="0"/>
  </r>
  <r>
    <x v="698"/>
    <x v="505"/>
    <x v="1"/>
    <x v="5"/>
    <x v="5"/>
    <x v="338"/>
    <x v="236"/>
    <x v="222"/>
    <x v="1"/>
    <x v="1"/>
    <x v="21"/>
    <x v="69"/>
    <x v="1"/>
    <x v="62"/>
    <x v="0"/>
    <x v="0"/>
    <x v="62"/>
    <x v="478"/>
    <x v="0"/>
    <x v="0"/>
    <x v="0"/>
    <x v="692"/>
    <x v="695"/>
    <x v="652"/>
    <x v="0"/>
    <x v="0"/>
  </r>
  <r>
    <x v="699"/>
    <x v="575"/>
    <x v="2"/>
    <x v="4"/>
    <x v="4"/>
    <x v="574"/>
    <x v="39"/>
    <x v="39"/>
    <x v="2"/>
    <x v="1"/>
    <x v="8"/>
    <x v="8"/>
    <x v="0"/>
    <x v="45"/>
    <x v="1"/>
    <x v="2"/>
    <x v="45"/>
    <x v="321"/>
    <x v="0"/>
    <x v="1"/>
    <x v="1"/>
    <x v="693"/>
    <x v="696"/>
    <x v="653"/>
    <x v="6"/>
    <x v="1"/>
  </r>
  <r>
    <x v="700"/>
    <x v="576"/>
    <x v="1"/>
    <x v="11"/>
    <x v="11"/>
    <x v="575"/>
    <x v="217"/>
    <x v="205"/>
    <x v="2"/>
    <x v="1"/>
    <x v="20"/>
    <x v="22"/>
    <x v="1"/>
    <x v="56"/>
    <x v="0"/>
    <x v="0"/>
    <x v="56"/>
    <x v="479"/>
    <x v="2"/>
    <x v="6"/>
    <x v="3"/>
    <x v="694"/>
    <x v="697"/>
    <x v="654"/>
    <x v="0"/>
    <x v="0"/>
  </r>
  <r>
    <x v="701"/>
    <x v="577"/>
    <x v="3"/>
    <x v="2"/>
    <x v="2"/>
    <x v="576"/>
    <x v="101"/>
    <x v="99"/>
    <x v="0"/>
    <x v="0"/>
    <x v="18"/>
    <x v="44"/>
    <x v="1"/>
    <x v="12"/>
    <x v="0"/>
    <x v="7"/>
    <x v="12"/>
    <x v="419"/>
    <x v="0"/>
    <x v="1"/>
    <x v="1"/>
    <x v="695"/>
    <x v="698"/>
    <x v="655"/>
    <x v="2"/>
    <x v="1"/>
  </r>
  <r>
    <x v="702"/>
    <x v="578"/>
    <x v="0"/>
    <x v="4"/>
    <x v="4"/>
    <x v="577"/>
    <x v="211"/>
    <x v="199"/>
    <x v="0"/>
    <x v="1"/>
    <x v="26"/>
    <x v="46"/>
    <x v="3"/>
    <x v="66"/>
    <x v="0"/>
    <x v="7"/>
    <x v="66"/>
    <x v="480"/>
    <x v="2"/>
    <x v="1"/>
    <x v="1"/>
    <x v="696"/>
    <x v="699"/>
    <x v="656"/>
    <x v="7"/>
    <x v="1"/>
  </r>
  <r>
    <x v="703"/>
    <x v="579"/>
    <x v="3"/>
    <x v="11"/>
    <x v="11"/>
    <x v="578"/>
    <x v="2"/>
    <x v="2"/>
    <x v="2"/>
    <x v="1"/>
    <x v="2"/>
    <x v="2"/>
    <x v="2"/>
    <x v="64"/>
    <x v="1"/>
    <x v="11"/>
    <x v="64"/>
    <x v="175"/>
    <x v="1"/>
    <x v="0"/>
    <x v="0"/>
    <x v="99"/>
    <x v="99"/>
    <x v="657"/>
    <x v="1"/>
    <x v="0"/>
  </r>
  <r>
    <x v="704"/>
    <x v="500"/>
    <x v="1"/>
    <x v="0"/>
    <x v="0"/>
    <x v="579"/>
    <x v="260"/>
    <x v="243"/>
    <x v="2"/>
    <x v="0"/>
    <x v="2"/>
    <x v="55"/>
    <x v="2"/>
    <x v="49"/>
    <x v="2"/>
    <x v="5"/>
    <x v="49"/>
    <x v="204"/>
    <x v="2"/>
    <x v="5"/>
    <x v="2"/>
    <x v="697"/>
    <x v="700"/>
    <x v="658"/>
    <x v="2"/>
    <x v="1"/>
  </r>
  <r>
    <x v="705"/>
    <x v="580"/>
    <x v="4"/>
    <x v="5"/>
    <x v="5"/>
    <x v="580"/>
    <x v="190"/>
    <x v="181"/>
    <x v="2"/>
    <x v="1"/>
    <x v="23"/>
    <x v="26"/>
    <x v="3"/>
    <x v="65"/>
    <x v="0"/>
    <x v="10"/>
    <x v="65"/>
    <x v="258"/>
    <x v="2"/>
    <x v="6"/>
    <x v="3"/>
    <x v="698"/>
    <x v="701"/>
    <x v="659"/>
    <x v="3"/>
    <x v="0"/>
  </r>
  <r>
    <x v="706"/>
    <x v="581"/>
    <x v="0"/>
    <x v="6"/>
    <x v="6"/>
    <x v="281"/>
    <x v="265"/>
    <x v="248"/>
    <x v="1"/>
    <x v="1"/>
    <x v="35"/>
    <x v="101"/>
    <x v="2"/>
    <x v="25"/>
    <x v="2"/>
    <x v="13"/>
    <x v="25"/>
    <x v="161"/>
    <x v="1"/>
    <x v="1"/>
    <x v="1"/>
    <x v="699"/>
    <x v="702"/>
    <x v="660"/>
    <x v="6"/>
    <x v="2"/>
  </r>
  <r>
    <x v="707"/>
    <x v="582"/>
    <x v="3"/>
    <x v="6"/>
    <x v="6"/>
    <x v="581"/>
    <x v="72"/>
    <x v="72"/>
    <x v="0"/>
    <x v="1"/>
    <x v="23"/>
    <x v="26"/>
    <x v="3"/>
    <x v="26"/>
    <x v="2"/>
    <x v="5"/>
    <x v="26"/>
    <x v="481"/>
    <x v="1"/>
    <x v="0"/>
    <x v="0"/>
    <x v="700"/>
    <x v="703"/>
    <x v="661"/>
    <x v="5"/>
    <x v="0"/>
  </r>
  <r>
    <x v="708"/>
    <x v="137"/>
    <x v="0"/>
    <x v="11"/>
    <x v="11"/>
    <x v="582"/>
    <x v="44"/>
    <x v="44"/>
    <x v="2"/>
    <x v="1"/>
    <x v="12"/>
    <x v="37"/>
    <x v="2"/>
    <x v="2"/>
    <x v="1"/>
    <x v="2"/>
    <x v="2"/>
    <x v="482"/>
    <x v="1"/>
    <x v="6"/>
    <x v="3"/>
    <x v="701"/>
    <x v="704"/>
    <x v="662"/>
    <x v="1"/>
    <x v="0"/>
  </r>
  <r>
    <x v="709"/>
    <x v="331"/>
    <x v="0"/>
    <x v="4"/>
    <x v="4"/>
    <x v="583"/>
    <x v="113"/>
    <x v="111"/>
    <x v="1"/>
    <x v="0"/>
    <x v="15"/>
    <x v="34"/>
    <x v="1"/>
    <x v="58"/>
    <x v="2"/>
    <x v="5"/>
    <x v="58"/>
    <x v="483"/>
    <x v="3"/>
    <x v="0"/>
    <x v="0"/>
    <x v="702"/>
    <x v="705"/>
    <x v="663"/>
    <x v="5"/>
    <x v="0"/>
  </r>
  <r>
    <x v="710"/>
    <x v="583"/>
    <x v="2"/>
    <x v="8"/>
    <x v="8"/>
    <x v="584"/>
    <x v="15"/>
    <x v="15"/>
    <x v="1"/>
    <x v="0"/>
    <x v="13"/>
    <x v="13"/>
    <x v="3"/>
    <x v="16"/>
    <x v="1"/>
    <x v="1"/>
    <x v="16"/>
    <x v="332"/>
    <x v="0"/>
    <x v="2"/>
    <x v="1"/>
    <x v="703"/>
    <x v="706"/>
    <x v="434"/>
    <x v="5"/>
    <x v="1"/>
  </r>
  <r>
    <x v="711"/>
    <x v="584"/>
    <x v="3"/>
    <x v="8"/>
    <x v="8"/>
    <x v="585"/>
    <x v="104"/>
    <x v="102"/>
    <x v="1"/>
    <x v="0"/>
    <x v="3"/>
    <x v="66"/>
    <x v="3"/>
    <x v="7"/>
    <x v="2"/>
    <x v="6"/>
    <x v="7"/>
    <x v="484"/>
    <x v="3"/>
    <x v="6"/>
    <x v="3"/>
    <x v="704"/>
    <x v="707"/>
    <x v="664"/>
    <x v="6"/>
    <x v="0"/>
  </r>
  <r>
    <x v="712"/>
    <x v="585"/>
    <x v="4"/>
    <x v="0"/>
    <x v="0"/>
    <x v="586"/>
    <x v="178"/>
    <x v="168"/>
    <x v="0"/>
    <x v="0"/>
    <x v="4"/>
    <x v="41"/>
    <x v="0"/>
    <x v="57"/>
    <x v="0"/>
    <x v="4"/>
    <x v="57"/>
    <x v="485"/>
    <x v="0"/>
    <x v="3"/>
    <x v="2"/>
    <x v="705"/>
    <x v="708"/>
    <x v="665"/>
    <x v="0"/>
    <x v="0"/>
  </r>
  <r>
    <x v="713"/>
    <x v="440"/>
    <x v="0"/>
    <x v="5"/>
    <x v="5"/>
    <x v="587"/>
    <x v="183"/>
    <x v="174"/>
    <x v="0"/>
    <x v="1"/>
    <x v="23"/>
    <x v="26"/>
    <x v="3"/>
    <x v="1"/>
    <x v="1"/>
    <x v="1"/>
    <x v="1"/>
    <x v="463"/>
    <x v="4"/>
    <x v="0"/>
    <x v="0"/>
    <x v="706"/>
    <x v="709"/>
    <x v="666"/>
    <x v="4"/>
    <x v="1"/>
  </r>
  <r>
    <x v="714"/>
    <x v="586"/>
    <x v="4"/>
    <x v="8"/>
    <x v="8"/>
    <x v="465"/>
    <x v="169"/>
    <x v="160"/>
    <x v="2"/>
    <x v="1"/>
    <x v="35"/>
    <x v="50"/>
    <x v="2"/>
    <x v="38"/>
    <x v="1"/>
    <x v="1"/>
    <x v="38"/>
    <x v="486"/>
    <x v="4"/>
    <x v="6"/>
    <x v="3"/>
    <x v="251"/>
    <x v="710"/>
    <x v="667"/>
    <x v="1"/>
    <x v="1"/>
  </r>
  <r>
    <x v="715"/>
    <x v="587"/>
    <x v="4"/>
    <x v="4"/>
    <x v="4"/>
    <x v="25"/>
    <x v="222"/>
    <x v="210"/>
    <x v="0"/>
    <x v="1"/>
    <x v="34"/>
    <x v="95"/>
    <x v="3"/>
    <x v="37"/>
    <x v="2"/>
    <x v="3"/>
    <x v="37"/>
    <x v="487"/>
    <x v="4"/>
    <x v="2"/>
    <x v="1"/>
    <x v="707"/>
    <x v="711"/>
    <x v="668"/>
    <x v="1"/>
    <x v="0"/>
  </r>
  <r>
    <x v="716"/>
    <x v="588"/>
    <x v="3"/>
    <x v="8"/>
    <x v="8"/>
    <x v="588"/>
    <x v="57"/>
    <x v="57"/>
    <x v="2"/>
    <x v="1"/>
    <x v="19"/>
    <x v="45"/>
    <x v="0"/>
    <x v="30"/>
    <x v="0"/>
    <x v="10"/>
    <x v="30"/>
    <x v="488"/>
    <x v="2"/>
    <x v="3"/>
    <x v="2"/>
    <x v="708"/>
    <x v="712"/>
    <x v="669"/>
    <x v="7"/>
    <x v="0"/>
  </r>
  <r>
    <x v="717"/>
    <x v="589"/>
    <x v="2"/>
    <x v="5"/>
    <x v="5"/>
    <x v="261"/>
    <x v="10"/>
    <x v="10"/>
    <x v="0"/>
    <x v="1"/>
    <x v="9"/>
    <x v="9"/>
    <x v="2"/>
    <x v="19"/>
    <x v="0"/>
    <x v="12"/>
    <x v="19"/>
    <x v="0"/>
    <x v="0"/>
    <x v="0"/>
    <x v="0"/>
    <x v="709"/>
    <x v="713"/>
    <x v="670"/>
    <x v="4"/>
    <x v="0"/>
  </r>
  <r>
    <x v="718"/>
    <x v="590"/>
    <x v="3"/>
    <x v="0"/>
    <x v="0"/>
    <x v="589"/>
    <x v="223"/>
    <x v="211"/>
    <x v="2"/>
    <x v="1"/>
    <x v="28"/>
    <x v="96"/>
    <x v="3"/>
    <x v="53"/>
    <x v="2"/>
    <x v="3"/>
    <x v="53"/>
    <x v="71"/>
    <x v="1"/>
    <x v="0"/>
    <x v="0"/>
    <x v="710"/>
    <x v="714"/>
    <x v="671"/>
    <x v="3"/>
    <x v="2"/>
  </r>
  <r>
    <x v="719"/>
    <x v="530"/>
    <x v="0"/>
    <x v="0"/>
    <x v="0"/>
    <x v="0"/>
    <x v="21"/>
    <x v="21"/>
    <x v="2"/>
    <x v="1"/>
    <x v="18"/>
    <x v="19"/>
    <x v="1"/>
    <x v="24"/>
    <x v="0"/>
    <x v="4"/>
    <x v="24"/>
    <x v="489"/>
    <x v="2"/>
    <x v="0"/>
    <x v="0"/>
    <x v="711"/>
    <x v="715"/>
    <x v="672"/>
    <x v="0"/>
    <x v="0"/>
  </r>
  <r>
    <x v="720"/>
    <x v="8"/>
    <x v="4"/>
    <x v="3"/>
    <x v="3"/>
    <x v="590"/>
    <x v="261"/>
    <x v="244"/>
    <x v="1"/>
    <x v="1"/>
    <x v="28"/>
    <x v="33"/>
    <x v="3"/>
    <x v="62"/>
    <x v="0"/>
    <x v="0"/>
    <x v="62"/>
    <x v="490"/>
    <x v="2"/>
    <x v="0"/>
    <x v="0"/>
    <x v="712"/>
    <x v="716"/>
    <x v="673"/>
    <x v="2"/>
    <x v="0"/>
  </r>
  <r>
    <x v="721"/>
    <x v="591"/>
    <x v="1"/>
    <x v="1"/>
    <x v="1"/>
    <x v="591"/>
    <x v="73"/>
    <x v="73"/>
    <x v="1"/>
    <x v="1"/>
    <x v="7"/>
    <x v="51"/>
    <x v="2"/>
    <x v="32"/>
    <x v="2"/>
    <x v="13"/>
    <x v="32"/>
    <x v="356"/>
    <x v="1"/>
    <x v="0"/>
    <x v="0"/>
    <x v="713"/>
    <x v="717"/>
    <x v="674"/>
    <x v="8"/>
    <x v="2"/>
  </r>
  <r>
    <x v="722"/>
    <x v="592"/>
    <x v="4"/>
    <x v="4"/>
    <x v="4"/>
    <x v="25"/>
    <x v="38"/>
    <x v="38"/>
    <x v="0"/>
    <x v="1"/>
    <x v="28"/>
    <x v="33"/>
    <x v="3"/>
    <x v="48"/>
    <x v="2"/>
    <x v="6"/>
    <x v="48"/>
    <x v="491"/>
    <x v="3"/>
    <x v="3"/>
    <x v="2"/>
    <x v="714"/>
    <x v="718"/>
    <x v="675"/>
    <x v="7"/>
    <x v="2"/>
  </r>
  <r>
    <x v="723"/>
    <x v="593"/>
    <x v="1"/>
    <x v="11"/>
    <x v="11"/>
    <x v="592"/>
    <x v="73"/>
    <x v="73"/>
    <x v="1"/>
    <x v="1"/>
    <x v="7"/>
    <x v="51"/>
    <x v="2"/>
    <x v="56"/>
    <x v="0"/>
    <x v="0"/>
    <x v="56"/>
    <x v="492"/>
    <x v="4"/>
    <x v="3"/>
    <x v="2"/>
    <x v="715"/>
    <x v="719"/>
    <x v="676"/>
    <x v="2"/>
    <x v="2"/>
  </r>
  <r>
    <x v="724"/>
    <x v="594"/>
    <x v="4"/>
    <x v="3"/>
    <x v="3"/>
    <x v="593"/>
    <x v="54"/>
    <x v="54"/>
    <x v="1"/>
    <x v="1"/>
    <x v="29"/>
    <x v="16"/>
    <x v="1"/>
    <x v="34"/>
    <x v="1"/>
    <x v="11"/>
    <x v="34"/>
    <x v="493"/>
    <x v="2"/>
    <x v="6"/>
    <x v="3"/>
    <x v="716"/>
    <x v="720"/>
    <x v="677"/>
    <x v="6"/>
    <x v="1"/>
  </r>
  <r>
    <x v="725"/>
    <x v="249"/>
    <x v="2"/>
    <x v="2"/>
    <x v="2"/>
    <x v="594"/>
    <x v="75"/>
    <x v="75"/>
    <x v="0"/>
    <x v="1"/>
    <x v="2"/>
    <x v="52"/>
    <x v="2"/>
    <x v="32"/>
    <x v="2"/>
    <x v="13"/>
    <x v="32"/>
    <x v="154"/>
    <x v="2"/>
    <x v="0"/>
    <x v="0"/>
    <x v="717"/>
    <x v="721"/>
    <x v="678"/>
    <x v="3"/>
    <x v="0"/>
  </r>
  <r>
    <x v="726"/>
    <x v="595"/>
    <x v="0"/>
    <x v="7"/>
    <x v="7"/>
    <x v="165"/>
    <x v="266"/>
    <x v="249"/>
    <x v="2"/>
    <x v="1"/>
    <x v="3"/>
    <x v="43"/>
    <x v="3"/>
    <x v="63"/>
    <x v="0"/>
    <x v="7"/>
    <x v="63"/>
    <x v="494"/>
    <x v="0"/>
    <x v="4"/>
    <x v="3"/>
    <x v="718"/>
    <x v="722"/>
    <x v="679"/>
    <x v="1"/>
    <x v="1"/>
  </r>
  <r>
    <x v="727"/>
    <x v="148"/>
    <x v="1"/>
    <x v="5"/>
    <x v="5"/>
    <x v="595"/>
    <x v="267"/>
    <x v="250"/>
    <x v="2"/>
    <x v="0"/>
    <x v="3"/>
    <x v="3"/>
    <x v="3"/>
    <x v="15"/>
    <x v="0"/>
    <x v="10"/>
    <x v="15"/>
    <x v="71"/>
    <x v="1"/>
    <x v="0"/>
    <x v="0"/>
    <x v="719"/>
    <x v="723"/>
    <x v="680"/>
    <x v="1"/>
    <x v="2"/>
  </r>
  <r>
    <x v="728"/>
    <x v="596"/>
    <x v="0"/>
    <x v="5"/>
    <x v="5"/>
    <x v="60"/>
    <x v="258"/>
    <x v="241"/>
    <x v="2"/>
    <x v="1"/>
    <x v="38"/>
    <x v="104"/>
    <x v="3"/>
    <x v="14"/>
    <x v="2"/>
    <x v="8"/>
    <x v="14"/>
    <x v="14"/>
    <x v="1"/>
    <x v="0"/>
    <x v="0"/>
    <x v="720"/>
    <x v="724"/>
    <x v="9"/>
    <x v="2"/>
    <x v="2"/>
  </r>
  <r>
    <x v="729"/>
    <x v="432"/>
    <x v="4"/>
    <x v="0"/>
    <x v="0"/>
    <x v="434"/>
    <x v="268"/>
    <x v="251"/>
    <x v="2"/>
    <x v="0"/>
    <x v="0"/>
    <x v="0"/>
    <x v="0"/>
    <x v="39"/>
    <x v="0"/>
    <x v="12"/>
    <x v="39"/>
    <x v="495"/>
    <x v="2"/>
    <x v="4"/>
    <x v="3"/>
    <x v="606"/>
    <x v="725"/>
    <x v="681"/>
    <x v="7"/>
    <x v="0"/>
  </r>
  <r>
    <x v="730"/>
    <x v="597"/>
    <x v="0"/>
    <x v="2"/>
    <x v="2"/>
    <x v="49"/>
    <x v="95"/>
    <x v="93"/>
    <x v="2"/>
    <x v="1"/>
    <x v="16"/>
    <x v="31"/>
    <x v="1"/>
    <x v="29"/>
    <x v="0"/>
    <x v="12"/>
    <x v="29"/>
    <x v="120"/>
    <x v="0"/>
    <x v="3"/>
    <x v="2"/>
    <x v="721"/>
    <x v="726"/>
    <x v="682"/>
    <x v="5"/>
    <x v="1"/>
  </r>
  <r>
    <x v="731"/>
    <x v="598"/>
    <x v="0"/>
    <x v="2"/>
    <x v="2"/>
    <x v="596"/>
    <x v="32"/>
    <x v="32"/>
    <x v="1"/>
    <x v="1"/>
    <x v="24"/>
    <x v="27"/>
    <x v="2"/>
    <x v="41"/>
    <x v="2"/>
    <x v="8"/>
    <x v="41"/>
    <x v="53"/>
    <x v="1"/>
    <x v="0"/>
    <x v="0"/>
    <x v="722"/>
    <x v="727"/>
    <x v="186"/>
    <x v="1"/>
    <x v="2"/>
  </r>
  <r>
    <x v="732"/>
    <x v="276"/>
    <x v="1"/>
    <x v="7"/>
    <x v="7"/>
    <x v="597"/>
    <x v="235"/>
    <x v="221"/>
    <x v="1"/>
    <x v="0"/>
    <x v="25"/>
    <x v="49"/>
    <x v="1"/>
    <x v="31"/>
    <x v="1"/>
    <x v="1"/>
    <x v="31"/>
    <x v="496"/>
    <x v="2"/>
    <x v="3"/>
    <x v="2"/>
    <x v="723"/>
    <x v="728"/>
    <x v="683"/>
    <x v="6"/>
    <x v="1"/>
  </r>
  <r>
    <x v="733"/>
    <x v="599"/>
    <x v="1"/>
    <x v="7"/>
    <x v="7"/>
    <x v="598"/>
    <x v="181"/>
    <x v="171"/>
    <x v="2"/>
    <x v="1"/>
    <x v="12"/>
    <x v="12"/>
    <x v="2"/>
    <x v="37"/>
    <x v="2"/>
    <x v="3"/>
    <x v="37"/>
    <x v="65"/>
    <x v="1"/>
    <x v="0"/>
    <x v="0"/>
    <x v="724"/>
    <x v="729"/>
    <x v="684"/>
    <x v="1"/>
    <x v="2"/>
  </r>
  <r>
    <x v="734"/>
    <x v="492"/>
    <x v="2"/>
    <x v="3"/>
    <x v="3"/>
    <x v="599"/>
    <x v="158"/>
    <x v="151"/>
    <x v="0"/>
    <x v="1"/>
    <x v="22"/>
    <x v="53"/>
    <x v="3"/>
    <x v="43"/>
    <x v="1"/>
    <x v="9"/>
    <x v="43"/>
    <x v="78"/>
    <x v="2"/>
    <x v="0"/>
    <x v="0"/>
    <x v="725"/>
    <x v="730"/>
    <x v="685"/>
    <x v="1"/>
    <x v="1"/>
  </r>
  <r>
    <x v="735"/>
    <x v="142"/>
    <x v="4"/>
    <x v="1"/>
    <x v="1"/>
    <x v="600"/>
    <x v="212"/>
    <x v="200"/>
    <x v="1"/>
    <x v="1"/>
    <x v="2"/>
    <x v="55"/>
    <x v="2"/>
    <x v="43"/>
    <x v="1"/>
    <x v="9"/>
    <x v="43"/>
    <x v="497"/>
    <x v="1"/>
    <x v="2"/>
    <x v="1"/>
    <x v="726"/>
    <x v="731"/>
    <x v="686"/>
    <x v="3"/>
    <x v="1"/>
  </r>
  <r>
    <x v="736"/>
    <x v="600"/>
    <x v="1"/>
    <x v="6"/>
    <x v="6"/>
    <x v="601"/>
    <x v="269"/>
    <x v="252"/>
    <x v="2"/>
    <x v="1"/>
    <x v="36"/>
    <x v="75"/>
    <x v="0"/>
    <x v="65"/>
    <x v="0"/>
    <x v="10"/>
    <x v="65"/>
    <x v="498"/>
    <x v="4"/>
    <x v="1"/>
    <x v="1"/>
    <x v="727"/>
    <x v="732"/>
    <x v="687"/>
    <x v="3"/>
    <x v="2"/>
  </r>
  <r>
    <x v="737"/>
    <x v="601"/>
    <x v="1"/>
    <x v="3"/>
    <x v="3"/>
    <x v="602"/>
    <x v="39"/>
    <x v="39"/>
    <x v="2"/>
    <x v="1"/>
    <x v="8"/>
    <x v="8"/>
    <x v="0"/>
    <x v="59"/>
    <x v="1"/>
    <x v="1"/>
    <x v="59"/>
    <x v="499"/>
    <x v="4"/>
    <x v="0"/>
    <x v="0"/>
    <x v="728"/>
    <x v="733"/>
    <x v="688"/>
    <x v="6"/>
    <x v="1"/>
  </r>
  <r>
    <x v="738"/>
    <x v="420"/>
    <x v="1"/>
    <x v="5"/>
    <x v="5"/>
    <x v="421"/>
    <x v="145"/>
    <x v="138"/>
    <x v="2"/>
    <x v="1"/>
    <x v="2"/>
    <x v="2"/>
    <x v="2"/>
    <x v="47"/>
    <x v="2"/>
    <x v="13"/>
    <x v="47"/>
    <x v="281"/>
    <x v="3"/>
    <x v="0"/>
    <x v="0"/>
    <x v="729"/>
    <x v="734"/>
    <x v="418"/>
    <x v="5"/>
    <x v="2"/>
  </r>
  <r>
    <x v="739"/>
    <x v="602"/>
    <x v="4"/>
    <x v="5"/>
    <x v="5"/>
    <x v="57"/>
    <x v="36"/>
    <x v="36"/>
    <x v="0"/>
    <x v="1"/>
    <x v="16"/>
    <x v="31"/>
    <x v="1"/>
    <x v="12"/>
    <x v="0"/>
    <x v="7"/>
    <x v="12"/>
    <x v="112"/>
    <x v="0"/>
    <x v="0"/>
    <x v="0"/>
    <x v="730"/>
    <x v="735"/>
    <x v="689"/>
    <x v="2"/>
    <x v="1"/>
  </r>
  <r>
    <x v="740"/>
    <x v="603"/>
    <x v="3"/>
    <x v="3"/>
    <x v="3"/>
    <x v="603"/>
    <x v="12"/>
    <x v="12"/>
    <x v="0"/>
    <x v="1"/>
    <x v="4"/>
    <x v="4"/>
    <x v="0"/>
    <x v="11"/>
    <x v="2"/>
    <x v="3"/>
    <x v="11"/>
    <x v="500"/>
    <x v="0"/>
    <x v="1"/>
    <x v="1"/>
    <x v="731"/>
    <x v="736"/>
    <x v="690"/>
    <x v="2"/>
    <x v="0"/>
  </r>
  <r>
    <x v="741"/>
    <x v="138"/>
    <x v="0"/>
    <x v="1"/>
    <x v="1"/>
    <x v="604"/>
    <x v="262"/>
    <x v="245"/>
    <x v="1"/>
    <x v="1"/>
    <x v="38"/>
    <x v="85"/>
    <x v="3"/>
    <x v="11"/>
    <x v="2"/>
    <x v="3"/>
    <x v="11"/>
    <x v="501"/>
    <x v="4"/>
    <x v="3"/>
    <x v="2"/>
    <x v="732"/>
    <x v="737"/>
    <x v="691"/>
    <x v="5"/>
    <x v="0"/>
  </r>
  <r>
    <x v="742"/>
    <x v="141"/>
    <x v="4"/>
    <x v="5"/>
    <x v="5"/>
    <x v="605"/>
    <x v="0"/>
    <x v="0"/>
    <x v="0"/>
    <x v="0"/>
    <x v="0"/>
    <x v="0"/>
    <x v="0"/>
    <x v="27"/>
    <x v="2"/>
    <x v="6"/>
    <x v="27"/>
    <x v="502"/>
    <x v="2"/>
    <x v="4"/>
    <x v="3"/>
    <x v="733"/>
    <x v="738"/>
    <x v="692"/>
    <x v="3"/>
    <x v="0"/>
  </r>
  <r>
    <x v="743"/>
    <x v="604"/>
    <x v="2"/>
    <x v="10"/>
    <x v="10"/>
    <x v="606"/>
    <x v="17"/>
    <x v="17"/>
    <x v="2"/>
    <x v="1"/>
    <x v="15"/>
    <x v="15"/>
    <x v="1"/>
    <x v="42"/>
    <x v="1"/>
    <x v="11"/>
    <x v="42"/>
    <x v="145"/>
    <x v="2"/>
    <x v="4"/>
    <x v="3"/>
    <x v="734"/>
    <x v="739"/>
    <x v="693"/>
    <x v="0"/>
    <x v="1"/>
  </r>
  <r>
    <x v="744"/>
    <x v="267"/>
    <x v="1"/>
    <x v="2"/>
    <x v="2"/>
    <x v="607"/>
    <x v="92"/>
    <x v="91"/>
    <x v="0"/>
    <x v="1"/>
    <x v="18"/>
    <x v="19"/>
    <x v="1"/>
    <x v="46"/>
    <x v="2"/>
    <x v="13"/>
    <x v="46"/>
    <x v="503"/>
    <x v="0"/>
    <x v="2"/>
    <x v="1"/>
    <x v="735"/>
    <x v="740"/>
    <x v="694"/>
    <x v="6"/>
    <x v="0"/>
  </r>
  <r>
    <x v="745"/>
    <x v="605"/>
    <x v="4"/>
    <x v="0"/>
    <x v="0"/>
    <x v="608"/>
    <x v="141"/>
    <x v="1"/>
    <x v="1"/>
    <x v="1"/>
    <x v="3"/>
    <x v="66"/>
    <x v="3"/>
    <x v="64"/>
    <x v="1"/>
    <x v="11"/>
    <x v="64"/>
    <x v="269"/>
    <x v="2"/>
    <x v="2"/>
    <x v="1"/>
    <x v="736"/>
    <x v="741"/>
    <x v="361"/>
    <x v="1"/>
    <x v="1"/>
  </r>
  <r>
    <x v="746"/>
    <x v="569"/>
    <x v="0"/>
    <x v="5"/>
    <x v="5"/>
    <x v="609"/>
    <x v="71"/>
    <x v="71"/>
    <x v="2"/>
    <x v="1"/>
    <x v="4"/>
    <x v="41"/>
    <x v="0"/>
    <x v="15"/>
    <x v="0"/>
    <x v="10"/>
    <x v="15"/>
    <x v="34"/>
    <x v="2"/>
    <x v="4"/>
    <x v="3"/>
    <x v="737"/>
    <x v="742"/>
    <x v="695"/>
    <x v="3"/>
    <x v="0"/>
  </r>
  <r>
    <x v="747"/>
    <x v="606"/>
    <x v="4"/>
    <x v="5"/>
    <x v="5"/>
    <x v="483"/>
    <x v="270"/>
    <x v="253"/>
    <x v="1"/>
    <x v="1"/>
    <x v="1"/>
    <x v="18"/>
    <x v="1"/>
    <x v="35"/>
    <x v="0"/>
    <x v="4"/>
    <x v="35"/>
    <x v="504"/>
    <x v="0"/>
    <x v="1"/>
    <x v="1"/>
    <x v="738"/>
    <x v="743"/>
    <x v="696"/>
    <x v="6"/>
    <x v="1"/>
  </r>
  <r>
    <x v="748"/>
    <x v="294"/>
    <x v="1"/>
    <x v="3"/>
    <x v="3"/>
    <x v="610"/>
    <x v="226"/>
    <x v="214"/>
    <x v="1"/>
    <x v="1"/>
    <x v="0"/>
    <x v="0"/>
    <x v="0"/>
    <x v="53"/>
    <x v="2"/>
    <x v="3"/>
    <x v="53"/>
    <x v="15"/>
    <x v="0"/>
    <x v="0"/>
    <x v="0"/>
    <x v="739"/>
    <x v="744"/>
    <x v="697"/>
    <x v="7"/>
    <x v="0"/>
  </r>
  <r>
    <x v="749"/>
    <x v="607"/>
    <x v="0"/>
    <x v="8"/>
    <x v="8"/>
    <x v="611"/>
    <x v="200"/>
    <x v="32"/>
    <x v="1"/>
    <x v="1"/>
    <x v="15"/>
    <x v="15"/>
    <x v="1"/>
    <x v="54"/>
    <x v="2"/>
    <x v="8"/>
    <x v="54"/>
    <x v="505"/>
    <x v="0"/>
    <x v="3"/>
    <x v="2"/>
    <x v="740"/>
    <x v="745"/>
    <x v="698"/>
    <x v="5"/>
    <x v="0"/>
  </r>
  <r>
    <x v="750"/>
    <x v="519"/>
    <x v="0"/>
    <x v="8"/>
    <x v="8"/>
    <x v="525"/>
    <x v="101"/>
    <x v="99"/>
    <x v="0"/>
    <x v="0"/>
    <x v="18"/>
    <x v="44"/>
    <x v="1"/>
    <x v="22"/>
    <x v="1"/>
    <x v="2"/>
    <x v="22"/>
    <x v="449"/>
    <x v="1"/>
    <x v="0"/>
    <x v="0"/>
    <x v="741"/>
    <x v="746"/>
    <x v="371"/>
    <x v="3"/>
    <x v="1"/>
  </r>
  <r>
    <x v="751"/>
    <x v="246"/>
    <x v="3"/>
    <x v="1"/>
    <x v="1"/>
    <x v="612"/>
    <x v="53"/>
    <x v="53"/>
    <x v="0"/>
    <x v="1"/>
    <x v="3"/>
    <x v="43"/>
    <x v="3"/>
    <x v="54"/>
    <x v="2"/>
    <x v="8"/>
    <x v="54"/>
    <x v="23"/>
    <x v="2"/>
    <x v="0"/>
    <x v="0"/>
    <x v="742"/>
    <x v="747"/>
    <x v="699"/>
    <x v="1"/>
    <x v="0"/>
  </r>
  <r>
    <x v="752"/>
    <x v="608"/>
    <x v="1"/>
    <x v="9"/>
    <x v="9"/>
    <x v="613"/>
    <x v="167"/>
    <x v="158"/>
    <x v="0"/>
    <x v="1"/>
    <x v="32"/>
    <x v="87"/>
    <x v="0"/>
    <x v="53"/>
    <x v="2"/>
    <x v="3"/>
    <x v="53"/>
    <x v="71"/>
    <x v="1"/>
    <x v="0"/>
    <x v="0"/>
    <x v="743"/>
    <x v="748"/>
    <x v="700"/>
    <x v="1"/>
    <x v="2"/>
  </r>
  <r>
    <x v="753"/>
    <x v="609"/>
    <x v="1"/>
    <x v="7"/>
    <x v="7"/>
    <x v="614"/>
    <x v="119"/>
    <x v="117"/>
    <x v="2"/>
    <x v="1"/>
    <x v="17"/>
    <x v="72"/>
    <x v="0"/>
    <x v="14"/>
    <x v="2"/>
    <x v="8"/>
    <x v="14"/>
    <x v="506"/>
    <x v="0"/>
    <x v="2"/>
    <x v="1"/>
    <x v="744"/>
    <x v="749"/>
    <x v="701"/>
    <x v="4"/>
    <x v="0"/>
  </r>
  <r>
    <x v="754"/>
    <x v="610"/>
    <x v="3"/>
    <x v="5"/>
    <x v="5"/>
    <x v="615"/>
    <x v="65"/>
    <x v="65"/>
    <x v="1"/>
    <x v="1"/>
    <x v="18"/>
    <x v="44"/>
    <x v="1"/>
    <x v="61"/>
    <x v="1"/>
    <x v="2"/>
    <x v="61"/>
    <x v="507"/>
    <x v="0"/>
    <x v="4"/>
    <x v="3"/>
    <x v="745"/>
    <x v="750"/>
    <x v="702"/>
    <x v="3"/>
    <x v="1"/>
  </r>
  <r>
    <x v="755"/>
    <x v="611"/>
    <x v="3"/>
    <x v="5"/>
    <x v="5"/>
    <x v="616"/>
    <x v="33"/>
    <x v="33"/>
    <x v="1"/>
    <x v="1"/>
    <x v="5"/>
    <x v="28"/>
    <x v="3"/>
    <x v="45"/>
    <x v="1"/>
    <x v="2"/>
    <x v="45"/>
    <x v="508"/>
    <x v="1"/>
    <x v="4"/>
    <x v="3"/>
    <x v="746"/>
    <x v="751"/>
    <x v="703"/>
    <x v="2"/>
    <x v="1"/>
  </r>
  <r>
    <x v="756"/>
    <x v="612"/>
    <x v="1"/>
    <x v="10"/>
    <x v="10"/>
    <x v="617"/>
    <x v="271"/>
    <x v="254"/>
    <x v="1"/>
    <x v="1"/>
    <x v="3"/>
    <x v="3"/>
    <x v="3"/>
    <x v="42"/>
    <x v="1"/>
    <x v="11"/>
    <x v="42"/>
    <x v="449"/>
    <x v="1"/>
    <x v="0"/>
    <x v="0"/>
    <x v="747"/>
    <x v="752"/>
    <x v="704"/>
    <x v="3"/>
    <x v="1"/>
  </r>
  <r>
    <x v="757"/>
    <x v="45"/>
    <x v="1"/>
    <x v="4"/>
    <x v="4"/>
    <x v="618"/>
    <x v="258"/>
    <x v="241"/>
    <x v="2"/>
    <x v="1"/>
    <x v="38"/>
    <x v="104"/>
    <x v="3"/>
    <x v="53"/>
    <x v="2"/>
    <x v="3"/>
    <x v="53"/>
    <x v="509"/>
    <x v="3"/>
    <x v="4"/>
    <x v="3"/>
    <x v="748"/>
    <x v="753"/>
    <x v="705"/>
    <x v="5"/>
    <x v="2"/>
  </r>
  <r>
    <x v="758"/>
    <x v="526"/>
    <x v="2"/>
    <x v="7"/>
    <x v="7"/>
    <x v="546"/>
    <x v="247"/>
    <x v="232"/>
    <x v="2"/>
    <x v="1"/>
    <x v="23"/>
    <x v="102"/>
    <x v="3"/>
    <x v="53"/>
    <x v="2"/>
    <x v="3"/>
    <x v="53"/>
    <x v="510"/>
    <x v="0"/>
    <x v="5"/>
    <x v="2"/>
    <x v="749"/>
    <x v="754"/>
    <x v="706"/>
    <x v="6"/>
    <x v="0"/>
  </r>
  <r>
    <x v="759"/>
    <x v="613"/>
    <x v="1"/>
    <x v="4"/>
    <x v="4"/>
    <x v="619"/>
    <x v="143"/>
    <x v="136"/>
    <x v="2"/>
    <x v="1"/>
    <x v="6"/>
    <x v="47"/>
    <x v="0"/>
    <x v="29"/>
    <x v="0"/>
    <x v="12"/>
    <x v="29"/>
    <x v="112"/>
    <x v="0"/>
    <x v="0"/>
    <x v="0"/>
    <x v="750"/>
    <x v="755"/>
    <x v="707"/>
    <x v="5"/>
    <x v="1"/>
  </r>
  <r>
    <x v="760"/>
    <x v="614"/>
    <x v="1"/>
    <x v="3"/>
    <x v="3"/>
    <x v="568"/>
    <x v="31"/>
    <x v="31"/>
    <x v="0"/>
    <x v="1"/>
    <x v="23"/>
    <x v="26"/>
    <x v="3"/>
    <x v="2"/>
    <x v="1"/>
    <x v="2"/>
    <x v="2"/>
    <x v="511"/>
    <x v="0"/>
    <x v="3"/>
    <x v="2"/>
    <x v="751"/>
    <x v="756"/>
    <x v="708"/>
    <x v="2"/>
    <x v="1"/>
  </r>
  <r>
    <x v="761"/>
    <x v="285"/>
    <x v="0"/>
    <x v="3"/>
    <x v="3"/>
    <x v="620"/>
    <x v="18"/>
    <x v="18"/>
    <x v="0"/>
    <x v="1"/>
    <x v="16"/>
    <x v="16"/>
    <x v="1"/>
    <x v="22"/>
    <x v="1"/>
    <x v="2"/>
    <x v="22"/>
    <x v="512"/>
    <x v="4"/>
    <x v="1"/>
    <x v="1"/>
    <x v="752"/>
    <x v="757"/>
    <x v="709"/>
    <x v="5"/>
    <x v="1"/>
  </r>
  <r>
    <x v="762"/>
    <x v="583"/>
    <x v="2"/>
    <x v="8"/>
    <x v="8"/>
    <x v="621"/>
    <x v="272"/>
    <x v="255"/>
    <x v="2"/>
    <x v="1"/>
    <x v="1"/>
    <x v="48"/>
    <x v="1"/>
    <x v="16"/>
    <x v="1"/>
    <x v="1"/>
    <x v="16"/>
    <x v="16"/>
    <x v="2"/>
    <x v="0"/>
    <x v="0"/>
    <x v="753"/>
    <x v="758"/>
    <x v="710"/>
    <x v="6"/>
    <x v="1"/>
  </r>
  <r>
    <x v="763"/>
    <x v="615"/>
    <x v="2"/>
    <x v="1"/>
    <x v="1"/>
    <x v="482"/>
    <x v="118"/>
    <x v="116"/>
    <x v="2"/>
    <x v="1"/>
    <x v="26"/>
    <x v="30"/>
    <x v="3"/>
    <x v="29"/>
    <x v="0"/>
    <x v="12"/>
    <x v="29"/>
    <x v="110"/>
    <x v="3"/>
    <x v="4"/>
    <x v="3"/>
    <x v="754"/>
    <x v="759"/>
    <x v="711"/>
    <x v="0"/>
    <x v="0"/>
  </r>
  <r>
    <x v="764"/>
    <x v="616"/>
    <x v="1"/>
    <x v="4"/>
    <x v="4"/>
    <x v="222"/>
    <x v="27"/>
    <x v="27"/>
    <x v="2"/>
    <x v="1"/>
    <x v="20"/>
    <x v="22"/>
    <x v="1"/>
    <x v="7"/>
    <x v="2"/>
    <x v="6"/>
    <x v="7"/>
    <x v="513"/>
    <x v="2"/>
    <x v="5"/>
    <x v="2"/>
    <x v="755"/>
    <x v="760"/>
    <x v="712"/>
    <x v="1"/>
    <x v="1"/>
  </r>
  <r>
    <x v="765"/>
    <x v="51"/>
    <x v="2"/>
    <x v="7"/>
    <x v="7"/>
    <x v="622"/>
    <x v="75"/>
    <x v="75"/>
    <x v="0"/>
    <x v="1"/>
    <x v="2"/>
    <x v="52"/>
    <x v="2"/>
    <x v="33"/>
    <x v="1"/>
    <x v="11"/>
    <x v="33"/>
    <x v="223"/>
    <x v="2"/>
    <x v="4"/>
    <x v="3"/>
    <x v="756"/>
    <x v="761"/>
    <x v="713"/>
    <x v="2"/>
    <x v="1"/>
  </r>
  <r>
    <x v="766"/>
    <x v="617"/>
    <x v="4"/>
    <x v="3"/>
    <x v="3"/>
    <x v="623"/>
    <x v="93"/>
    <x v="19"/>
    <x v="0"/>
    <x v="1"/>
    <x v="24"/>
    <x v="60"/>
    <x v="2"/>
    <x v="39"/>
    <x v="0"/>
    <x v="12"/>
    <x v="39"/>
    <x v="514"/>
    <x v="2"/>
    <x v="6"/>
    <x v="3"/>
    <x v="757"/>
    <x v="762"/>
    <x v="714"/>
    <x v="7"/>
    <x v="0"/>
  </r>
  <r>
    <x v="767"/>
    <x v="618"/>
    <x v="4"/>
    <x v="8"/>
    <x v="8"/>
    <x v="358"/>
    <x v="203"/>
    <x v="190"/>
    <x v="1"/>
    <x v="1"/>
    <x v="7"/>
    <x v="93"/>
    <x v="2"/>
    <x v="50"/>
    <x v="2"/>
    <x v="3"/>
    <x v="50"/>
    <x v="163"/>
    <x v="4"/>
    <x v="0"/>
    <x v="0"/>
    <x v="758"/>
    <x v="763"/>
    <x v="715"/>
    <x v="7"/>
    <x v="2"/>
  </r>
  <r>
    <x v="768"/>
    <x v="619"/>
    <x v="3"/>
    <x v="7"/>
    <x v="7"/>
    <x v="624"/>
    <x v="208"/>
    <x v="195"/>
    <x v="1"/>
    <x v="1"/>
    <x v="6"/>
    <x v="47"/>
    <x v="0"/>
    <x v="46"/>
    <x v="2"/>
    <x v="13"/>
    <x v="46"/>
    <x v="106"/>
    <x v="2"/>
    <x v="0"/>
    <x v="0"/>
    <x v="759"/>
    <x v="764"/>
    <x v="716"/>
    <x v="4"/>
    <x v="1"/>
  </r>
  <r>
    <x v="769"/>
    <x v="620"/>
    <x v="4"/>
    <x v="0"/>
    <x v="0"/>
    <x v="625"/>
    <x v="123"/>
    <x v="121"/>
    <x v="1"/>
    <x v="1"/>
    <x v="11"/>
    <x v="11"/>
    <x v="0"/>
    <x v="58"/>
    <x v="2"/>
    <x v="5"/>
    <x v="58"/>
    <x v="447"/>
    <x v="1"/>
    <x v="2"/>
    <x v="1"/>
    <x v="760"/>
    <x v="765"/>
    <x v="717"/>
    <x v="7"/>
    <x v="0"/>
  </r>
  <r>
    <x v="770"/>
    <x v="621"/>
    <x v="0"/>
    <x v="9"/>
    <x v="9"/>
    <x v="626"/>
    <x v="80"/>
    <x v="79"/>
    <x v="0"/>
    <x v="1"/>
    <x v="20"/>
    <x v="54"/>
    <x v="1"/>
    <x v="3"/>
    <x v="2"/>
    <x v="3"/>
    <x v="3"/>
    <x v="515"/>
    <x v="4"/>
    <x v="1"/>
    <x v="1"/>
    <x v="761"/>
    <x v="766"/>
    <x v="718"/>
    <x v="6"/>
    <x v="2"/>
  </r>
  <r>
    <x v="771"/>
    <x v="69"/>
    <x v="4"/>
    <x v="11"/>
    <x v="11"/>
    <x v="627"/>
    <x v="166"/>
    <x v="115"/>
    <x v="0"/>
    <x v="1"/>
    <x v="9"/>
    <x v="81"/>
    <x v="2"/>
    <x v="42"/>
    <x v="1"/>
    <x v="11"/>
    <x v="42"/>
    <x v="449"/>
    <x v="1"/>
    <x v="0"/>
    <x v="0"/>
    <x v="762"/>
    <x v="767"/>
    <x v="553"/>
    <x v="7"/>
    <x v="1"/>
  </r>
  <r>
    <x v="772"/>
    <x v="622"/>
    <x v="2"/>
    <x v="8"/>
    <x v="8"/>
    <x v="584"/>
    <x v="21"/>
    <x v="21"/>
    <x v="2"/>
    <x v="1"/>
    <x v="18"/>
    <x v="19"/>
    <x v="1"/>
    <x v="18"/>
    <x v="1"/>
    <x v="11"/>
    <x v="18"/>
    <x v="516"/>
    <x v="0"/>
    <x v="0"/>
    <x v="0"/>
    <x v="763"/>
    <x v="768"/>
    <x v="219"/>
    <x v="4"/>
    <x v="1"/>
  </r>
  <r>
    <x v="773"/>
    <x v="623"/>
    <x v="1"/>
    <x v="11"/>
    <x v="11"/>
    <x v="362"/>
    <x v="152"/>
    <x v="145"/>
    <x v="1"/>
    <x v="1"/>
    <x v="7"/>
    <x v="51"/>
    <x v="2"/>
    <x v="5"/>
    <x v="2"/>
    <x v="5"/>
    <x v="5"/>
    <x v="310"/>
    <x v="1"/>
    <x v="2"/>
    <x v="1"/>
    <x v="764"/>
    <x v="769"/>
    <x v="719"/>
    <x v="7"/>
    <x v="1"/>
  </r>
  <r>
    <x v="774"/>
    <x v="529"/>
    <x v="0"/>
    <x v="0"/>
    <x v="0"/>
    <x v="346"/>
    <x v="12"/>
    <x v="12"/>
    <x v="0"/>
    <x v="1"/>
    <x v="4"/>
    <x v="4"/>
    <x v="0"/>
    <x v="38"/>
    <x v="1"/>
    <x v="1"/>
    <x v="38"/>
    <x v="441"/>
    <x v="1"/>
    <x v="0"/>
    <x v="0"/>
    <x v="765"/>
    <x v="770"/>
    <x v="89"/>
    <x v="0"/>
    <x v="1"/>
  </r>
  <r>
    <x v="775"/>
    <x v="185"/>
    <x v="1"/>
    <x v="2"/>
    <x v="2"/>
    <x v="628"/>
    <x v="273"/>
    <x v="256"/>
    <x v="2"/>
    <x v="1"/>
    <x v="18"/>
    <x v="84"/>
    <x v="1"/>
    <x v="20"/>
    <x v="1"/>
    <x v="9"/>
    <x v="20"/>
    <x v="517"/>
    <x v="4"/>
    <x v="5"/>
    <x v="2"/>
    <x v="766"/>
    <x v="771"/>
    <x v="720"/>
    <x v="0"/>
    <x v="1"/>
  </r>
  <r>
    <x v="776"/>
    <x v="104"/>
    <x v="2"/>
    <x v="0"/>
    <x v="0"/>
    <x v="121"/>
    <x v="228"/>
    <x v="215"/>
    <x v="2"/>
    <x v="1"/>
    <x v="32"/>
    <x v="38"/>
    <x v="0"/>
    <x v="31"/>
    <x v="1"/>
    <x v="1"/>
    <x v="31"/>
    <x v="518"/>
    <x v="2"/>
    <x v="0"/>
    <x v="0"/>
    <x v="767"/>
    <x v="772"/>
    <x v="721"/>
    <x v="1"/>
    <x v="1"/>
  </r>
  <r>
    <x v="777"/>
    <x v="206"/>
    <x v="0"/>
    <x v="7"/>
    <x v="7"/>
    <x v="629"/>
    <x v="274"/>
    <x v="204"/>
    <x v="1"/>
    <x v="1"/>
    <x v="6"/>
    <x v="62"/>
    <x v="0"/>
    <x v="9"/>
    <x v="2"/>
    <x v="8"/>
    <x v="9"/>
    <x v="519"/>
    <x v="3"/>
    <x v="3"/>
    <x v="2"/>
    <x v="768"/>
    <x v="773"/>
    <x v="722"/>
    <x v="5"/>
    <x v="2"/>
  </r>
  <r>
    <x v="778"/>
    <x v="413"/>
    <x v="4"/>
    <x v="5"/>
    <x v="5"/>
    <x v="630"/>
    <x v="112"/>
    <x v="110"/>
    <x v="1"/>
    <x v="0"/>
    <x v="3"/>
    <x v="3"/>
    <x v="3"/>
    <x v="27"/>
    <x v="2"/>
    <x v="6"/>
    <x v="27"/>
    <x v="502"/>
    <x v="2"/>
    <x v="4"/>
    <x v="3"/>
    <x v="769"/>
    <x v="774"/>
    <x v="723"/>
    <x v="6"/>
    <x v="0"/>
  </r>
  <r>
    <x v="779"/>
    <x v="624"/>
    <x v="1"/>
    <x v="10"/>
    <x v="10"/>
    <x v="123"/>
    <x v="175"/>
    <x v="165"/>
    <x v="2"/>
    <x v="1"/>
    <x v="10"/>
    <x v="78"/>
    <x v="0"/>
    <x v="21"/>
    <x v="0"/>
    <x v="0"/>
    <x v="21"/>
    <x v="23"/>
    <x v="2"/>
    <x v="0"/>
    <x v="0"/>
    <x v="770"/>
    <x v="775"/>
    <x v="177"/>
    <x v="0"/>
    <x v="0"/>
  </r>
  <r>
    <x v="780"/>
    <x v="625"/>
    <x v="2"/>
    <x v="1"/>
    <x v="1"/>
    <x v="631"/>
    <x v="247"/>
    <x v="232"/>
    <x v="2"/>
    <x v="1"/>
    <x v="23"/>
    <x v="102"/>
    <x v="3"/>
    <x v="24"/>
    <x v="0"/>
    <x v="4"/>
    <x v="24"/>
    <x v="169"/>
    <x v="3"/>
    <x v="0"/>
    <x v="0"/>
    <x v="771"/>
    <x v="776"/>
    <x v="724"/>
    <x v="7"/>
    <x v="2"/>
  </r>
  <r>
    <x v="781"/>
    <x v="626"/>
    <x v="3"/>
    <x v="10"/>
    <x v="10"/>
    <x v="632"/>
    <x v="17"/>
    <x v="17"/>
    <x v="2"/>
    <x v="1"/>
    <x v="15"/>
    <x v="15"/>
    <x v="1"/>
    <x v="9"/>
    <x v="2"/>
    <x v="8"/>
    <x v="9"/>
    <x v="248"/>
    <x v="2"/>
    <x v="0"/>
    <x v="0"/>
    <x v="772"/>
    <x v="777"/>
    <x v="725"/>
    <x v="0"/>
    <x v="0"/>
  </r>
  <r>
    <x v="782"/>
    <x v="627"/>
    <x v="0"/>
    <x v="3"/>
    <x v="3"/>
    <x v="633"/>
    <x v="57"/>
    <x v="57"/>
    <x v="2"/>
    <x v="1"/>
    <x v="19"/>
    <x v="45"/>
    <x v="0"/>
    <x v="2"/>
    <x v="1"/>
    <x v="2"/>
    <x v="2"/>
    <x v="520"/>
    <x v="1"/>
    <x v="1"/>
    <x v="1"/>
    <x v="773"/>
    <x v="778"/>
    <x v="726"/>
    <x v="4"/>
    <x v="0"/>
  </r>
  <r>
    <x v="783"/>
    <x v="40"/>
    <x v="4"/>
    <x v="2"/>
    <x v="2"/>
    <x v="41"/>
    <x v="48"/>
    <x v="48"/>
    <x v="1"/>
    <x v="0"/>
    <x v="14"/>
    <x v="40"/>
    <x v="3"/>
    <x v="58"/>
    <x v="2"/>
    <x v="5"/>
    <x v="58"/>
    <x v="521"/>
    <x v="2"/>
    <x v="4"/>
    <x v="3"/>
    <x v="774"/>
    <x v="779"/>
    <x v="727"/>
    <x v="5"/>
    <x v="1"/>
  </r>
  <r>
    <x v="784"/>
    <x v="397"/>
    <x v="0"/>
    <x v="3"/>
    <x v="3"/>
    <x v="634"/>
    <x v="8"/>
    <x v="8"/>
    <x v="0"/>
    <x v="0"/>
    <x v="7"/>
    <x v="7"/>
    <x v="2"/>
    <x v="4"/>
    <x v="0"/>
    <x v="4"/>
    <x v="4"/>
    <x v="221"/>
    <x v="0"/>
    <x v="6"/>
    <x v="3"/>
    <x v="775"/>
    <x v="780"/>
    <x v="728"/>
    <x v="7"/>
    <x v="2"/>
  </r>
  <r>
    <x v="785"/>
    <x v="628"/>
    <x v="4"/>
    <x v="1"/>
    <x v="1"/>
    <x v="459"/>
    <x v="73"/>
    <x v="73"/>
    <x v="1"/>
    <x v="1"/>
    <x v="7"/>
    <x v="51"/>
    <x v="2"/>
    <x v="20"/>
    <x v="1"/>
    <x v="9"/>
    <x v="20"/>
    <x v="19"/>
    <x v="1"/>
    <x v="6"/>
    <x v="3"/>
    <x v="776"/>
    <x v="781"/>
    <x v="729"/>
    <x v="1"/>
    <x v="1"/>
  </r>
  <r>
    <x v="786"/>
    <x v="593"/>
    <x v="1"/>
    <x v="11"/>
    <x v="11"/>
    <x v="362"/>
    <x v="270"/>
    <x v="253"/>
    <x v="1"/>
    <x v="1"/>
    <x v="1"/>
    <x v="18"/>
    <x v="1"/>
    <x v="54"/>
    <x v="2"/>
    <x v="8"/>
    <x v="54"/>
    <x v="522"/>
    <x v="0"/>
    <x v="5"/>
    <x v="2"/>
    <x v="777"/>
    <x v="782"/>
    <x v="730"/>
    <x v="5"/>
    <x v="0"/>
  </r>
  <r>
    <x v="787"/>
    <x v="629"/>
    <x v="2"/>
    <x v="6"/>
    <x v="6"/>
    <x v="635"/>
    <x v="275"/>
    <x v="257"/>
    <x v="1"/>
    <x v="1"/>
    <x v="10"/>
    <x v="78"/>
    <x v="0"/>
    <x v="11"/>
    <x v="2"/>
    <x v="3"/>
    <x v="11"/>
    <x v="523"/>
    <x v="3"/>
    <x v="6"/>
    <x v="3"/>
    <x v="778"/>
    <x v="783"/>
    <x v="731"/>
    <x v="7"/>
    <x v="2"/>
  </r>
  <r>
    <x v="788"/>
    <x v="308"/>
    <x v="4"/>
    <x v="9"/>
    <x v="9"/>
    <x v="85"/>
    <x v="206"/>
    <x v="193"/>
    <x v="1"/>
    <x v="1"/>
    <x v="21"/>
    <x v="94"/>
    <x v="1"/>
    <x v="66"/>
    <x v="0"/>
    <x v="7"/>
    <x v="66"/>
    <x v="524"/>
    <x v="3"/>
    <x v="5"/>
    <x v="2"/>
    <x v="779"/>
    <x v="784"/>
    <x v="580"/>
    <x v="2"/>
    <x v="0"/>
  </r>
  <r>
    <x v="789"/>
    <x v="630"/>
    <x v="3"/>
    <x v="6"/>
    <x v="6"/>
    <x v="636"/>
    <x v="276"/>
    <x v="258"/>
    <x v="0"/>
    <x v="1"/>
    <x v="15"/>
    <x v="77"/>
    <x v="1"/>
    <x v="13"/>
    <x v="1"/>
    <x v="2"/>
    <x v="13"/>
    <x v="525"/>
    <x v="3"/>
    <x v="5"/>
    <x v="2"/>
    <x v="780"/>
    <x v="785"/>
    <x v="546"/>
    <x v="5"/>
    <x v="1"/>
  </r>
  <r>
    <x v="790"/>
    <x v="631"/>
    <x v="4"/>
    <x v="5"/>
    <x v="5"/>
    <x v="637"/>
    <x v="208"/>
    <x v="195"/>
    <x v="1"/>
    <x v="1"/>
    <x v="6"/>
    <x v="47"/>
    <x v="0"/>
    <x v="25"/>
    <x v="2"/>
    <x v="13"/>
    <x v="25"/>
    <x v="526"/>
    <x v="3"/>
    <x v="2"/>
    <x v="1"/>
    <x v="781"/>
    <x v="786"/>
    <x v="732"/>
    <x v="4"/>
    <x v="2"/>
  </r>
  <r>
    <x v="791"/>
    <x v="632"/>
    <x v="4"/>
    <x v="10"/>
    <x v="10"/>
    <x v="638"/>
    <x v="175"/>
    <x v="165"/>
    <x v="2"/>
    <x v="1"/>
    <x v="10"/>
    <x v="78"/>
    <x v="0"/>
    <x v="13"/>
    <x v="1"/>
    <x v="2"/>
    <x v="13"/>
    <x v="527"/>
    <x v="1"/>
    <x v="2"/>
    <x v="1"/>
    <x v="782"/>
    <x v="787"/>
    <x v="733"/>
    <x v="1"/>
    <x v="1"/>
  </r>
  <r>
    <x v="792"/>
    <x v="496"/>
    <x v="3"/>
    <x v="6"/>
    <x v="6"/>
    <x v="639"/>
    <x v="32"/>
    <x v="32"/>
    <x v="1"/>
    <x v="1"/>
    <x v="24"/>
    <x v="27"/>
    <x v="2"/>
    <x v="51"/>
    <x v="1"/>
    <x v="9"/>
    <x v="51"/>
    <x v="528"/>
    <x v="0"/>
    <x v="3"/>
    <x v="2"/>
    <x v="783"/>
    <x v="788"/>
    <x v="734"/>
    <x v="3"/>
    <x v="1"/>
  </r>
  <r>
    <x v="793"/>
    <x v="101"/>
    <x v="0"/>
    <x v="10"/>
    <x v="10"/>
    <x v="640"/>
    <x v="194"/>
    <x v="22"/>
    <x v="2"/>
    <x v="0"/>
    <x v="25"/>
    <x v="29"/>
    <x v="1"/>
    <x v="54"/>
    <x v="2"/>
    <x v="8"/>
    <x v="54"/>
    <x v="529"/>
    <x v="4"/>
    <x v="1"/>
    <x v="1"/>
    <x v="784"/>
    <x v="789"/>
    <x v="735"/>
    <x v="0"/>
    <x v="2"/>
  </r>
  <r>
    <x v="794"/>
    <x v="633"/>
    <x v="1"/>
    <x v="10"/>
    <x v="10"/>
    <x v="641"/>
    <x v="64"/>
    <x v="64"/>
    <x v="2"/>
    <x v="1"/>
    <x v="31"/>
    <x v="36"/>
    <x v="2"/>
    <x v="43"/>
    <x v="1"/>
    <x v="9"/>
    <x v="43"/>
    <x v="530"/>
    <x v="1"/>
    <x v="6"/>
    <x v="3"/>
    <x v="99"/>
    <x v="99"/>
    <x v="736"/>
    <x v="2"/>
    <x v="1"/>
  </r>
  <r>
    <x v="795"/>
    <x v="634"/>
    <x v="4"/>
    <x v="10"/>
    <x v="10"/>
    <x v="642"/>
    <x v="19"/>
    <x v="19"/>
    <x v="1"/>
    <x v="1"/>
    <x v="17"/>
    <x v="17"/>
    <x v="0"/>
    <x v="51"/>
    <x v="1"/>
    <x v="9"/>
    <x v="51"/>
    <x v="531"/>
    <x v="2"/>
    <x v="5"/>
    <x v="2"/>
    <x v="785"/>
    <x v="790"/>
    <x v="737"/>
    <x v="3"/>
    <x v="1"/>
  </r>
  <r>
    <x v="796"/>
    <x v="635"/>
    <x v="1"/>
    <x v="4"/>
    <x v="4"/>
    <x v="486"/>
    <x v="212"/>
    <x v="200"/>
    <x v="1"/>
    <x v="1"/>
    <x v="2"/>
    <x v="55"/>
    <x v="2"/>
    <x v="66"/>
    <x v="0"/>
    <x v="7"/>
    <x v="66"/>
    <x v="532"/>
    <x v="3"/>
    <x v="4"/>
    <x v="3"/>
    <x v="786"/>
    <x v="791"/>
    <x v="738"/>
    <x v="3"/>
    <x v="0"/>
  </r>
  <r>
    <x v="797"/>
    <x v="636"/>
    <x v="0"/>
    <x v="0"/>
    <x v="0"/>
    <x v="346"/>
    <x v="171"/>
    <x v="162"/>
    <x v="2"/>
    <x v="1"/>
    <x v="2"/>
    <x v="52"/>
    <x v="2"/>
    <x v="14"/>
    <x v="2"/>
    <x v="8"/>
    <x v="14"/>
    <x v="63"/>
    <x v="0"/>
    <x v="4"/>
    <x v="3"/>
    <x v="787"/>
    <x v="792"/>
    <x v="739"/>
    <x v="4"/>
    <x v="0"/>
  </r>
  <r>
    <x v="798"/>
    <x v="94"/>
    <x v="0"/>
    <x v="5"/>
    <x v="5"/>
    <x v="643"/>
    <x v="277"/>
    <x v="259"/>
    <x v="1"/>
    <x v="1"/>
    <x v="5"/>
    <x v="65"/>
    <x v="3"/>
    <x v="55"/>
    <x v="2"/>
    <x v="8"/>
    <x v="55"/>
    <x v="533"/>
    <x v="3"/>
    <x v="2"/>
    <x v="1"/>
    <x v="788"/>
    <x v="793"/>
    <x v="740"/>
    <x v="6"/>
    <x v="2"/>
  </r>
  <r>
    <x v="799"/>
    <x v="637"/>
    <x v="1"/>
    <x v="6"/>
    <x v="6"/>
    <x v="537"/>
    <x v="61"/>
    <x v="61"/>
    <x v="1"/>
    <x v="1"/>
    <x v="23"/>
    <x v="26"/>
    <x v="3"/>
    <x v="51"/>
    <x v="1"/>
    <x v="9"/>
    <x v="51"/>
    <x v="353"/>
    <x v="4"/>
    <x v="0"/>
    <x v="0"/>
    <x v="789"/>
    <x v="794"/>
    <x v="741"/>
    <x v="2"/>
    <x v="1"/>
  </r>
  <r>
    <x v="800"/>
    <x v="638"/>
    <x v="4"/>
    <x v="6"/>
    <x v="6"/>
    <x v="94"/>
    <x v="16"/>
    <x v="16"/>
    <x v="2"/>
    <x v="1"/>
    <x v="14"/>
    <x v="14"/>
    <x v="3"/>
    <x v="2"/>
    <x v="1"/>
    <x v="2"/>
    <x v="2"/>
    <x v="534"/>
    <x v="0"/>
    <x v="4"/>
    <x v="3"/>
    <x v="790"/>
    <x v="795"/>
    <x v="742"/>
    <x v="5"/>
    <x v="1"/>
  </r>
  <r>
    <x v="801"/>
    <x v="639"/>
    <x v="2"/>
    <x v="8"/>
    <x v="8"/>
    <x v="105"/>
    <x v="29"/>
    <x v="29"/>
    <x v="2"/>
    <x v="1"/>
    <x v="22"/>
    <x v="89"/>
    <x v="3"/>
    <x v="37"/>
    <x v="2"/>
    <x v="3"/>
    <x v="37"/>
    <x v="535"/>
    <x v="2"/>
    <x v="2"/>
    <x v="1"/>
    <x v="791"/>
    <x v="796"/>
    <x v="743"/>
    <x v="5"/>
    <x v="1"/>
  </r>
  <r>
    <x v="802"/>
    <x v="640"/>
    <x v="0"/>
    <x v="3"/>
    <x v="3"/>
    <x v="644"/>
    <x v="73"/>
    <x v="73"/>
    <x v="1"/>
    <x v="1"/>
    <x v="7"/>
    <x v="51"/>
    <x v="2"/>
    <x v="28"/>
    <x v="0"/>
    <x v="12"/>
    <x v="28"/>
    <x v="536"/>
    <x v="0"/>
    <x v="1"/>
    <x v="1"/>
    <x v="792"/>
    <x v="797"/>
    <x v="744"/>
    <x v="4"/>
    <x v="0"/>
  </r>
  <r>
    <x v="803"/>
    <x v="641"/>
    <x v="2"/>
    <x v="5"/>
    <x v="5"/>
    <x v="645"/>
    <x v="140"/>
    <x v="134"/>
    <x v="2"/>
    <x v="1"/>
    <x v="16"/>
    <x v="16"/>
    <x v="1"/>
    <x v="58"/>
    <x v="2"/>
    <x v="5"/>
    <x v="58"/>
    <x v="483"/>
    <x v="3"/>
    <x v="0"/>
    <x v="0"/>
    <x v="793"/>
    <x v="798"/>
    <x v="745"/>
    <x v="0"/>
    <x v="0"/>
  </r>
  <r>
    <x v="804"/>
    <x v="642"/>
    <x v="1"/>
    <x v="9"/>
    <x v="9"/>
    <x v="646"/>
    <x v="13"/>
    <x v="13"/>
    <x v="2"/>
    <x v="0"/>
    <x v="11"/>
    <x v="11"/>
    <x v="0"/>
    <x v="65"/>
    <x v="0"/>
    <x v="10"/>
    <x v="65"/>
    <x v="537"/>
    <x v="3"/>
    <x v="3"/>
    <x v="2"/>
    <x v="794"/>
    <x v="799"/>
    <x v="232"/>
    <x v="0"/>
    <x v="2"/>
  </r>
  <r>
    <x v="805"/>
    <x v="174"/>
    <x v="4"/>
    <x v="3"/>
    <x v="3"/>
    <x v="647"/>
    <x v="269"/>
    <x v="35"/>
    <x v="2"/>
    <x v="1"/>
    <x v="36"/>
    <x v="75"/>
    <x v="0"/>
    <x v="19"/>
    <x v="0"/>
    <x v="12"/>
    <x v="19"/>
    <x v="184"/>
    <x v="4"/>
    <x v="0"/>
    <x v="0"/>
    <x v="795"/>
    <x v="800"/>
    <x v="746"/>
    <x v="6"/>
    <x v="0"/>
  </r>
  <r>
    <x v="806"/>
    <x v="643"/>
    <x v="0"/>
    <x v="6"/>
    <x v="6"/>
    <x v="648"/>
    <x v="200"/>
    <x v="32"/>
    <x v="1"/>
    <x v="1"/>
    <x v="15"/>
    <x v="15"/>
    <x v="1"/>
    <x v="16"/>
    <x v="1"/>
    <x v="1"/>
    <x v="16"/>
    <x v="217"/>
    <x v="1"/>
    <x v="1"/>
    <x v="1"/>
    <x v="796"/>
    <x v="801"/>
    <x v="747"/>
    <x v="0"/>
    <x v="0"/>
  </r>
  <r>
    <x v="807"/>
    <x v="644"/>
    <x v="3"/>
    <x v="9"/>
    <x v="9"/>
    <x v="649"/>
    <x v="250"/>
    <x v="234"/>
    <x v="2"/>
    <x v="1"/>
    <x v="25"/>
    <x v="49"/>
    <x v="1"/>
    <x v="42"/>
    <x v="1"/>
    <x v="11"/>
    <x v="42"/>
    <x v="230"/>
    <x v="0"/>
    <x v="0"/>
    <x v="0"/>
    <x v="797"/>
    <x v="802"/>
    <x v="748"/>
    <x v="0"/>
    <x v="1"/>
  </r>
  <r>
    <x v="808"/>
    <x v="645"/>
    <x v="2"/>
    <x v="7"/>
    <x v="7"/>
    <x v="650"/>
    <x v="101"/>
    <x v="99"/>
    <x v="0"/>
    <x v="0"/>
    <x v="18"/>
    <x v="44"/>
    <x v="1"/>
    <x v="59"/>
    <x v="1"/>
    <x v="1"/>
    <x v="59"/>
    <x v="424"/>
    <x v="2"/>
    <x v="4"/>
    <x v="3"/>
    <x v="798"/>
    <x v="803"/>
    <x v="749"/>
    <x v="2"/>
    <x v="1"/>
  </r>
  <r>
    <x v="809"/>
    <x v="646"/>
    <x v="0"/>
    <x v="5"/>
    <x v="5"/>
    <x v="200"/>
    <x v="54"/>
    <x v="54"/>
    <x v="1"/>
    <x v="1"/>
    <x v="29"/>
    <x v="16"/>
    <x v="1"/>
    <x v="10"/>
    <x v="1"/>
    <x v="9"/>
    <x v="10"/>
    <x v="538"/>
    <x v="1"/>
    <x v="1"/>
    <x v="1"/>
    <x v="799"/>
    <x v="804"/>
    <x v="750"/>
    <x v="6"/>
    <x v="1"/>
  </r>
  <r>
    <x v="810"/>
    <x v="647"/>
    <x v="0"/>
    <x v="3"/>
    <x v="3"/>
    <x v="651"/>
    <x v="62"/>
    <x v="62"/>
    <x v="2"/>
    <x v="1"/>
    <x v="34"/>
    <x v="48"/>
    <x v="3"/>
    <x v="15"/>
    <x v="0"/>
    <x v="10"/>
    <x v="15"/>
    <x v="15"/>
    <x v="0"/>
    <x v="0"/>
    <x v="0"/>
    <x v="800"/>
    <x v="805"/>
    <x v="751"/>
    <x v="6"/>
    <x v="0"/>
  </r>
  <r>
    <x v="811"/>
    <x v="648"/>
    <x v="3"/>
    <x v="11"/>
    <x v="11"/>
    <x v="225"/>
    <x v="141"/>
    <x v="1"/>
    <x v="1"/>
    <x v="1"/>
    <x v="3"/>
    <x v="66"/>
    <x v="3"/>
    <x v="11"/>
    <x v="2"/>
    <x v="3"/>
    <x v="11"/>
    <x v="450"/>
    <x v="3"/>
    <x v="0"/>
    <x v="0"/>
    <x v="801"/>
    <x v="806"/>
    <x v="752"/>
    <x v="0"/>
    <x v="2"/>
  </r>
  <r>
    <x v="812"/>
    <x v="132"/>
    <x v="0"/>
    <x v="9"/>
    <x v="9"/>
    <x v="652"/>
    <x v="131"/>
    <x v="128"/>
    <x v="0"/>
    <x v="0"/>
    <x v="39"/>
    <x v="34"/>
    <x v="2"/>
    <x v="41"/>
    <x v="2"/>
    <x v="8"/>
    <x v="41"/>
    <x v="539"/>
    <x v="0"/>
    <x v="5"/>
    <x v="2"/>
    <x v="802"/>
    <x v="807"/>
    <x v="753"/>
    <x v="7"/>
    <x v="0"/>
  </r>
  <r>
    <x v="813"/>
    <x v="641"/>
    <x v="2"/>
    <x v="5"/>
    <x v="5"/>
    <x v="653"/>
    <x v="18"/>
    <x v="18"/>
    <x v="0"/>
    <x v="1"/>
    <x v="16"/>
    <x v="16"/>
    <x v="1"/>
    <x v="41"/>
    <x v="2"/>
    <x v="8"/>
    <x v="41"/>
    <x v="540"/>
    <x v="2"/>
    <x v="6"/>
    <x v="3"/>
    <x v="803"/>
    <x v="808"/>
    <x v="291"/>
    <x v="5"/>
    <x v="0"/>
  </r>
  <r>
    <x v="814"/>
    <x v="649"/>
    <x v="4"/>
    <x v="11"/>
    <x v="11"/>
    <x v="402"/>
    <x v="249"/>
    <x v="234"/>
    <x v="0"/>
    <x v="1"/>
    <x v="30"/>
    <x v="91"/>
    <x v="2"/>
    <x v="13"/>
    <x v="1"/>
    <x v="2"/>
    <x v="13"/>
    <x v="433"/>
    <x v="1"/>
    <x v="0"/>
    <x v="0"/>
    <x v="804"/>
    <x v="809"/>
    <x v="754"/>
    <x v="3"/>
    <x v="1"/>
  </r>
  <r>
    <x v="815"/>
    <x v="639"/>
    <x v="2"/>
    <x v="8"/>
    <x v="8"/>
    <x v="621"/>
    <x v="46"/>
    <x v="46"/>
    <x v="2"/>
    <x v="1"/>
    <x v="32"/>
    <x v="38"/>
    <x v="0"/>
    <x v="9"/>
    <x v="2"/>
    <x v="8"/>
    <x v="9"/>
    <x v="220"/>
    <x v="1"/>
    <x v="1"/>
    <x v="1"/>
    <x v="805"/>
    <x v="810"/>
    <x v="423"/>
    <x v="6"/>
    <x v="2"/>
  </r>
  <r>
    <x v="816"/>
    <x v="450"/>
    <x v="3"/>
    <x v="8"/>
    <x v="8"/>
    <x v="654"/>
    <x v="245"/>
    <x v="58"/>
    <x v="0"/>
    <x v="0"/>
    <x v="35"/>
    <x v="101"/>
    <x v="2"/>
    <x v="7"/>
    <x v="2"/>
    <x v="6"/>
    <x v="7"/>
    <x v="541"/>
    <x v="0"/>
    <x v="0"/>
    <x v="0"/>
    <x v="806"/>
    <x v="811"/>
    <x v="755"/>
    <x v="1"/>
    <x v="0"/>
  </r>
  <r>
    <x v="817"/>
    <x v="650"/>
    <x v="3"/>
    <x v="5"/>
    <x v="5"/>
    <x v="655"/>
    <x v="240"/>
    <x v="226"/>
    <x v="0"/>
    <x v="1"/>
    <x v="33"/>
    <x v="42"/>
    <x v="2"/>
    <x v="3"/>
    <x v="2"/>
    <x v="3"/>
    <x v="3"/>
    <x v="195"/>
    <x v="0"/>
    <x v="0"/>
    <x v="0"/>
    <x v="807"/>
    <x v="812"/>
    <x v="756"/>
    <x v="6"/>
    <x v="0"/>
  </r>
  <r>
    <x v="818"/>
    <x v="651"/>
    <x v="0"/>
    <x v="2"/>
    <x v="2"/>
    <x v="656"/>
    <x v="4"/>
    <x v="4"/>
    <x v="2"/>
    <x v="0"/>
    <x v="3"/>
    <x v="3"/>
    <x v="3"/>
    <x v="35"/>
    <x v="0"/>
    <x v="4"/>
    <x v="35"/>
    <x v="542"/>
    <x v="4"/>
    <x v="4"/>
    <x v="3"/>
    <x v="808"/>
    <x v="813"/>
    <x v="728"/>
    <x v="0"/>
    <x v="0"/>
  </r>
  <r>
    <x v="819"/>
    <x v="652"/>
    <x v="0"/>
    <x v="2"/>
    <x v="2"/>
    <x v="657"/>
    <x v="126"/>
    <x v="123"/>
    <x v="1"/>
    <x v="1"/>
    <x v="32"/>
    <x v="74"/>
    <x v="0"/>
    <x v="12"/>
    <x v="0"/>
    <x v="7"/>
    <x v="12"/>
    <x v="291"/>
    <x v="4"/>
    <x v="2"/>
    <x v="1"/>
    <x v="809"/>
    <x v="814"/>
    <x v="543"/>
    <x v="3"/>
    <x v="1"/>
  </r>
  <r>
    <x v="820"/>
    <x v="653"/>
    <x v="1"/>
    <x v="11"/>
    <x v="11"/>
    <x v="658"/>
    <x v="203"/>
    <x v="190"/>
    <x v="1"/>
    <x v="1"/>
    <x v="7"/>
    <x v="93"/>
    <x v="2"/>
    <x v="34"/>
    <x v="1"/>
    <x v="11"/>
    <x v="34"/>
    <x v="543"/>
    <x v="4"/>
    <x v="3"/>
    <x v="2"/>
    <x v="810"/>
    <x v="815"/>
    <x v="757"/>
    <x v="7"/>
    <x v="1"/>
  </r>
  <r>
    <x v="821"/>
    <x v="68"/>
    <x v="3"/>
    <x v="3"/>
    <x v="3"/>
    <x v="659"/>
    <x v="8"/>
    <x v="8"/>
    <x v="0"/>
    <x v="0"/>
    <x v="7"/>
    <x v="7"/>
    <x v="2"/>
    <x v="5"/>
    <x v="2"/>
    <x v="5"/>
    <x v="5"/>
    <x v="544"/>
    <x v="4"/>
    <x v="0"/>
    <x v="0"/>
    <x v="811"/>
    <x v="816"/>
    <x v="758"/>
    <x v="7"/>
    <x v="1"/>
  </r>
  <r>
    <x v="822"/>
    <x v="654"/>
    <x v="1"/>
    <x v="2"/>
    <x v="2"/>
    <x v="660"/>
    <x v="195"/>
    <x v="184"/>
    <x v="1"/>
    <x v="0"/>
    <x v="6"/>
    <x v="62"/>
    <x v="0"/>
    <x v="7"/>
    <x v="2"/>
    <x v="6"/>
    <x v="7"/>
    <x v="7"/>
    <x v="3"/>
    <x v="5"/>
    <x v="2"/>
    <x v="812"/>
    <x v="817"/>
    <x v="759"/>
    <x v="4"/>
    <x v="0"/>
  </r>
  <r>
    <x v="823"/>
    <x v="655"/>
    <x v="2"/>
    <x v="5"/>
    <x v="5"/>
    <x v="214"/>
    <x v="249"/>
    <x v="234"/>
    <x v="0"/>
    <x v="1"/>
    <x v="30"/>
    <x v="91"/>
    <x v="2"/>
    <x v="30"/>
    <x v="0"/>
    <x v="10"/>
    <x v="30"/>
    <x v="121"/>
    <x v="4"/>
    <x v="0"/>
    <x v="0"/>
    <x v="813"/>
    <x v="818"/>
    <x v="760"/>
    <x v="6"/>
    <x v="2"/>
  </r>
  <r>
    <x v="824"/>
    <x v="656"/>
    <x v="1"/>
    <x v="1"/>
    <x v="1"/>
    <x v="661"/>
    <x v="253"/>
    <x v="237"/>
    <x v="0"/>
    <x v="0"/>
    <x v="27"/>
    <x v="32"/>
    <x v="1"/>
    <x v="6"/>
    <x v="0"/>
    <x v="0"/>
    <x v="6"/>
    <x v="545"/>
    <x v="2"/>
    <x v="0"/>
    <x v="0"/>
    <x v="814"/>
    <x v="819"/>
    <x v="610"/>
    <x v="0"/>
    <x v="0"/>
  </r>
  <r>
    <x v="825"/>
    <x v="657"/>
    <x v="2"/>
    <x v="0"/>
    <x v="0"/>
    <x v="206"/>
    <x v="215"/>
    <x v="203"/>
    <x v="0"/>
    <x v="0"/>
    <x v="16"/>
    <x v="83"/>
    <x v="1"/>
    <x v="19"/>
    <x v="0"/>
    <x v="12"/>
    <x v="19"/>
    <x v="0"/>
    <x v="0"/>
    <x v="0"/>
    <x v="0"/>
    <x v="815"/>
    <x v="820"/>
    <x v="466"/>
    <x v="7"/>
    <x v="0"/>
  </r>
  <r>
    <x v="826"/>
    <x v="658"/>
    <x v="4"/>
    <x v="1"/>
    <x v="1"/>
    <x v="662"/>
    <x v="120"/>
    <x v="118"/>
    <x v="1"/>
    <x v="0"/>
    <x v="19"/>
    <x v="45"/>
    <x v="0"/>
    <x v="59"/>
    <x v="1"/>
    <x v="1"/>
    <x v="59"/>
    <x v="546"/>
    <x v="4"/>
    <x v="2"/>
    <x v="1"/>
    <x v="816"/>
    <x v="821"/>
    <x v="761"/>
    <x v="6"/>
    <x v="1"/>
  </r>
  <r>
    <x v="827"/>
    <x v="659"/>
    <x v="0"/>
    <x v="10"/>
    <x v="10"/>
    <x v="663"/>
    <x v="278"/>
    <x v="260"/>
    <x v="2"/>
    <x v="1"/>
    <x v="23"/>
    <x v="26"/>
    <x v="3"/>
    <x v="50"/>
    <x v="2"/>
    <x v="3"/>
    <x v="50"/>
    <x v="101"/>
    <x v="3"/>
    <x v="0"/>
    <x v="0"/>
    <x v="817"/>
    <x v="822"/>
    <x v="762"/>
    <x v="4"/>
    <x v="2"/>
  </r>
  <r>
    <x v="828"/>
    <x v="660"/>
    <x v="4"/>
    <x v="2"/>
    <x v="2"/>
    <x v="23"/>
    <x v="274"/>
    <x v="204"/>
    <x v="1"/>
    <x v="1"/>
    <x v="6"/>
    <x v="62"/>
    <x v="0"/>
    <x v="43"/>
    <x v="1"/>
    <x v="9"/>
    <x v="43"/>
    <x v="547"/>
    <x v="4"/>
    <x v="3"/>
    <x v="2"/>
    <x v="818"/>
    <x v="823"/>
    <x v="763"/>
    <x v="5"/>
    <x v="1"/>
  </r>
  <r>
    <x v="829"/>
    <x v="661"/>
    <x v="3"/>
    <x v="5"/>
    <x v="5"/>
    <x v="664"/>
    <x v="41"/>
    <x v="41"/>
    <x v="1"/>
    <x v="0"/>
    <x v="29"/>
    <x v="16"/>
    <x v="1"/>
    <x v="40"/>
    <x v="0"/>
    <x v="10"/>
    <x v="40"/>
    <x v="107"/>
    <x v="4"/>
    <x v="4"/>
    <x v="3"/>
    <x v="819"/>
    <x v="824"/>
    <x v="764"/>
    <x v="7"/>
    <x v="0"/>
  </r>
  <r>
    <x v="830"/>
    <x v="58"/>
    <x v="4"/>
    <x v="3"/>
    <x v="3"/>
    <x v="550"/>
    <x v="137"/>
    <x v="133"/>
    <x v="2"/>
    <x v="1"/>
    <x v="39"/>
    <x v="71"/>
    <x v="2"/>
    <x v="27"/>
    <x v="2"/>
    <x v="6"/>
    <x v="27"/>
    <x v="548"/>
    <x v="3"/>
    <x v="3"/>
    <x v="2"/>
    <x v="820"/>
    <x v="825"/>
    <x v="765"/>
    <x v="4"/>
    <x v="2"/>
  </r>
  <r>
    <x v="831"/>
    <x v="86"/>
    <x v="4"/>
    <x v="9"/>
    <x v="9"/>
    <x v="665"/>
    <x v="21"/>
    <x v="21"/>
    <x v="2"/>
    <x v="1"/>
    <x v="18"/>
    <x v="19"/>
    <x v="1"/>
    <x v="10"/>
    <x v="1"/>
    <x v="9"/>
    <x v="10"/>
    <x v="549"/>
    <x v="0"/>
    <x v="0"/>
    <x v="0"/>
    <x v="821"/>
    <x v="826"/>
    <x v="766"/>
    <x v="0"/>
    <x v="1"/>
  </r>
  <r>
    <x v="832"/>
    <x v="185"/>
    <x v="1"/>
    <x v="2"/>
    <x v="2"/>
    <x v="178"/>
    <x v="168"/>
    <x v="159"/>
    <x v="1"/>
    <x v="1"/>
    <x v="24"/>
    <x v="60"/>
    <x v="2"/>
    <x v="46"/>
    <x v="2"/>
    <x v="13"/>
    <x v="46"/>
    <x v="550"/>
    <x v="4"/>
    <x v="5"/>
    <x v="2"/>
    <x v="822"/>
    <x v="827"/>
    <x v="718"/>
    <x v="7"/>
    <x v="0"/>
  </r>
  <r>
    <x v="833"/>
    <x v="662"/>
    <x v="1"/>
    <x v="3"/>
    <x v="3"/>
    <x v="666"/>
    <x v="45"/>
    <x v="45"/>
    <x v="2"/>
    <x v="1"/>
    <x v="18"/>
    <x v="19"/>
    <x v="1"/>
    <x v="8"/>
    <x v="0"/>
    <x v="7"/>
    <x v="8"/>
    <x v="551"/>
    <x v="2"/>
    <x v="3"/>
    <x v="2"/>
    <x v="823"/>
    <x v="828"/>
    <x v="767"/>
    <x v="7"/>
    <x v="1"/>
  </r>
  <r>
    <x v="834"/>
    <x v="663"/>
    <x v="3"/>
    <x v="9"/>
    <x v="9"/>
    <x v="667"/>
    <x v="193"/>
    <x v="183"/>
    <x v="2"/>
    <x v="1"/>
    <x v="9"/>
    <x v="81"/>
    <x v="2"/>
    <x v="61"/>
    <x v="1"/>
    <x v="2"/>
    <x v="61"/>
    <x v="285"/>
    <x v="2"/>
    <x v="5"/>
    <x v="2"/>
    <x v="824"/>
    <x v="829"/>
    <x v="617"/>
    <x v="4"/>
    <x v="1"/>
  </r>
  <r>
    <x v="835"/>
    <x v="664"/>
    <x v="4"/>
    <x v="5"/>
    <x v="5"/>
    <x v="668"/>
    <x v="279"/>
    <x v="261"/>
    <x v="2"/>
    <x v="1"/>
    <x v="29"/>
    <x v="106"/>
    <x v="1"/>
    <x v="30"/>
    <x v="0"/>
    <x v="10"/>
    <x v="30"/>
    <x v="309"/>
    <x v="2"/>
    <x v="1"/>
    <x v="1"/>
    <x v="825"/>
    <x v="830"/>
    <x v="768"/>
    <x v="5"/>
    <x v="0"/>
  </r>
  <r>
    <x v="836"/>
    <x v="665"/>
    <x v="2"/>
    <x v="8"/>
    <x v="8"/>
    <x v="669"/>
    <x v="167"/>
    <x v="158"/>
    <x v="0"/>
    <x v="1"/>
    <x v="32"/>
    <x v="87"/>
    <x v="0"/>
    <x v="48"/>
    <x v="2"/>
    <x v="6"/>
    <x v="48"/>
    <x v="190"/>
    <x v="1"/>
    <x v="2"/>
    <x v="1"/>
    <x v="826"/>
    <x v="831"/>
    <x v="769"/>
    <x v="2"/>
    <x v="2"/>
  </r>
  <r>
    <x v="837"/>
    <x v="666"/>
    <x v="0"/>
    <x v="0"/>
    <x v="0"/>
    <x v="670"/>
    <x v="72"/>
    <x v="72"/>
    <x v="0"/>
    <x v="1"/>
    <x v="23"/>
    <x v="26"/>
    <x v="3"/>
    <x v="29"/>
    <x v="0"/>
    <x v="12"/>
    <x v="29"/>
    <x v="452"/>
    <x v="1"/>
    <x v="6"/>
    <x v="3"/>
    <x v="827"/>
    <x v="832"/>
    <x v="770"/>
    <x v="2"/>
    <x v="0"/>
  </r>
  <r>
    <x v="838"/>
    <x v="667"/>
    <x v="4"/>
    <x v="11"/>
    <x v="11"/>
    <x v="671"/>
    <x v="183"/>
    <x v="174"/>
    <x v="0"/>
    <x v="1"/>
    <x v="23"/>
    <x v="26"/>
    <x v="3"/>
    <x v="4"/>
    <x v="0"/>
    <x v="4"/>
    <x v="4"/>
    <x v="552"/>
    <x v="3"/>
    <x v="6"/>
    <x v="3"/>
    <x v="828"/>
    <x v="833"/>
    <x v="771"/>
    <x v="0"/>
    <x v="2"/>
  </r>
  <r>
    <x v="839"/>
    <x v="527"/>
    <x v="4"/>
    <x v="3"/>
    <x v="3"/>
    <x v="590"/>
    <x v="17"/>
    <x v="17"/>
    <x v="2"/>
    <x v="1"/>
    <x v="15"/>
    <x v="15"/>
    <x v="1"/>
    <x v="64"/>
    <x v="1"/>
    <x v="11"/>
    <x v="64"/>
    <x v="110"/>
    <x v="3"/>
    <x v="4"/>
    <x v="3"/>
    <x v="829"/>
    <x v="834"/>
    <x v="772"/>
    <x v="1"/>
    <x v="0"/>
  </r>
  <r>
    <x v="840"/>
    <x v="300"/>
    <x v="2"/>
    <x v="0"/>
    <x v="0"/>
    <x v="672"/>
    <x v="169"/>
    <x v="160"/>
    <x v="2"/>
    <x v="1"/>
    <x v="35"/>
    <x v="50"/>
    <x v="2"/>
    <x v="11"/>
    <x v="2"/>
    <x v="3"/>
    <x v="11"/>
    <x v="127"/>
    <x v="1"/>
    <x v="6"/>
    <x v="3"/>
    <x v="830"/>
    <x v="835"/>
    <x v="773"/>
    <x v="0"/>
    <x v="2"/>
  </r>
  <r>
    <x v="841"/>
    <x v="599"/>
    <x v="1"/>
    <x v="7"/>
    <x v="7"/>
    <x v="673"/>
    <x v="194"/>
    <x v="22"/>
    <x v="2"/>
    <x v="0"/>
    <x v="25"/>
    <x v="29"/>
    <x v="1"/>
    <x v="2"/>
    <x v="1"/>
    <x v="2"/>
    <x v="2"/>
    <x v="553"/>
    <x v="3"/>
    <x v="3"/>
    <x v="2"/>
    <x v="831"/>
    <x v="836"/>
    <x v="774"/>
    <x v="4"/>
    <x v="0"/>
  </r>
  <r>
    <x v="842"/>
    <x v="242"/>
    <x v="3"/>
    <x v="5"/>
    <x v="5"/>
    <x v="481"/>
    <x v="107"/>
    <x v="105"/>
    <x v="0"/>
    <x v="1"/>
    <x v="22"/>
    <x v="53"/>
    <x v="3"/>
    <x v="36"/>
    <x v="0"/>
    <x v="10"/>
    <x v="36"/>
    <x v="130"/>
    <x v="4"/>
    <x v="3"/>
    <x v="2"/>
    <x v="832"/>
    <x v="837"/>
    <x v="775"/>
    <x v="5"/>
    <x v="0"/>
  </r>
  <r>
    <x v="843"/>
    <x v="668"/>
    <x v="4"/>
    <x v="11"/>
    <x v="11"/>
    <x v="674"/>
    <x v="123"/>
    <x v="121"/>
    <x v="1"/>
    <x v="1"/>
    <x v="11"/>
    <x v="11"/>
    <x v="0"/>
    <x v="41"/>
    <x v="2"/>
    <x v="8"/>
    <x v="41"/>
    <x v="554"/>
    <x v="0"/>
    <x v="0"/>
    <x v="0"/>
    <x v="833"/>
    <x v="838"/>
    <x v="776"/>
    <x v="1"/>
    <x v="2"/>
  </r>
  <r>
    <x v="844"/>
    <x v="669"/>
    <x v="1"/>
    <x v="9"/>
    <x v="9"/>
    <x v="675"/>
    <x v="272"/>
    <x v="255"/>
    <x v="2"/>
    <x v="1"/>
    <x v="1"/>
    <x v="48"/>
    <x v="1"/>
    <x v="22"/>
    <x v="1"/>
    <x v="2"/>
    <x v="22"/>
    <x v="555"/>
    <x v="4"/>
    <x v="6"/>
    <x v="3"/>
    <x v="834"/>
    <x v="839"/>
    <x v="329"/>
    <x v="5"/>
    <x v="1"/>
  </r>
  <r>
    <x v="845"/>
    <x v="670"/>
    <x v="1"/>
    <x v="8"/>
    <x v="8"/>
    <x v="676"/>
    <x v="133"/>
    <x v="130"/>
    <x v="0"/>
    <x v="1"/>
    <x v="0"/>
    <x v="0"/>
    <x v="0"/>
    <x v="19"/>
    <x v="0"/>
    <x v="12"/>
    <x v="19"/>
    <x v="556"/>
    <x v="2"/>
    <x v="3"/>
    <x v="2"/>
    <x v="835"/>
    <x v="840"/>
    <x v="777"/>
    <x v="0"/>
    <x v="1"/>
  </r>
  <r>
    <x v="846"/>
    <x v="671"/>
    <x v="2"/>
    <x v="6"/>
    <x v="6"/>
    <x v="677"/>
    <x v="250"/>
    <x v="234"/>
    <x v="2"/>
    <x v="1"/>
    <x v="25"/>
    <x v="49"/>
    <x v="1"/>
    <x v="37"/>
    <x v="2"/>
    <x v="3"/>
    <x v="37"/>
    <x v="448"/>
    <x v="0"/>
    <x v="6"/>
    <x v="3"/>
    <x v="836"/>
    <x v="841"/>
    <x v="778"/>
    <x v="3"/>
    <x v="0"/>
  </r>
  <r>
    <x v="847"/>
    <x v="552"/>
    <x v="4"/>
    <x v="11"/>
    <x v="11"/>
    <x v="678"/>
    <x v="146"/>
    <x v="139"/>
    <x v="2"/>
    <x v="1"/>
    <x v="36"/>
    <x v="75"/>
    <x v="0"/>
    <x v="36"/>
    <x v="0"/>
    <x v="10"/>
    <x v="36"/>
    <x v="557"/>
    <x v="2"/>
    <x v="0"/>
    <x v="0"/>
    <x v="837"/>
    <x v="842"/>
    <x v="779"/>
    <x v="5"/>
    <x v="0"/>
  </r>
  <r>
    <x v="848"/>
    <x v="250"/>
    <x v="2"/>
    <x v="3"/>
    <x v="3"/>
    <x v="679"/>
    <x v="280"/>
    <x v="262"/>
    <x v="2"/>
    <x v="0"/>
    <x v="7"/>
    <x v="51"/>
    <x v="2"/>
    <x v="63"/>
    <x v="0"/>
    <x v="7"/>
    <x v="63"/>
    <x v="558"/>
    <x v="0"/>
    <x v="1"/>
    <x v="1"/>
    <x v="838"/>
    <x v="843"/>
    <x v="780"/>
    <x v="2"/>
    <x v="1"/>
  </r>
  <r>
    <x v="849"/>
    <x v="672"/>
    <x v="1"/>
    <x v="1"/>
    <x v="1"/>
    <x v="680"/>
    <x v="120"/>
    <x v="118"/>
    <x v="1"/>
    <x v="0"/>
    <x v="19"/>
    <x v="45"/>
    <x v="0"/>
    <x v="43"/>
    <x v="1"/>
    <x v="9"/>
    <x v="43"/>
    <x v="559"/>
    <x v="0"/>
    <x v="1"/>
    <x v="1"/>
    <x v="839"/>
    <x v="844"/>
    <x v="781"/>
    <x v="7"/>
    <x v="1"/>
  </r>
  <r>
    <x v="850"/>
    <x v="673"/>
    <x v="4"/>
    <x v="10"/>
    <x v="10"/>
    <x v="681"/>
    <x v="104"/>
    <x v="102"/>
    <x v="1"/>
    <x v="0"/>
    <x v="3"/>
    <x v="66"/>
    <x v="3"/>
    <x v="3"/>
    <x v="2"/>
    <x v="3"/>
    <x v="3"/>
    <x v="46"/>
    <x v="4"/>
    <x v="0"/>
    <x v="0"/>
    <x v="840"/>
    <x v="845"/>
    <x v="782"/>
    <x v="5"/>
    <x v="2"/>
  </r>
  <r>
    <x v="851"/>
    <x v="674"/>
    <x v="2"/>
    <x v="9"/>
    <x v="9"/>
    <x v="682"/>
    <x v="276"/>
    <x v="258"/>
    <x v="0"/>
    <x v="1"/>
    <x v="15"/>
    <x v="77"/>
    <x v="1"/>
    <x v="15"/>
    <x v="0"/>
    <x v="10"/>
    <x v="15"/>
    <x v="311"/>
    <x v="4"/>
    <x v="0"/>
    <x v="0"/>
    <x v="841"/>
    <x v="846"/>
    <x v="783"/>
    <x v="4"/>
    <x v="0"/>
  </r>
  <r>
    <x v="852"/>
    <x v="675"/>
    <x v="0"/>
    <x v="3"/>
    <x v="3"/>
    <x v="455"/>
    <x v="121"/>
    <x v="119"/>
    <x v="1"/>
    <x v="1"/>
    <x v="19"/>
    <x v="39"/>
    <x v="0"/>
    <x v="63"/>
    <x v="0"/>
    <x v="7"/>
    <x v="63"/>
    <x v="226"/>
    <x v="2"/>
    <x v="6"/>
    <x v="3"/>
    <x v="842"/>
    <x v="847"/>
    <x v="784"/>
    <x v="5"/>
    <x v="1"/>
  </r>
  <r>
    <x v="853"/>
    <x v="214"/>
    <x v="2"/>
    <x v="5"/>
    <x v="5"/>
    <x v="352"/>
    <x v="24"/>
    <x v="24"/>
    <x v="0"/>
    <x v="1"/>
    <x v="11"/>
    <x v="11"/>
    <x v="0"/>
    <x v="22"/>
    <x v="1"/>
    <x v="2"/>
    <x v="22"/>
    <x v="295"/>
    <x v="1"/>
    <x v="1"/>
    <x v="1"/>
    <x v="843"/>
    <x v="848"/>
    <x v="785"/>
    <x v="3"/>
    <x v="1"/>
  </r>
  <r>
    <x v="854"/>
    <x v="676"/>
    <x v="4"/>
    <x v="5"/>
    <x v="5"/>
    <x v="683"/>
    <x v="278"/>
    <x v="260"/>
    <x v="2"/>
    <x v="1"/>
    <x v="23"/>
    <x v="26"/>
    <x v="3"/>
    <x v="66"/>
    <x v="0"/>
    <x v="7"/>
    <x v="66"/>
    <x v="560"/>
    <x v="1"/>
    <x v="0"/>
    <x v="0"/>
    <x v="844"/>
    <x v="849"/>
    <x v="505"/>
    <x v="1"/>
    <x v="0"/>
  </r>
  <r>
    <x v="855"/>
    <x v="677"/>
    <x v="4"/>
    <x v="2"/>
    <x v="2"/>
    <x v="684"/>
    <x v="69"/>
    <x v="69"/>
    <x v="1"/>
    <x v="1"/>
    <x v="25"/>
    <x v="49"/>
    <x v="1"/>
    <x v="51"/>
    <x v="1"/>
    <x v="9"/>
    <x v="51"/>
    <x v="561"/>
    <x v="2"/>
    <x v="2"/>
    <x v="1"/>
    <x v="845"/>
    <x v="850"/>
    <x v="786"/>
    <x v="6"/>
    <x v="1"/>
  </r>
  <r>
    <x v="856"/>
    <x v="79"/>
    <x v="4"/>
    <x v="0"/>
    <x v="0"/>
    <x v="685"/>
    <x v="9"/>
    <x v="9"/>
    <x v="2"/>
    <x v="1"/>
    <x v="8"/>
    <x v="8"/>
    <x v="0"/>
    <x v="63"/>
    <x v="0"/>
    <x v="7"/>
    <x v="63"/>
    <x v="562"/>
    <x v="0"/>
    <x v="2"/>
    <x v="1"/>
    <x v="846"/>
    <x v="851"/>
    <x v="70"/>
    <x v="5"/>
    <x v="1"/>
  </r>
  <r>
    <x v="857"/>
    <x v="678"/>
    <x v="1"/>
    <x v="5"/>
    <x v="5"/>
    <x v="539"/>
    <x v="30"/>
    <x v="30"/>
    <x v="2"/>
    <x v="0"/>
    <x v="0"/>
    <x v="25"/>
    <x v="0"/>
    <x v="56"/>
    <x v="0"/>
    <x v="0"/>
    <x v="56"/>
    <x v="337"/>
    <x v="0"/>
    <x v="0"/>
    <x v="0"/>
    <x v="847"/>
    <x v="852"/>
    <x v="787"/>
    <x v="0"/>
    <x v="2"/>
  </r>
  <r>
    <x v="858"/>
    <x v="679"/>
    <x v="0"/>
    <x v="6"/>
    <x v="6"/>
    <x v="686"/>
    <x v="104"/>
    <x v="102"/>
    <x v="1"/>
    <x v="0"/>
    <x v="3"/>
    <x v="66"/>
    <x v="3"/>
    <x v="13"/>
    <x v="1"/>
    <x v="2"/>
    <x v="13"/>
    <x v="13"/>
    <x v="0"/>
    <x v="3"/>
    <x v="2"/>
    <x v="848"/>
    <x v="853"/>
    <x v="788"/>
    <x v="4"/>
    <x v="1"/>
  </r>
  <r>
    <x v="859"/>
    <x v="8"/>
    <x v="4"/>
    <x v="3"/>
    <x v="3"/>
    <x v="8"/>
    <x v="224"/>
    <x v="212"/>
    <x v="0"/>
    <x v="0"/>
    <x v="10"/>
    <x v="97"/>
    <x v="0"/>
    <x v="10"/>
    <x v="1"/>
    <x v="9"/>
    <x v="10"/>
    <x v="159"/>
    <x v="3"/>
    <x v="0"/>
    <x v="0"/>
    <x v="849"/>
    <x v="854"/>
    <x v="393"/>
    <x v="3"/>
    <x v="1"/>
  </r>
  <r>
    <x v="860"/>
    <x v="594"/>
    <x v="4"/>
    <x v="3"/>
    <x v="3"/>
    <x v="687"/>
    <x v="96"/>
    <x v="94"/>
    <x v="2"/>
    <x v="1"/>
    <x v="13"/>
    <x v="61"/>
    <x v="3"/>
    <x v="44"/>
    <x v="2"/>
    <x v="5"/>
    <x v="44"/>
    <x v="563"/>
    <x v="1"/>
    <x v="4"/>
    <x v="3"/>
    <x v="318"/>
    <x v="855"/>
    <x v="789"/>
    <x v="2"/>
    <x v="0"/>
  </r>
  <r>
    <x v="861"/>
    <x v="680"/>
    <x v="2"/>
    <x v="6"/>
    <x v="6"/>
    <x v="688"/>
    <x v="261"/>
    <x v="244"/>
    <x v="1"/>
    <x v="1"/>
    <x v="28"/>
    <x v="33"/>
    <x v="3"/>
    <x v="33"/>
    <x v="1"/>
    <x v="11"/>
    <x v="33"/>
    <x v="564"/>
    <x v="0"/>
    <x v="0"/>
    <x v="0"/>
    <x v="850"/>
    <x v="856"/>
    <x v="790"/>
    <x v="7"/>
    <x v="1"/>
  </r>
  <r>
    <x v="862"/>
    <x v="681"/>
    <x v="0"/>
    <x v="3"/>
    <x v="3"/>
    <x v="689"/>
    <x v="80"/>
    <x v="79"/>
    <x v="0"/>
    <x v="1"/>
    <x v="20"/>
    <x v="54"/>
    <x v="1"/>
    <x v="45"/>
    <x v="1"/>
    <x v="2"/>
    <x v="45"/>
    <x v="565"/>
    <x v="3"/>
    <x v="4"/>
    <x v="3"/>
    <x v="851"/>
    <x v="857"/>
    <x v="791"/>
    <x v="4"/>
    <x v="1"/>
  </r>
  <r>
    <x v="863"/>
    <x v="682"/>
    <x v="0"/>
    <x v="10"/>
    <x v="10"/>
    <x v="101"/>
    <x v="139"/>
    <x v="9"/>
    <x v="2"/>
    <x v="1"/>
    <x v="24"/>
    <x v="80"/>
    <x v="2"/>
    <x v="7"/>
    <x v="2"/>
    <x v="6"/>
    <x v="7"/>
    <x v="410"/>
    <x v="1"/>
    <x v="0"/>
    <x v="0"/>
    <x v="852"/>
    <x v="858"/>
    <x v="792"/>
    <x v="3"/>
    <x v="0"/>
  </r>
  <r>
    <x v="864"/>
    <x v="457"/>
    <x v="4"/>
    <x v="2"/>
    <x v="2"/>
    <x v="23"/>
    <x v="217"/>
    <x v="205"/>
    <x v="2"/>
    <x v="1"/>
    <x v="20"/>
    <x v="22"/>
    <x v="1"/>
    <x v="34"/>
    <x v="1"/>
    <x v="11"/>
    <x v="34"/>
    <x v="566"/>
    <x v="1"/>
    <x v="4"/>
    <x v="3"/>
    <x v="853"/>
    <x v="859"/>
    <x v="793"/>
    <x v="6"/>
    <x v="0"/>
  </r>
  <r>
    <x v="865"/>
    <x v="683"/>
    <x v="1"/>
    <x v="0"/>
    <x v="0"/>
    <x v="690"/>
    <x v="281"/>
    <x v="263"/>
    <x v="1"/>
    <x v="1"/>
    <x v="15"/>
    <x v="34"/>
    <x v="1"/>
    <x v="64"/>
    <x v="1"/>
    <x v="11"/>
    <x v="64"/>
    <x v="110"/>
    <x v="3"/>
    <x v="4"/>
    <x v="3"/>
    <x v="854"/>
    <x v="860"/>
    <x v="794"/>
    <x v="5"/>
    <x v="0"/>
  </r>
  <r>
    <x v="866"/>
    <x v="318"/>
    <x v="1"/>
    <x v="4"/>
    <x v="4"/>
    <x v="194"/>
    <x v="188"/>
    <x v="179"/>
    <x v="1"/>
    <x v="0"/>
    <x v="30"/>
    <x v="91"/>
    <x v="2"/>
    <x v="58"/>
    <x v="2"/>
    <x v="5"/>
    <x v="58"/>
    <x v="567"/>
    <x v="2"/>
    <x v="0"/>
    <x v="0"/>
    <x v="855"/>
    <x v="861"/>
    <x v="795"/>
    <x v="4"/>
    <x v="1"/>
  </r>
  <r>
    <x v="867"/>
    <x v="684"/>
    <x v="4"/>
    <x v="10"/>
    <x v="10"/>
    <x v="691"/>
    <x v="1"/>
    <x v="1"/>
    <x v="1"/>
    <x v="1"/>
    <x v="1"/>
    <x v="1"/>
    <x v="1"/>
    <x v="12"/>
    <x v="0"/>
    <x v="7"/>
    <x v="12"/>
    <x v="194"/>
    <x v="4"/>
    <x v="6"/>
    <x v="3"/>
    <x v="856"/>
    <x v="862"/>
    <x v="796"/>
    <x v="6"/>
    <x v="1"/>
  </r>
  <r>
    <x v="868"/>
    <x v="165"/>
    <x v="0"/>
    <x v="6"/>
    <x v="6"/>
    <x v="167"/>
    <x v="141"/>
    <x v="1"/>
    <x v="1"/>
    <x v="1"/>
    <x v="3"/>
    <x v="66"/>
    <x v="3"/>
    <x v="8"/>
    <x v="0"/>
    <x v="7"/>
    <x v="8"/>
    <x v="568"/>
    <x v="4"/>
    <x v="3"/>
    <x v="2"/>
    <x v="857"/>
    <x v="863"/>
    <x v="295"/>
    <x v="5"/>
    <x v="1"/>
  </r>
  <r>
    <x v="869"/>
    <x v="685"/>
    <x v="0"/>
    <x v="8"/>
    <x v="8"/>
    <x v="692"/>
    <x v="225"/>
    <x v="213"/>
    <x v="1"/>
    <x v="1"/>
    <x v="9"/>
    <x v="81"/>
    <x v="2"/>
    <x v="61"/>
    <x v="1"/>
    <x v="2"/>
    <x v="61"/>
    <x v="322"/>
    <x v="2"/>
    <x v="0"/>
    <x v="0"/>
    <x v="858"/>
    <x v="864"/>
    <x v="797"/>
    <x v="7"/>
    <x v="1"/>
  </r>
  <r>
    <x v="870"/>
    <x v="283"/>
    <x v="3"/>
    <x v="6"/>
    <x v="6"/>
    <x v="693"/>
    <x v="185"/>
    <x v="176"/>
    <x v="0"/>
    <x v="1"/>
    <x v="27"/>
    <x v="32"/>
    <x v="1"/>
    <x v="12"/>
    <x v="0"/>
    <x v="7"/>
    <x v="12"/>
    <x v="16"/>
    <x v="2"/>
    <x v="0"/>
    <x v="0"/>
    <x v="859"/>
    <x v="865"/>
    <x v="798"/>
    <x v="0"/>
    <x v="1"/>
  </r>
  <r>
    <x v="871"/>
    <x v="686"/>
    <x v="1"/>
    <x v="6"/>
    <x v="6"/>
    <x v="58"/>
    <x v="120"/>
    <x v="118"/>
    <x v="1"/>
    <x v="0"/>
    <x v="19"/>
    <x v="45"/>
    <x v="0"/>
    <x v="17"/>
    <x v="1"/>
    <x v="9"/>
    <x v="17"/>
    <x v="569"/>
    <x v="1"/>
    <x v="4"/>
    <x v="3"/>
    <x v="860"/>
    <x v="866"/>
    <x v="799"/>
    <x v="0"/>
    <x v="1"/>
  </r>
  <r>
    <x v="872"/>
    <x v="687"/>
    <x v="2"/>
    <x v="3"/>
    <x v="3"/>
    <x v="694"/>
    <x v="207"/>
    <x v="194"/>
    <x v="2"/>
    <x v="0"/>
    <x v="26"/>
    <x v="46"/>
    <x v="3"/>
    <x v="17"/>
    <x v="1"/>
    <x v="9"/>
    <x v="17"/>
    <x v="322"/>
    <x v="2"/>
    <x v="0"/>
    <x v="0"/>
    <x v="861"/>
    <x v="867"/>
    <x v="800"/>
    <x v="5"/>
    <x v="1"/>
  </r>
  <r>
    <x v="873"/>
    <x v="688"/>
    <x v="2"/>
    <x v="0"/>
    <x v="0"/>
    <x v="695"/>
    <x v="153"/>
    <x v="146"/>
    <x v="0"/>
    <x v="1"/>
    <x v="14"/>
    <x v="14"/>
    <x v="3"/>
    <x v="38"/>
    <x v="1"/>
    <x v="1"/>
    <x v="38"/>
    <x v="570"/>
    <x v="4"/>
    <x v="3"/>
    <x v="2"/>
    <x v="862"/>
    <x v="868"/>
    <x v="801"/>
    <x v="2"/>
    <x v="1"/>
  </r>
  <r>
    <x v="874"/>
    <x v="689"/>
    <x v="1"/>
    <x v="9"/>
    <x v="9"/>
    <x v="613"/>
    <x v="114"/>
    <x v="112"/>
    <x v="1"/>
    <x v="1"/>
    <x v="12"/>
    <x v="37"/>
    <x v="2"/>
    <x v="13"/>
    <x v="1"/>
    <x v="2"/>
    <x v="13"/>
    <x v="443"/>
    <x v="2"/>
    <x v="0"/>
    <x v="0"/>
    <x v="863"/>
    <x v="869"/>
    <x v="802"/>
    <x v="6"/>
    <x v="1"/>
  </r>
  <r>
    <x v="875"/>
    <x v="187"/>
    <x v="1"/>
    <x v="2"/>
    <x v="2"/>
    <x v="190"/>
    <x v="200"/>
    <x v="32"/>
    <x v="1"/>
    <x v="1"/>
    <x v="15"/>
    <x v="15"/>
    <x v="1"/>
    <x v="20"/>
    <x v="1"/>
    <x v="9"/>
    <x v="20"/>
    <x v="117"/>
    <x v="4"/>
    <x v="0"/>
    <x v="0"/>
    <x v="864"/>
    <x v="870"/>
    <x v="803"/>
    <x v="4"/>
    <x v="1"/>
  </r>
  <r>
    <x v="876"/>
    <x v="31"/>
    <x v="4"/>
    <x v="6"/>
    <x v="6"/>
    <x v="32"/>
    <x v="188"/>
    <x v="179"/>
    <x v="1"/>
    <x v="0"/>
    <x v="30"/>
    <x v="91"/>
    <x v="2"/>
    <x v="0"/>
    <x v="0"/>
    <x v="0"/>
    <x v="0"/>
    <x v="184"/>
    <x v="4"/>
    <x v="0"/>
    <x v="0"/>
    <x v="865"/>
    <x v="871"/>
    <x v="544"/>
    <x v="7"/>
    <x v="0"/>
  </r>
  <r>
    <x v="877"/>
    <x v="359"/>
    <x v="4"/>
    <x v="8"/>
    <x v="8"/>
    <x v="696"/>
    <x v="5"/>
    <x v="5"/>
    <x v="2"/>
    <x v="0"/>
    <x v="4"/>
    <x v="4"/>
    <x v="0"/>
    <x v="38"/>
    <x v="1"/>
    <x v="1"/>
    <x v="38"/>
    <x v="571"/>
    <x v="4"/>
    <x v="4"/>
    <x v="3"/>
    <x v="866"/>
    <x v="872"/>
    <x v="804"/>
    <x v="7"/>
    <x v="1"/>
  </r>
  <r>
    <x v="878"/>
    <x v="690"/>
    <x v="0"/>
    <x v="0"/>
    <x v="0"/>
    <x v="697"/>
    <x v="194"/>
    <x v="22"/>
    <x v="2"/>
    <x v="0"/>
    <x v="25"/>
    <x v="29"/>
    <x v="1"/>
    <x v="1"/>
    <x v="1"/>
    <x v="1"/>
    <x v="1"/>
    <x v="111"/>
    <x v="1"/>
    <x v="0"/>
    <x v="0"/>
    <x v="867"/>
    <x v="873"/>
    <x v="805"/>
    <x v="2"/>
    <x v="1"/>
  </r>
  <r>
    <x v="879"/>
    <x v="691"/>
    <x v="4"/>
    <x v="10"/>
    <x v="10"/>
    <x v="698"/>
    <x v="196"/>
    <x v="185"/>
    <x v="2"/>
    <x v="1"/>
    <x v="13"/>
    <x v="92"/>
    <x v="3"/>
    <x v="9"/>
    <x v="2"/>
    <x v="8"/>
    <x v="9"/>
    <x v="98"/>
    <x v="0"/>
    <x v="0"/>
    <x v="0"/>
    <x v="868"/>
    <x v="874"/>
    <x v="806"/>
    <x v="4"/>
    <x v="2"/>
  </r>
  <r>
    <x v="880"/>
    <x v="147"/>
    <x v="0"/>
    <x v="9"/>
    <x v="9"/>
    <x v="699"/>
    <x v="150"/>
    <x v="143"/>
    <x v="0"/>
    <x v="1"/>
    <x v="16"/>
    <x v="83"/>
    <x v="1"/>
    <x v="21"/>
    <x v="0"/>
    <x v="0"/>
    <x v="21"/>
    <x v="384"/>
    <x v="3"/>
    <x v="2"/>
    <x v="1"/>
    <x v="869"/>
    <x v="875"/>
    <x v="807"/>
    <x v="5"/>
    <x v="2"/>
  </r>
  <r>
    <x v="881"/>
    <x v="692"/>
    <x v="0"/>
    <x v="9"/>
    <x v="9"/>
    <x v="700"/>
    <x v="75"/>
    <x v="75"/>
    <x v="0"/>
    <x v="1"/>
    <x v="2"/>
    <x v="52"/>
    <x v="2"/>
    <x v="19"/>
    <x v="0"/>
    <x v="12"/>
    <x v="19"/>
    <x v="240"/>
    <x v="1"/>
    <x v="0"/>
    <x v="0"/>
    <x v="870"/>
    <x v="876"/>
    <x v="808"/>
    <x v="4"/>
    <x v="0"/>
  </r>
  <r>
    <x v="882"/>
    <x v="693"/>
    <x v="1"/>
    <x v="0"/>
    <x v="0"/>
    <x v="701"/>
    <x v="99"/>
    <x v="97"/>
    <x v="1"/>
    <x v="0"/>
    <x v="6"/>
    <x v="62"/>
    <x v="0"/>
    <x v="61"/>
    <x v="1"/>
    <x v="2"/>
    <x v="61"/>
    <x v="18"/>
    <x v="3"/>
    <x v="6"/>
    <x v="3"/>
    <x v="871"/>
    <x v="877"/>
    <x v="809"/>
    <x v="6"/>
    <x v="1"/>
  </r>
  <r>
    <x v="883"/>
    <x v="694"/>
    <x v="2"/>
    <x v="11"/>
    <x v="11"/>
    <x v="702"/>
    <x v="101"/>
    <x v="99"/>
    <x v="0"/>
    <x v="0"/>
    <x v="18"/>
    <x v="44"/>
    <x v="1"/>
    <x v="50"/>
    <x v="2"/>
    <x v="3"/>
    <x v="50"/>
    <x v="572"/>
    <x v="1"/>
    <x v="1"/>
    <x v="1"/>
    <x v="872"/>
    <x v="878"/>
    <x v="810"/>
    <x v="1"/>
    <x v="2"/>
  </r>
  <r>
    <x v="884"/>
    <x v="695"/>
    <x v="1"/>
    <x v="11"/>
    <x v="11"/>
    <x v="703"/>
    <x v="122"/>
    <x v="120"/>
    <x v="2"/>
    <x v="1"/>
    <x v="13"/>
    <x v="73"/>
    <x v="3"/>
    <x v="5"/>
    <x v="2"/>
    <x v="5"/>
    <x v="5"/>
    <x v="573"/>
    <x v="4"/>
    <x v="3"/>
    <x v="2"/>
    <x v="873"/>
    <x v="879"/>
    <x v="811"/>
    <x v="2"/>
    <x v="1"/>
  </r>
  <r>
    <x v="885"/>
    <x v="696"/>
    <x v="0"/>
    <x v="6"/>
    <x v="6"/>
    <x v="704"/>
    <x v="8"/>
    <x v="8"/>
    <x v="0"/>
    <x v="0"/>
    <x v="7"/>
    <x v="7"/>
    <x v="2"/>
    <x v="48"/>
    <x v="2"/>
    <x v="6"/>
    <x v="48"/>
    <x v="450"/>
    <x v="3"/>
    <x v="0"/>
    <x v="0"/>
    <x v="874"/>
    <x v="880"/>
    <x v="812"/>
    <x v="7"/>
    <x v="2"/>
  </r>
  <r>
    <x v="886"/>
    <x v="697"/>
    <x v="2"/>
    <x v="3"/>
    <x v="3"/>
    <x v="679"/>
    <x v="210"/>
    <x v="198"/>
    <x v="2"/>
    <x v="1"/>
    <x v="37"/>
    <x v="76"/>
    <x v="1"/>
    <x v="35"/>
    <x v="0"/>
    <x v="4"/>
    <x v="35"/>
    <x v="574"/>
    <x v="0"/>
    <x v="0"/>
    <x v="0"/>
    <x v="875"/>
    <x v="881"/>
    <x v="813"/>
    <x v="4"/>
    <x v="1"/>
  </r>
  <r>
    <x v="887"/>
    <x v="698"/>
    <x v="3"/>
    <x v="9"/>
    <x v="9"/>
    <x v="705"/>
    <x v="27"/>
    <x v="27"/>
    <x v="2"/>
    <x v="1"/>
    <x v="20"/>
    <x v="22"/>
    <x v="1"/>
    <x v="6"/>
    <x v="0"/>
    <x v="0"/>
    <x v="6"/>
    <x v="575"/>
    <x v="4"/>
    <x v="3"/>
    <x v="2"/>
    <x v="876"/>
    <x v="882"/>
    <x v="814"/>
    <x v="4"/>
    <x v="2"/>
  </r>
  <r>
    <x v="888"/>
    <x v="699"/>
    <x v="4"/>
    <x v="10"/>
    <x v="10"/>
    <x v="691"/>
    <x v="216"/>
    <x v="204"/>
    <x v="1"/>
    <x v="1"/>
    <x v="12"/>
    <x v="20"/>
    <x v="2"/>
    <x v="3"/>
    <x v="2"/>
    <x v="3"/>
    <x v="3"/>
    <x v="185"/>
    <x v="1"/>
    <x v="6"/>
    <x v="3"/>
    <x v="877"/>
    <x v="883"/>
    <x v="815"/>
    <x v="3"/>
    <x v="2"/>
  </r>
  <r>
    <x v="889"/>
    <x v="124"/>
    <x v="1"/>
    <x v="10"/>
    <x v="10"/>
    <x v="706"/>
    <x v="121"/>
    <x v="119"/>
    <x v="1"/>
    <x v="1"/>
    <x v="19"/>
    <x v="39"/>
    <x v="0"/>
    <x v="57"/>
    <x v="0"/>
    <x v="4"/>
    <x v="57"/>
    <x v="576"/>
    <x v="1"/>
    <x v="0"/>
    <x v="0"/>
    <x v="878"/>
    <x v="884"/>
    <x v="692"/>
    <x v="4"/>
    <x v="0"/>
  </r>
  <r>
    <x v="890"/>
    <x v="700"/>
    <x v="1"/>
    <x v="10"/>
    <x v="10"/>
    <x v="707"/>
    <x v="260"/>
    <x v="243"/>
    <x v="2"/>
    <x v="0"/>
    <x v="2"/>
    <x v="55"/>
    <x v="2"/>
    <x v="16"/>
    <x v="1"/>
    <x v="1"/>
    <x v="16"/>
    <x v="332"/>
    <x v="0"/>
    <x v="2"/>
    <x v="1"/>
    <x v="879"/>
    <x v="885"/>
    <x v="816"/>
    <x v="3"/>
    <x v="1"/>
  </r>
  <r>
    <x v="891"/>
    <x v="122"/>
    <x v="2"/>
    <x v="0"/>
    <x v="0"/>
    <x v="708"/>
    <x v="280"/>
    <x v="262"/>
    <x v="2"/>
    <x v="0"/>
    <x v="7"/>
    <x v="51"/>
    <x v="2"/>
    <x v="38"/>
    <x v="1"/>
    <x v="1"/>
    <x v="38"/>
    <x v="413"/>
    <x v="0"/>
    <x v="4"/>
    <x v="3"/>
    <x v="880"/>
    <x v="886"/>
    <x v="282"/>
    <x v="6"/>
    <x v="1"/>
  </r>
  <r>
    <x v="892"/>
    <x v="701"/>
    <x v="1"/>
    <x v="2"/>
    <x v="2"/>
    <x v="709"/>
    <x v="235"/>
    <x v="221"/>
    <x v="1"/>
    <x v="0"/>
    <x v="25"/>
    <x v="49"/>
    <x v="1"/>
    <x v="13"/>
    <x v="1"/>
    <x v="2"/>
    <x v="13"/>
    <x v="577"/>
    <x v="3"/>
    <x v="0"/>
    <x v="0"/>
    <x v="881"/>
    <x v="887"/>
    <x v="817"/>
    <x v="7"/>
    <x v="1"/>
  </r>
  <r>
    <x v="893"/>
    <x v="534"/>
    <x v="3"/>
    <x v="5"/>
    <x v="5"/>
    <x v="710"/>
    <x v="65"/>
    <x v="65"/>
    <x v="1"/>
    <x v="1"/>
    <x v="18"/>
    <x v="44"/>
    <x v="1"/>
    <x v="50"/>
    <x v="2"/>
    <x v="3"/>
    <x v="50"/>
    <x v="578"/>
    <x v="2"/>
    <x v="2"/>
    <x v="1"/>
    <x v="882"/>
    <x v="888"/>
    <x v="818"/>
    <x v="3"/>
    <x v="0"/>
  </r>
  <r>
    <x v="894"/>
    <x v="702"/>
    <x v="4"/>
    <x v="9"/>
    <x v="9"/>
    <x v="180"/>
    <x v="249"/>
    <x v="234"/>
    <x v="0"/>
    <x v="1"/>
    <x v="30"/>
    <x v="91"/>
    <x v="2"/>
    <x v="16"/>
    <x v="1"/>
    <x v="1"/>
    <x v="16"/>
    <x v="112"/>
    <x v="0"/>
    <x v="0"/>
    <x v="0"/>
    <x v="883"/>
    <x v="889"/>
    <x v="819"/>
    <x v="4"/>
    <x v="1"/>
  </r>
  <r>
    <x v="895"/>
    <x v="703"/>
    <x v="1"/>
    <x v="11"/>
    <x v="11"/>
    <x v="711"/>
    <x v="108"/>
    <x v="106"/>
    <x v="1"/>
    <x v="1"/>
    <x v="9"/>
    <x v="68"/>
    <x v="2"/>
    <x v="64"/>
    <x v="1"/>
    <x v="11"/>
    <x v="64"/>
    <x v="291"/>
    <x v="4"/>
    <x v="2"/>
    <x v="1"/>
    <x v="884"/>
    <x v="890"/>
    <x v="820"/>
    <x v="0"/>
    <x v="1"/>
  </r>
  <r>
    <x v="896"/>
    <x v="289"/>
    <x v="3"/>
    <x v="3"/>
    <x v="3"/>
    <x v="712"/>
    <x v="260"/>
    <x v="243"/>
    <x v="2"/>
    <x v="0"/>
    <x v="2"/>
    <x v="55"/>
    <x v="2"/>
    <x v="32"/>
    <x v="2"/>
    <x v="13"/>
    <x v="32"/>
    <x v="579"/>
    <x v="2"/>
    <x v="6"/>
    <x v="3"/>
    <x v="885"/>
    <x v="891"/>
    <x v="821"/>
    <x v="0"/>
    <x v="0"/>
  </r>
  <r>
    <x v="897"/>
    <x v="704"/>
    <x v="0"/>
    <x v="11"/>
    <x v="11"/>
    <x v="713"/>
    <x v="51"/>
    <x v="51"/>
    <x v="1"/>
    <x v="1"/>
    <x v="3"/>
    <x v="3"/>
    <x v="3"/>
    <x v="45"/>
    <x v="1"/>
    <x v="2"/>
    <x v="45"/>
    <x v="315"/>
    <x v="3"/>
    <x v="5"/>
    <x v="2"/>
    <x v="886"/>
    <x v="892"/>
    <x v="822"/>
    <x v="0"/>
    <x v="1"/>
  </r>
  <r>
    <x v="898"/>
    <x v="705"/>
    <x v="1"/>
    <x v="0"/>
    <x v="0"/>
    <x v="714"/>
    <x v="282"/>
    <x v="72"/>
    <x v="2"/>
    <x v="1"/>
    <x v="21"/>
    <x v="79"/>
    <x v="1"/>
    <x v="12"/>
    <x v="0"/>
    <x v="7"/>
    <x v="12"/>
    <x v="16"/>
    <x v="2"/>
    <x v="0"/>
    <x v="0"/>
    <x v="811"/>
    <x v="893"/>
    <x v="823"/>
    <x v="7"/>
    <x v="1"/>
  </r>
  <r>
    <x v="899"/>
    <x v="706"/>
    <x v="0"/>
    <x v="6"/>
    <x v="6"/>
    <x v="648"/>
    <x v="54"/>
    <x v="54"/>
    <x v="1"/>
    <x v="1"/>
    <x v="29"/>
    <x v="16"/>
    <x v="1"/>
    <x v="24"/>
    <x v="0"/>
    <x v="4"/>
    <x v="24"/>
    <x v="119"/>
    <x v="1"/>
    <x v="1"/>
    <x v="1"/>
    <x v="887"/>
    <x v="894"/>
    <x v="824"/>
    <x v="4"/>
    <x v="0"/>
  </r>
  <r>
    <x v="900"/>
    <x v="562"/>
    <x v="4"/>
    <x v="4"/>
    <x v="4"/>
    <x v="715"/>
    <x v="122"/>
    <x v="120"/>
    <x v="2"/>
    <x v="1"/>
    <x v="13"/>
    <x v="73"/>
    <x v="3"/>
    <x v="15"/>
    <x v="0"/>
    <x v="10"/>
    <x v="15"/>
    <x v="580"/>
    <x v="0"/>
    <x v="6"/>
    <x v="3"/>
    <x v="888"/>
    <x v="895"/>
    <x v="476"/>
    <x v="5"/>
    <x v="0"/>
  </r>
  <r>
    <x v="901"/>
    <x v="144"/>
    <x v="0"/>
    <x v="2"/>
    <x v="2"/>
    <x v="657"/>
    <x v="111"/>
    <x v="109"/>
    <x v="1"/>
    <x v="1"/>
    <x v="39"/>
    <x v="71"/>
    <x v="2"/>
    <x v="59"/>
    <x v="1"/>
    <x v="1"/>
    <x v="59"/>
    <x v="581"/>
    <x v="4"/>
    <x v="1"/>
    <x v="1"/>
    <x v="889"/>
    <x v="896"/>
    <x v="825"/>
    <x v="0"/>
    <x v="1"/>
  </r>
  <r>
    <x v="902"/>
    <x v="440"/>
    <x v="0"/>
    <x v="5"/>
    <x v="5"/>
    <x v="400"/>
    <x v="7"/>
    <x v="7"/>
    <x v="2"/>
    <x v="1"/>
    <x v="6"/>
    <x v="6"/>
    <x v="0"/>
    <x v="22"/>
    <x v="1"/>
    <x v="2"/>
    <x v="22"/>
    <x v="582"/>
    <x v="2"/>
    <x v="1"/>
    <x v="1"/>
    <x v="890"/>
    <x v="897"/>
    <x v="826"/>
    <x v="4"/>
    <x v="1"/>
  </r>
  <r>
    <x v="903"/>
    <x v="707"/>
    <x v="2"/>
    <x v="11"/>
    <x v="11"/>
    <x v="716"/>
    <x v="200"/>
    <x v="32"/>
    <x v="1"/>
    <x v="1"/>
    <x v="15"/>
    <x v="15"/>
    <x v="1"/>
    <x v="44"/>
    <x v="2"/>
    <x v="5"/>
    <x v="44"/>
    <x v="583"/>
    <x v="3"/>
    <x v="6"/>
    <x v="3"/>
    <x v="891"/>
    <x v="898"/>
    <x v="412"/>
    <x v="5"/>
    <x v="0"/>
  </r>
  <r>
    <x v="904"/>
    <x v="708"/>
    <x v="0"/>
    <x v="6"/>
    <x v="6"/>
    <x v="717"/>
    <x v="251"/>
    <x v="235"/>
    <x v="2"/>
    <x v="1"/>
    <x v="25"/>
    <x v="24"/>
    <x v="1"/>
    <x v="18"/>
    <x v="1"/>
    <x v="11"/>
    <x v="18"/>
    <x v="117"/>
    <x v="1"/>
    <x v="3"/>
    <x v="2"/>
    <x v="892"/>
    <x v="899"/>
    <x v="806"/>
    <x v="7"/>
    <x v="1"/>
  </r>
  <r>
    <x v="905"/>
    <x v="270"/>
    <x v="3"/>
    <x v="7"/>
    <x v="7"/>
    <x v="718"/>
    <x v="222"/>
    <x v="210"/>
    <x v="0"/>
    <x v="1"/>
    <x v="34"/>
    <x v="95"/>
    <x v="3"/>
    <x v="23"/>
    <x v="2"/>
    <x v="6"/>
    <x v="23"/>
    <x v="291"/>
    <x v="4"/>
    <x v="2"/>
    <x v="1"/>
    <x v="893"/>
    <x v="900"/>
    <x v="827"/>
    <x v="2"/>
    <x v="1"/>
  </r>
  <r>
    <x v="906"/>
    <x v="709"/>
    <x v="0"/>
    <x v="10"/>
    <x v="10"/>
    <x v="719"/>
    <x v="31"/>
    <x v="31"/>
    <x v="0"/>
    <x v="1"/>
    <x v="23"/>
    <x v="26"/>
    <x v="3"/>
    <x v="1"/>
    <x v="1"/>
    <x v="1"/>
    <x v="1"/>
    <x v="584"/>
    <x v="3"/>
    <x v="3"/>
    <x v="2"/>
    <x v="894"/>
    <x v="901"/>
    <x v="828"/>
    <x v="3"/>
    <x v="1"/>
  </r>
  <r>
    <x v="907"/>
    <x v="710"/>
    <x v="1"/>
    <x v="4"/>
    <x v="4"/>
    <x v="500"/>
    <x v="181"/>
    <x v="171"/>
    <x v="2"/>
    <x v="1"/>
    <x v="12"/>
    <x v="12"/>
    <x v="2"/>
    <x v="61"/>
    <x v="1"/>
    <x v="2"/>
    <x v="61"/>
    <x v="585"/>
    <x v="4"/>
    <x v="2"/>
    <x v="1"/>
    <x v="895"/>
    <x v="902"/>
    <x v="829"/>
    <x v="0"/>
    <x v="1"/>
  </r>
  <r>
    <x v="908"/>
    <x v="711"/>
    <x v="1"/>
    <x v="8"/>
    <x v="8"/>
    <x v="720"/>
    <x v="160"/>
    <x v="153"/>
    <x v="1"/>
    <x v="1"/>
    <x v="1"/>
    <x v="1"/>
    <x v="1"/>
    <x v="1"/>
    <x v="1"/>
    <x v="1"/>
    <x v="1"/>
    <x v="463"/>
    <x v="4"/>
    <x v="0"/>
    <x v="0"/>
    <x v="259"/>
    <x v="903"/>
    <x v="830"/>
    <x v="2"/>
    <x v="1"/>
  </r>
  <r>
    <x v="909"/>
    <x v="22"/>
    <x v="0"/>
    <x v="8"/>
    <x v="8"/>
    <x v="22"/>
    <x v="278"/>
    <x v="260"/>
    <x v="2"/>
    <x v="1"/>
    <x v="23"/>
    <x v="26"/>
    <x v="3"/>
    <x v="38"/>
    <x v="1"/>
    <x v="1"/>
    <x v="38"/>
    <x v="586"/>
    <x v="4"/>
    <x v="0"/>
    <x v="0"/>
    <x v="896"/>
    <x v="904"/>
    <x v="831"/>
    <x v="4"/>
    <x v="1"/>
  </r>
  <r>
    <x v="910"/>
    <x v="712"/>
    <x v="0"/>
    <x v="9"/>
    <x v="9"/>
    <x v="652"/>
    <x v="160"/>
    <x v="153"/>
    <x v="1"/>
    <x v="1"/>
    <x v="1"/>
    <x v="1"/>
    <x v="1"/>
    <x v="6"/>
    <x v="0"/>
    <x v="0"/>
    <x v="6"/>
    <x v="575"/>
    <x v="4"/>
    <x v="3"/>
    <x v="2"/>
    <x v="897"/>
    <x v="905"/>
    <x v="832"/>
    <x v="6"/>
    <x v="2"/>
  </r>
  <r>
    <x v="911"/>
    <x v="713"/>
    <x v="1"/>
    <x v="0"/>
    <x v="0"/>
    <x v="721"/>
    <x v="109"/>
    <x v="107"/>
    <x v="0"/>
    <x v="1"/>
    <x v="21"/>
    <x v="69"/>
    <x v="1"/>
    <x v="49"/>
    <x v="2"/>
    <x v="5"/>
    <x v="49"/>
    <x v="587"/>
    <x v="1"/>
    <x v="3"/>
    <x v="2"/>
    <x v="898"/>
    <x v="906"/>
    <x v="373"/>
    <x v="0"/>
    <x v="0"/>
  </r>
  <r>
    <x v="912"/>
    <x v="566"/>
    <x v="2"/>
    <x v="1"/>
    <x v="1"/>
    <x v="722"/>
    <x v="209"/>
    <x v="196"/>
    <x v="2"/>
    <x v="1"/>
    <x v="18"/>
    <x v="19"/>
    <x v="1"/>
    <x v="39"/>
    <x v="0"/>
    <x v="12"/>
    <x v="39"/>
    <x v="65"/>
    <x v="1"/>
    <x v="0"/>
    <x v="0"/>
    <x v="899"/>
    <x v="907"/>
    <x v="833"/>
    <x v="5"/>
    <x v="2"/>
  </r>
  <r>
    <x v="913"/>
    <x v="714"/>
    <x v="1"/>
    <x v="3"/>
    <x v="3"/>
    <x v="460"/>
    <x v="31"/>
    <x v="31"/>
    <x v="0"/>
    <x v="1"/>
    <x v="23"/>
    <x v="26"/>
    <x v="3"/>
    <x v="2"/>
    <x v="1"/>
    <x v="2"/>
    <x v="2"/>
    <x v="534"/>
    <x v="0"/>
    <x v="4"/>
    <x v="3"/>
    <x v="900"/>
    <x v="908"/>
    <x v="834"/>
    <x v="6"/>
    <x v="1"/>
  </r>
  <r>
    <x v="914"/>
    <x v="112"/>
    <x v="2"/>
    <x v="4"/>
    <x v="4"/>
    <x v="723"/>
    <x v="192"/>
    <x v="182"/>
    <x v="1"/>
    <x v="1"/>
    <x v="21"/>
    <x v="23"/>
    <x v="1"/>
    <x v="4"/>
    <x v="0"/>
    <x v="4"/>
    <x v="4"/>
    <x v="588"/>
    <x v="0"/>
    <x v="2"/>
    <x v="1"/>
    <x v="901"/>
    <x v="909"/>
    <x v="430"/>
    <x v="0"/>
    <x v="2"/>
  </r>
  <r>
    <x v="915"/>
    <x v="715"/>
    <x v="3"/>
    <x v="2"/>
    <x v="2"/>
    <x v="724"/>
    <x v="258"/>
    <x v="241"/>
    <x v="2"/>
    <x v="1"/>
    <x v="38"/>
    <x v="104"/>
    <x v="3"/>
    <x v="31"/>
    <x v="1"/>
    <x v="1"/>
    <x v="31"/>
    <x v="565"/>
    <x v="3"/>
    <x v="4"/>
    <x v="3"/>
    <x v="13"/>
    <x v="910"/>
    <x v="312"/>
    <x v="7"/>
    <x v="1"/>
  </r>
  <r>
    <x v="916"/>
    <x v="716"/>
    <x v="4"/>
    <x v="6"/>
    <x v="6"/>
    <x v="50"/>
    <x v="83"/>
    <x v="82"/>
    <x v="2"/>
    <x v="0"/>
    <x v="25"/>
    <x v="49"/>
    <x v="1"/>
    <x v="51"/>
    <x v="1"/>
    <x v="9"/>
    <x v="51"/>
    <x v="589"/>
    <x v="1"/>
    <x v="0"/>
    <x v="0"/>
    <x v="902"/>
    <x v="911"/>
    <x v="835"/>
    <x v="1"/>
    <x v="1"/>
  </r>
  <r>
    <x v="917"/>
    <x v="717"/>
    <x v="3"/>
    <x v="6"/>
    <x v="6"/>
    <x v="498"/>
    <x v="278"/>
    <x v="260"/>
    <x v="2"/>
    <x v="1"/>
    <x v="23"/>
    <x v="26"/>
    <x v="3"/>
    <x v="5"/>
    <x v="2"/>
    <x v="5"/>
    <x v="5"/>
    <x v="350"/>
    <x v="0"/>
    <x v="0"/>
    <x v="0"/>
    <x v="903"/>
    <x v="912"/>
    <x v="836"/>
    <x v="0"/>
    <x v="1"/>
  </r>
  <r>
    <x v="918"/>
    <x v="718"/>
    <x v="2"/>
    <x v="11"/>
    <x v="11"/>
    <x v="725"/>
    <x v="79"/>
    <x v="78"/>
    <x v="2"/>
    <x v="1"/>
    <x v="22"/>
    <x v="53"/>
    <x v="3"/>
    <x v="48"/>
    <x v="2"/>
    <x v="6"/>
    <x v="48"/>
    <x v="590"/>
    <x v="0"/>
    <x v="4"/>
    <x v="3"/>
    <x v="904"/>
    <x v="913"/>
    <x v="837"/>
    <x v="4"/>
    <x v="0"/>
  </r>
  <r>
    <x v="919"/>
    <x v="266"/>
    <x v="1"/>
    <x v="10"/>
    <x v="10"/>
    <x v="707"/>
    <x v="91"/>
    <x v="90"/>
    <x v="0"/>
    <x v="0"/>
    <x v="36"/>
    <x v="59"/>
    <x v="0"/>
    <x v="31"/>
    <x v="1"/>
    <x v="1"/>
    <x v="31"/>
    <x v="382"/>
    <x v="1"/>
    <x v="2"/>
    <x v="1"/>
    <x v="905"/>
    <x v="914"/>
    <x v="838"/>
    <x v="0"/>
    <x v="1"/>
  </r>
  <r>
    <x v="920"/>
    <x v="719"/>
    <x v="3"/>
    <x v="9"/>
    <x v="9"/>
    <x v="212"/>
    <x v="215"/>
    <x v="203"/>
    <x v="0"/>
    <x v="0"/>
    <x v="16"/>
    <x v="83"/>
    <x v="1"/>
    <x v="26"/>
    <x v="2"/>
    <x v="5"/>
    <x v="26"/>
    <x v="477"/>
    <x v="0"/>
    <x v="0"/>
    <x v="0"/>
    <x v="906"/>
    <x v="915"/>
    <x v="839"/>
    <x v="1"/>
    <x v="0"/>
  </r>
  <r>
    <x v="921"/>
    <x v="393"/>
    <x v="3"/>
    <x v="4"/>
    <x v="4"/>
    <x v="391"/>
    <x v="273"/>
    <x v="256"/>
    <x v="2"/>
    <x v="1"/>
    <x v="18"/>
    <x v="84"/>
    <x v="1"/>
    <x v="5"/>
    <x v="2"/>
    <x v="5"/>
    <x v="5"/>
    <x v="591"/>
    <x v="2"/>
    <x v="3"/>
    <x v="2"/>
    <x v="907"/>
    <x v="916"/>
    <x v="840"/>
    <x v="0"/>
    <x v="1"/>
  </r>
  <r>
    <x v="922"/>
    <x v="720"/>
    <x v="0"/>
    <x v="3"/>
    <x v="3"/>
    <x v="726"/>
    <x v="281"/>
    <x v="263"/>
    <x v="1"/>
    <x v="1"/>
    <x v="15"/>
    <x v="34"/>
    <x v="1"/>
    <x v="39"/>
    <x v="0"/>
    <x v="12"/>
    <x v="39"/>
    <x v="592"/>
    <x v="3"/>
    <x v="3"/>
    <x v="2"/>
    <x v="908"/>
    <x v="917"/>
    <x v="841"/>
    <x v="3"/>
    <x v="2"/>
  </r>
  <r>
    <x v="923"/>
    <x v="577"/>
    <x v="3"/>
    <x v="2"/>
    <x v="2"/>
    <x v="727"/>
    <x v="61"/>
    <x v="61"/>
    <x v="1"/>
    <x v="1"/>
    <x v="23"/>
    <x v="26"/>
    <x v="3"/>
    <x v="27"/>
    <x v="2"/>
    <x v="6"/>
    <x v="27"/>
    <x v="593"/>
    <x v="2"/>
    <x v="6"/>
    <x v="3"/>
    <x v="909"/>
    <x v="918"/>
    <x v="842"/>
    <x v="1"/>
    <x v="0"/>
  </r>
  <r>
    <x v="924"/>
    <x v="398"/>
    <x v="0"/>
    <x v="5"/>
    <x v="5"/>
    <x v="259"/>
    <x v="27"/>
    <x v="27"/>
    <x v="2"/>
    <x v="1"/>
    <x v="20"/>
    <x v="22"/>
    <x v="1"/>
    <x v="20"/>
    <x v="1"/>
    <x v="9"/>
    <x v="20"/>
    <x v="148"/>
    <x v="1"/>
    <x v="0"/>
    <x v="0"/>
    <x v="910"/>
    <x v="919"/>
    <x v="843"/>
    <x v="6"/>
    <x v="1"/>
  </r>
  <r>
    <x v="925"/>
    <x v="173"/>
    <x v="1"/>
    <x v="6"/>
    <x v="6"/>
    <x v="728"/>
    <x v="31"/>
    <x v="31"/>
    <x v="0"/>
    <x v="1"/>
    <x v="23"/>
    <x v="26"/>
    <x v="3"/>
    <x v="32"/>
    <x v="2"/>
    <x v="13"/>
    <x v="32"/>
    <x v="356"/>
    <x v="1"/>
    <x v="0"/>
    <x v="0"/>
    <x v="911"/>
    <x v="920"/>
    <x v="844"/>
    <x v="5"/>
    <x v="2"/>
  </r>
  <r>
    <x v="926"/>
    <x v="31"/>
    <x v="4"/>
    <x v="6"/>
    <x v="6"/>
    <x v="310"/>
    <x v="109"/>
    <x v="107"/>
    <x v="0"/>
    <x v="1"/>
    <x v="21"/>
    <x v="69"/>
    <x v="1"/>
    <x v="42"/>
    <x v="1"/>
    <x v="11"/>
    <x v="42"/>
    <x v="403"/>
    <x v="2"/>
    <x v="0"/>
    <x v="0"/>
    <x v="726"/>
    <x v="921"/>
    <x v="845"/>
    <x v="1"/>
    <x v="1"/>
  </r>
  <r>
    <x v="927"/>
    <x v="396"/>
    <x v="3"/>
    <x v="11"/>
    <x v="11"/>
    <x v="456"/>
    <x v="223"/>
    <x v="211"/>
    <x v="2"/>
    <x v="1"/>
    <x v="28"/>
    <x v="96"/>
    <x v="3"/>
    <x v="36"/>
    <x v="0"/>
    <x v="10"/>
    <x v="36"/>
    <x v="594"/>
    <x v="1"/>
    <x v="0"/>
    <x v="0"/>
    <x v="912"/>
    <x v="922"/>
    <x v="846"/>
    <x v="6"/>
    <x v="2"/>
  </r>
  <r>
    <x v="928"/>
    <x v="721"/>
    <x v="4"/>
    <x v="10"/>
    <x v="10"/>
    <x v="729"/>
    <x v="131"/>
    <x v="128"/>
    <x v="0"/>
    <x v="0"/>
    <x v="39"/>
    <x v="34"/>
    <x v="2"/>
    <x v="60"/>
    <x v="0"/>
    <x v="12"/>
    <x v="60"/>
    <x v="595"/>
    <x v="1"/>
    <x v="1"/>
    <x v="1"/>
    <x v="913"/>
    <x v="923"/>
    <x v="847"/>
    <x v="1"/>
    <x v="2"/>
  </r>
  <r>
    <x v="929"/>
    <x v="722"/>
    <x v="3"/>
    <x v="11"/>
    <x v="11"/>
    <x v="730"/>
    <x v="152"/>
    <x v="145"/>
    <x v="1"/>
    <x v="1"/>
    <x v="7"/>
    <x v="51"/>
    <x v="2"/>
    <x v="6"/>
    <x v="0"/>
    <x v="0"/>
    <x v="6"/>
    <x v="596"/>
    <x v="4"/>
    <x v="6"/>
    <x v="3"/>
    <x v="914"/>
    <x v="924"/>
    <x v="736"/>
    <x v="0"/>
    <x v="2"/>
  </r>
  <r>
    <x v="930"/>
    <x v="723"/>
    <x v="3"/>
    <x v="10"/>
    <x v="10"/>
    <x v="73"/>
    <x v="126"/>
    <x v="123"/>
    <x v="1"/>
    <x v="1"/>
    <x v="32"/>
    <x v="74"/>
    <x v="0"/>
    <x v="10"/>
    <x v="1"/>
    <x v="9"/>
    <x v="10"/>
    <x v="597"/>
    <x v="1"/>
    <x v="5"/>
    <x v="2"/>
    <x v="915"/>
    <x v="925"/>
    <x v="848"/>
    <x v="4"/>
    <x v="1"/>
  </r>
  <r>
    <x v="931"/>
    <x v="724"/>
    <x v="0"/>
    <x v="7"/>
    <x v="7"/>
    <x v="731"/>
    <x v="234"/>
    <x v="220"/>
    <x v="0"/>
    <x v="1"/>
    <x v="28"/>
    <x v="99"/>
    <x v="3"/>
    <x v="6"/>
    <x v="0"/>
    <x v="0"/>
    <x v="6"/>
    <x v="598"/>
    <x v="1"/>
    <x v="0"/>
    <x v="0"/>
    <x v="916"/>
    <x v="926"/>
    <x v="849"/>
    <x v="1"/>
    <x v="2"/>
  </r>
  <r>
    <x v="932"/>
    <x v="725"/>
    <x v="2"/>
    <x v="4"/>
    <x v="4"/>
    <x v="405"/>
    <x v="106"/>
    <x v="104"/>
    <x v="2"/>
    <x v="1"/>
    <x v="14"/>
    <x v="67"/>
    <x v="3"/>
    <x v="66"/>
    <x v="0"/>
    <x v="7"/>
    <x v="66"/>
    <x v="599"/>
    <x v="4"/>
    <x v="4"/>
    <x v="3"/>
    <x v="917"/>
    <x v="927"/>
    <x v="850"/>
    <x v="2"/>
    <x v="0"/>
  </r>
  <r>
    <x v="933"/>
    <x v="726"/>
    <x v="4"/>
    <x v="11"/>
    <x v="11"/>
    <x v="732"/>
    <x v="96"/>
    <x v="94"/>
    <x v="2"/>
    <x v="1"/>
    <x v="13"/>
    <x v="61"/>
    <x v="3"/>
    <x v="23"/>
    <x v="2"/>
    <x v="6"/>
    <x v="23"/>
    <x v="349"/>
    <x v="3"/>
    <x v="3"/>
    <x v="2"/>
    <x v="918"/>
    <x v="928"/>
    <x v="851"/>
    <x v="6"/>
    <x v="0"/>
  </r>
  <r>
    <x v="934"/>
    <x v="727"/>
    <x v="1"/>
    <x v="7"/>
    <x v="7"/>
    <x v="733"/>
    <x v="165"/>
    <x v="157"/>
    <x v="0"/>
    <x v="1"/>
    <x v="32"/>
    <x v="87"/>
    <x v="0"/>
    <x v="14"/>
    <x v="2"/>
    <x v="8"/>
    <x v="14"/>
    <x v="600"/>
    <x v="3"/>
    <x v="0"/>
    <x v="0"/>
    <x v="919"/>
    <x v="929"/>
    <x v="852"/>
    <x v="5"/>
    <x v="2"/>
  </r>
  <r>
    <x v="935"/>
    <x v="100"/>
    <x v="3"/>
    <x v="4"/>
    <x v="4"/>
    <x v="493"/>
    <x v="47"/>
    <x v="47"/>
    <x v="0"/>
    <x v="1"/>
    <x v="19"/>
    <x v="39"/>
    <x v="0"/>
    <x v="2"/>
    <x v="1"/>
    <x v="2"/>
    <x v="2"/>
    <x v="601"/>
    <x v="4"/>
    <x v="1"/>
    <x v="1"/>
    <x v="920"/>
    <x v="930"/>
    <x v="853"/>
    <x v="5"/>
    <x v="1"/>
  </r>
  <r>
    <x v="936"/>
    <x v="367"/>
    <x v="2"/>
    <x v="0"/>
    <x v="0"/>
    <x v="734"/>
    <x v="63"/>
    <x v="63"/>
    <x v="1"/>
    <x v="1"/>
    <x v="19"/>
    <x v="39"/>
    <x v="0"/>
    <x v="33"/>
    <x v="1"/>
    <x v="11"/>
    <x v="33"/>
    <x v="602"/>
    <x v="1"/>
    <x v="1"/>
    <x v="1"/>
    <x v="921"/>
    <x v="931"/>
    <x v="854"/>
    <x v="2"/>
    <x v="1"/>
  </r>
  <r>
    <x v="937"/>
    <x v="119"/>
    <x v="1"/>
    <x v="11"/>
    <x v="11"/>
    <x v="735"/>
    <x v="104"/>
    <x v="35"/>
    <x v="1"/>
    <x v="0"/>
    <x v="3"/>
    <x v="66"/>
    <x v="3"/>
    <x v="42"/>
    <x v="1"/>
    <x v="11"/>
    <x v="42"/>
    <x v="371"/>
    <x v="1"/>
    <x v="3"/>
    <x v="2"/>
    <x v="922"/>
    <x v="932"/>
    <x v="855"/>
    <x v="7"/>
    <x v="1"/>
  </r>
  <r>
    <x v="938"/>
    <x v="728"/>
    <x v="2"/>
    <x v="9"/>
    <x v="9"/>
    <x v="736"/>
    <x v="245"/>
    <x v="58"/>
    <x v="0"/>
    <x v="0"/>
    <x v="35"/>
    <x v="101"/>
    <x v="2"/>
    <x v="37"/>
    <x v="2"/>
    <x v="3"/>
    <x v="37"/>
    <x v="603"/>
    <x v="2"/>
    <x v="3"/>
    <x v="2"/>
    <x v="923"/>
    <x v="933"/>
    <x v="856"/>
    <x v="6"/>
    <x v="1"/>
  </r>
  <r>
    <x v="939"/>
    <x v="262"/>
    <x v="3"/>
    <x v="0"/>
    <x v="0"/>
    <x v="737"/>
    <x v="153"/>
    <x v="146"/>
    <x v="0"/>
    <x v="1"/>
    <x v="14"/>
    <x v="14"/>
    <x v="3"/>
    <x v="18"/>
    <x v="1"/>
    <x v="11"/>
    <x v="18"/>
    <x v="103"/>
    <x v="0"/>
    <x v="6"/>
    <x v="3"/>
    <x v="924"/>
    <x v="934"/>
    <x v="857"/>
    <x v="1"/>
    <x v="1"/>
  </r>
  <r>
    <x v="940"/>
    <x v="729"/>
    <x v="4"/>
    <x v="6"/>
    <x v="6"/>
    <x v="738"/>
    <x v="59"/>
    <x v="59"/>
    <x v="1"/>
    <x v="1"/>
    <x v="6"/>
    <x v="24"/>
    <x v="0"/>
    <x v="21"/>
    <x v="0"/>
    <x v="0"/>
    <x v="21"/>
    <x v="604"/>
    <x v="4"/>
    <x v="6"/>
    <x v="3"/>
    <x v="925"/>
    <x v="935"/>
    <x v="858"/>
    <x v="4"/>
    <x v="2"/>
  </r>
  <r>
    <x v="941"/>
    <x v="46"/>
    <x v="3"/>
    <x v="1"/>
    <x v="1"/>
    <x v="739"/>
    <x v="231"/>
    <x v="80"/>
    <x v="0"/>
    <x v="1"/>
    <x v="27"/>
    <x v="86"/>
    <x v="1"/>
    <x v="15"/>
    <x v="0"/>
    <x v="10"/>
    <x v="15"/>
    <x v="119"/>
    <x v="1"/>
    <x v="1"/>
    <x v="1"/>
    <x v="926"/>
    <x v="936"/>
    <x v="552"/>
    <x v="7"/>
    <x v="0"/>
  </r>
  <r>
    <x v="942"/>
    <x v="603"/>
    <x v="3"/>
    <x v="3"/>
    <x v="3"/>
    <x v="603"/>
    <x v="229"/>
    <x v="216"/>
    <x v="1"/>
    <x v="0"/>
    <x v="5"/>
    <x v="5"/>
    <x v="3"/>
    <x v="12"/>
    <x v="0"/>
    <x v="7"/>
    <x v="12"/>
    <x v="140"/>
    <x v="4"/>
    <x v="3"/>
    <x v="2"/>
    <x v="927"/>
    <x v="937"/>
    <x v="859"/>
    <x v="4"/>
    <x v="1"/>
  </r>
  <r>
    <x v="943"/>
    <x v="730"/>
    <x v="1"/>
    <x v="6"/>
    <x v="6"/>
    <x v="113"/>
    <x v="71"/>
    <x v="71"/>
    <x v="2"/>
    <x v="1"/>
    <x v="4"/>
    <x v="41"/>
    <x v="0"/>
    <x v="5"/>
    <x v="2"/>
    <x v="5"/>
    <x v="5"/>
    <x v="424"/>
    <x v="0"/>
    <x v="4"/>
    <x v="3"/>
    <x v="928"/>
    <x v="938"/>
    <x v="860"/>
    <x v="5"/>
    <x v="1"/>
  </r>
  <r>
    <x v="944"/>
    <x v="731"/>
    <x v="3"/>
    <x v="2"/>
    <x v="2"/>
    <x v="740"/>
    <x v="48"/>
    <x v="48"/>
    <x v="1"/>
    <x v="0"/>
    <x v="14"/>
    <x v="40"/>
    <x v="3"/>
    <x v="46"/>
    <x v="2"/>
    <x v="13"/>
    <x v="46"/>
    <x v="137"/>
    <x v="4"/>
    <x v="3"/>
    <x v="2"/>
    <x v="929"/>
    <x v="939"/>
    <x v="861"/>
    <x v="8"/>
    <x v="0"/>
  </r>
  <r>
    <x v="945"/>
    <x v="732"/>
    <x v="0"/>
    <x v="3"/>
    <x v="3"/>
    <x v="633"/>
    <x v="283"/>
    <x v="264"/>
    <x v="1"/>
    <x v="1"/>
    <x v="11"/>
    <x v="11"/>
    <x v="0"/>
    <x v="33"/>
    <x v="1"/>
    <x v="11"/>
    <x v="33"/>
    <x v="605"/>
    <x v="2"/>
    <x v="5"/>
    <x v="2"/>
    <x v="930"/>
    <x v="940"/>
    <x v="862"/>
    <x v="5"/>
    <x v="1"/>
  </r>
  <r>
    <x v="946"/>
    <x v="733"/>
    <x v="0"/>
    <x v="9"/>
    <x v="9"/>
    <x v="741"/>
    <x v="26"/>
    <x v="26"/>
    <x v="1"/>
    <x v="1"/>
    <x v="1"/>
    <x v="18"/>
    <x v="1"/>
    <x v="61"/>
    <x v="1"/>
    <x v="2"/>
    <x v="61"/>
    <x v="411"/>
    <x v="0"/>
    <x v="0"/>
    <x v="0"/>
    <x v="931"/>
    <x v="941"/>
    <x v="863"/>
    <x v="3"/>
    <x v="1"/>
  </r>
  <r>
    <x v="947"/>
    <x v="143"/>
    <x v="3"/>
    <x v="1"/>
    <x v="1"/>
    <x v="742"/>
    <x v="186"/>
    <x v="177"/>
    <x v="0"/>
    <x v="1"/>
    <x v="8"/>
    <x v="8"/>
    <x v="0"/>
    <x v="9"/>
    <x v="2"/>
    <x v="8"/>
    <x v="9"/>
    <x v="51"/>
    <x v="3"/>
    <x v="0"/>
    <x v="0"/>
    <x v="932"/>
    <x v="942"/>
    <x v="864"/>
    <x v="4"/>
    <x v="2"/>
  </r>
  <r>
    <x v="948"/>
    <x v="734"/>
    <x v="4"/>
    <x v="4"/>
    <x v="4"/>
    <x v="743"/>
    <x v="259"/>
    <x v="242"/>
    <x v="1"/>
    <x v="1"/>
    <x v="20"/>
    <x v="105"/>
    <x v="1"/>
    <x v="54"/>
    <x v="2"/>
    <x v="8"/>
    <x v="54"/>
    <x v="100"/>
    <x v="0"/>
    <x v="0"/>
    <x v="0"/>
    <x v="933"/>
    <x v="943"/>
    <x v="865"/>
    <x v="2"/>
    <x v="2"/>
  </r>
  <r>
    <x v="949"/>
    <x v="612"/>
    <x v="1"/>
    <x v="10"/>
    <x v="10"/>
    <x v="744"/>
    <x v="21"/>
    <x v="21"/>
    <x v="2"/>
    <x v="1"/>
    <x v="18"/>
    <x v="19"/>
    <x v="1"/>
    <x v="11"/>
    <x v="2"/>
    <x v="3"/>
    <x v="11"/>
    <x v="417"/>
    <x v="2"/>
    <x v="2"/>
    <x v="1"/>
    <x v="934"/>
    <x v="944"/>
    <x v="866"/>
    <x v="5"/>
    <x v="0"/>
  </r>
  <r>
    <x v="950"/>
    <x v="213"/>
    <x v="4"/>
    <x v="7"/>
    <x v="7"/>
    <x v="745"/>
    <x v="78"/>
    <x v="197"/>
    <x v="0"/>
    <x v="1"/>
    <x v="3"/>
    <x v="3"/>
    <x v="3"/>
    <x v="1"/>
    <x v="1"/>
    <x v="1"/>
    <x v="1"/>
    <x v="606"/>
    <x v="3"/>
    <x v="5"/>
    <x v="2"/>
    <x v="935"/>
    <x v="945"/>
    <x v="867"/>
    <x v="2"/>
    <x v="1"/>
  </r>
  <r>
    <x v="951"/>
    <x v="735"/>
    <x v="0"/>
    <x v="4"/>
    <x v="4"/>
    <x v="746"/>
    <x v="253"/>
    <x v="237"/>
    <x v="0"/>
    <x v="0"/>
    <x v="27"/>
    <x v="32"/>
    <x v="1"/>
    <x v="66"/>
    <x v="0"/>
    <x v="7"/>
    <x v="66"/>
    <x v="607"/>
    <x v="3"/>
    <x v="1"/>
    <x v="1"/>
    <x v="936"/>
    <x v="946"/>
    <x v="834"/>
    <x v="7"/>
    <x v="0"/>
  </r>
  <r>
    <x v="952"/>
    <x v="501"/>
    <x v="0"/>
    <x v="1"/>
    <x v="1"/>
    <x v="747"/>
    <x v="148"/>
    <x v="141"/>
    <x v="1"/>
    <x v="1"/>
    <x v="31"/>
    <x v="82"/>
    <x v="2"/>
    <x v="33"/>
    <x v="1"/>
    <x v="11"/>
    <x v="33"/>
    <x v="608"/>
    <x v="2"/>
    <x v="0"/>
    <x v="0"/>
    <x v="937"/>
    <x v="947"/>
    <x v="868"/>
    <x v="7"/>
    <x v="1"/>
  </r>
  <r>
    <x v="953"/>
    <x v="736"/>
    <x v="2"/>
    <x v="1"/>
    <x v="1"/>
    <x v="748"/>
    <x v="71"/>
    <x v="71"/>
    <x v="2"/>
    <x v="1"/>
    <x v="4"/>
    <x v="41"/>
    <x v="0"/>
    <x v="5"/>
    <x v="2"/>
    <x v="5"/>
    <x v="5"/>
    <x v="397"/>
    <x v="1"/>
    <x v="4"/>
    <x v="3"/>
    <x v="938"/>
    <x v="948"/>
    <x v="869"/>
    <x v="1"/>
    <x v="1"/>
  </r>
  <r>
    <x v="954"/>
    <x v="737"/>
    <x v="0"/>
    <x v="5"/>
    <x v="5"/>
    <x v="749"/>
    <x v="39"/>
    <x v="39"/>
    <x v="2"/>
    <x v="1"/>
    <x v="8"/>
    <x v="8"/>
    <x v="0"/>
    <x v="18"/>
    <x v="1"/>
    <x v="11"/>
    <x v="18"/>
    <x v="609"/>
    <x v="2"/>
    <x v="4"/>
    <x v="3"/>
    <x v="939"/>
    <x v="949"/>
    <x v="689"/>
    <x v="7"/>
    <x v="1"/>
  </r>
  <r>
    <x v="955"/>
    <x v="738"/>
    <x v="4"/>
    <x v="5"/>
    <x v="5"/>
    <x v="750"/>
    <x v="55"/>
    <x v="55"/>
    <x v="0"/>
    <x v="0"/>
    <x v="18"/>
    <x v="44"/>
    <x v="1"/>
    <x v="9"/>
    <x v="2"/>
    <x v="8"/>
    <x v="9"/>
    <x v="55"/>
    <x v="3"/>
    <x v="1"/>
    <x v="1"/>
    <x v="940"/>
    <x v="950"/>
    <x v="870"/>
    <x v="4"/>
    <x v="2"/>
  </r>
  <r>
    <x v="956"/>
    <x v="739"/>
    <x v="4"/>
    <x v="8"/>
    <x v="8"/>
    <x v="751"/>
    <x v="272"/>
    <x v="255"/>
    <x v="2"/>
    <x v="1"/>
    <x v="1"/>
    <x v="48"/>
    <x v="1"/>
    <x v="62"/>
    <x v="0"/>
    <x v="0"/>
    <x v="62"/>
    <x v="610"/>
    <x v="2"/>
    <x v="4"/>
    <x v="3"/>
    <x v="941"/>
    <x v="951"/>
    <x v="308"/>
    <x v="1"/>
    <x v="0"/>
  </r>
  <r>
    <x v="957"/>
    <x v="122"/>
    <x v="2"/>
    <x v="0"/>
    <x v="0"/>
    <x v="752"/>
    <x v="255"/>
    <x v="239"/>
    <x v="0"/>
    <x v="1"/>
    <x v="6"/>
    <x v="47"/>
    <x v="0"/>
    <x v="57"/>
    <x v="0"/>
    <x v="4"/>
    <x v="57"/>
    <x v="611"/>
    <x v="3"/>
    <x v="4"/>
    <x v="3"/>
    <x v="942"/>
    <x v="952"/>
    <x v="871"/>
    <x v="5"/>
    <x v="2"/>
  </r>
  <r>
    <x v="958"/>
    <x v="410"/>
    <x v="4"/>
    <x v="1"/>
    <x v="1"/>
    <x v="339"/>
    <x v="235"/>
    <x v="221"/>
    <x v="1"/>
    <x v="0"/>
    <x v="25"/>
    <x v="49"/>
    <x v="1"/>
    <x v="66"/>
    <x v="0"/>
    <x v="7"/>
    <x v="66"/>
    <x v="472"/>
    <x v="2"/>
    <x v="0"/>
    <x v="0"/>
    <x v="943"/>
    <x v="953"/>
    <x v="155"/>
    <x v="2"/>
    <x v="1"/>
  </r>
  <r>
    <x v="959"/>
    <x v="740"/>
    <x v="4"/>
    <x v="4"/>
    <x v="4"/>
    <x v="753"/>
    <x v="105"/>
    <x v="103"/>
    <x v="2"/>
    <x v="0"/>
    <x v="20"/>
    <x v="22"/>
    <x v="1"/>
    <x v="52"/>
    <x v="0"/>
    <x v="4"/>
    <x v="52"/>
    <x v="164"/>
    <x v="4"/>
    <x v="5"/>
    <x v="2"/>
    <x v="944"/>
    <x v="954"/>
    <x v="872"/>
    <x v="2"/>
    <x v="2"/>
  </r>
  <r>
    <x v="960"/>
    <x v="708"/>
    <x v="0"/>
    <x v="6"/>
    <x v="6"/>
    <x v="754"/>
    <x v="157"/>
    <x v="150"/>
    <x v="0"/>
    <x v="1"/>
    <x v="16"/>
    <x v="16"/>
    <x v="1"/>
    <x v="52"/>
    <x v="0"/>
    <x v="4"/>
    <x v="52"/>
    <x v="51"/>
    <x v="3"/>
    <x v="0"/>
    <x v="0"/>
    <x v="945"/>
    <x v="955"/>
    <x v="873"/>
    <x v="0"/>
    <x v="2"/>
  </r>
  <r>
    <x v="961"/>
    <x v="741"/>
    <x v="2"/>
    <x v="7"/>
    <x v="7"/>
    <x v="755"/>
    <x v="72"/>
    <x v="72"/>
    <x v="0"/>
    <x v="1"/>
    <x v="23"/>
    <x v="26"/>
    <x v="3"/>
    <x v="31"/>
    <x v="1"/>
    <x v="1"/>
    <x v="31"/>
    <x v="612"/>
    <x v="3"/>
    <x v="3"/>
    <x v="2"/>
    <x v="946"/>
    <x v="956"/>
    <x v="187"/>
    <x v="2"/>
    <x v="1"/>
  </r>
  <r>
    <x v="962"/>
    <x v="742"/>
    <x v="3"/>
    <x v="0"/>
    <x v="0"/>
    <x v="756"/>
    <x v="200"/>
    <x v="32"/>
    <x v="1"/>
    <x v="1"/>
    <x v="15"/>
    <x v="15"/>
    <x v="1"/>
    <x v="47"/>
    <x v="2"/>
    <x v="13"/>
    <x v="47"/>
    <x v="613"/>
    <x v="4"/>
    <x v="2"/>
    <x v="1"/>
    <x v="947"/>
    <x v="957"/>
    <x v="874"/>
    <x v="2"/>
    <x v="2"/>
  </r>
  <r>
    <x v="963"/>
    <x v="743"/>
    <x v="1"/>
    <x v="4"/>
    <x v="4"/>
    <x v="530"/>
    <x v="159"/>
    <x v="152"/>
    <x v="1"/>
    <x v="1"/>
    <x v="38"/>
    <x v="85"/>
    <x v="3"/>
    <x v="14"/>
    <x v="2"/>
    <x v="8"/>
    <x v="14"/>
    <x v="614"/>
    <x v="4"/>
    <x v="1"/>
    <x v="1"/>
    <x v="948"/>
    <x v="958"/>
    <x v="875"/>
    <x v="1"/>
    <x v="2"/>
  </r>
  <r>
    <x v="964"/>
    <x v="744"/>
    <x v="3"/>
    <x v="0"/>
    <x v="0"/>
    <x v="757"/>
    <x v="245"/>
    <x v="58"/>
    <x v="0"/>
    <x v="0"/>
    <x v="35"/>
    <x v="101"/>
    <x v="2"/>
    <x v="57"/>
    <x v="0"/>
    <x v="4"/>
    <x v="57"/>
    <x v="485"/>
    <x v="0"/>
    <x v="3"/>
    <x v="2"/>
    <x v="949"/>
    <x v="959"/>
    <x v="876"/>
    <x v="4"/>
    <x v="0"/>
  </r>
  <r>
    <x v="965"/>
    <x v="18"/>
    <x v="0"/>
    <x v="7"/>
    <x v="7"/>
    <x v="427"/>
    <x v="230"/>
    <x v="217"/>
    <x v="1"/>
    <x v="1"/>
    <x v="25"/>
    <x v="49"/>
    <x v="1"/>
    <x v="57"/>
    <x v="0"/>
    <x v="4"/>
    <x v="57"/>
    <x v="615"/>
    <x v="0"/>
    <x v="2"/>
    <x v="1"/>
    <x v="950"/>
    <x v="960"/>
    <x v="877"/>
    <x v="3"/>
    <x v="0"/>
  </r>
  <r>
    <x v="966"/>
    <x v="391"/>
    <x v="0"/>
    <x v="8"/>
    <x v="8"/>
    <x v="316"/>
    <x v="168"/>
    <x v="159"/>
    <x v="1"/>
    <x v="1"/>
    <x v="24"/>
    <x v="60"/>
    <x v="2"/>
    <x v="46"/>
    <x v="2"/>
    <x v="13"/>
    <x v="46"/>
    <x v="484"/>
    <x v="3"/>
    <x v="6"/>
    <x v="3"/>
    <x v="951"/>
    <x v="961"/>
    <x v="447"/>
    <x v="1"/>
    <x v="0"/>
  </r>
  <r>
    <x v="967"/>
    <x v="745"/>
    <x v="0"/>
    <x v="11"/>
    <x v="11"/>
    <x v="758"/>
    <x v="205"/>
    <x v="192"/>
    <x v="1"/>
    <x v="1"/>
    <x v="18"/>
    <x v="19"/>
    <x v="1"/>
    <x v="47"/>
    <x v="2"/>
    <x v="13"/>
    <x v="47"/>
    <x v="616"/>
    <x v="2"/>
    <x v="3"/>
    <x v="2"/>
    <x v="952"/>
    <x v="962"/>
    <x v="878"/>
    <x v="1"/>
    <x v="0"/>
  </r>
  <r>
    <x v="968"/>
    <x v="0"/>
    <x v="0"/>
    <x v="0"/>
    <x v="0"/>
    <x v="131"/>
    <x v="231"/>
    <x v="80"/>
    <x v="0"/>
    <x v="1"/>
    <x v="27"/>
    <x v="86"/>
    <x v="1"/>
    <x v="6"/>
    <x v="0"/>
    <x v="0"/>
    <x v="6"/>
    <x v="598"/>
    <x v="3"/>
    <x v="2"/>
    <x v="1"/>
    <x v="953"/>
    <x v="963"/>
    <x v="879"/>
    <x v="3"/>
    <x v="2"/>
  </r>
  <r>
    <x v="969"/>
    <x v="331"/>
    <x v="0"/>
    <x v="4"/>
    <x v="4"/>
    <x v="583"/>
    <x v="83"/>
    <x v="82"/>
    <x v="2"/>
    <x v="0"/>
    <x v="25"/>
    <x v="49"/>
    <x v="1"/>
    <x v="42"/>
    <x v="1"/>
    <x v="11"/>
    <x v="42"/>
    <x v="43"/>
    <x v="1"/>
    <x v="6"/>
    <x v="3"/>
    <x v="954"/>
    <x v="964"/>
    <x v="648"/>
    <x v="5"/>
    <x v="1"/>
  </r>
  <r>
    <x v="970"/>
    <x v="746"/>
    <x v="1"/>
    <x v="1"/>
    <x v="1"/>
    <x v="318"/>
    <x v="70"/>
    <x v="70"/>
    <x v="0"/>
    <x v="1"/>
    <x v="35"/>
    <x v="50"/>
    <x v="2"/>
    <x v="56"/>
    <x v="0"/>
    <x v="0"/>
    <x v="56"/>
    <x v="492"/>
    <x v="4"/>
    <x v="3"/>
    <x v="2"/>
    <x v="955"/>
    <x v="965"/>
    <x v="880"/>
    <x v="6"/>
    <x v="2"/>
  </r>
  <r>
    <x v="971"/>
    <x v="747"/>
    <x v="0"/>
    <x v="6"/>
    <x v="6"/>
    <x v="759"/>
    <x v="146"/>
    <x v="139"/>
    <x v="2"/>
    <x v="1"/>
    <x v="36"/>
    <x v="75"/>
    <x v="0"/>
    <x v="0"/>
    <x v="0"/>
    <x v="0"/>
    <x v="0"/>
    <x v="556"/>
    <x v="2"/>
    <x v="3"/>
    <x v="2"/>
    <x v="956"/>
    <x v="966"/>
    <x v="881"/>
    <x v="3"/>
    <x v="1"/>
  </r>
  <r>
    <x v="972"/>
    <x v="294"/>
    <x v="1"/>
    <x v="3"/>
    <x v="3"/>
    <x v="568"/>
    <x v="180"/>
    <x v="170"/>
    <x v="2"/>
    <x v="1"/>
    <x v="26"/>
    <x v="88"/>
    <x v="3"/>
    <x v="57"/>
    <x v="0"/>
    <x v="4"/>
    <x v="57"/>
    <x v="617"/>
    <x v="1"/>
    <x v="5"/>
    <x v="2"/>
    <x v="957"/>
    <x v="967"/>
    <x v="882"/>
    <x v="0"/>
    <x v="0"/>
  </r>
  <r>
    <x v="973"/>
    <x v="748"/>
    <x v="1"/>
    <x v="7"/>
    <x v="7"/>
    <x v="273"/>
    <x v="44"/>
    <x v="44"/>
    <x v="2"/>
    <x v="1"/>
    <x v="12"/>
    <x v="37"/>
    <x v="2"/>
    <x v="38"/>
    <x v="1"/>
    <x v="1"/>
    <x v="38"/>
    <x v="586"/>
    <x v="4"/>
    <x v="0"/>
    <x v="0"/>
    <x v="958"/>
    <x v="968"/>
    <x v="883"/>
    <x v="2"/>
    <x v="1"/>
  </r>
  <r>
    <x v="974"/>
    <x v="749"/>
    <x v="1"/>
    <x v="9"/>
    <x v="9"/>
    <x v="760"/>
    <x v="57"/>
    <x v="57"/>
    <x v="2"/>
    <x v="1"/>
    <x v="19"/>
    <x v="45"/>
    <x v="0"/>
    <x v="34"/>
    <x v="1"/>
    <x v="11"/>
    <x v="34"/>
    <x v="86"/>
    <x v="0"/>
    <x v="0"/>
    <x v="0"/>
    <x v="959"/>
    <x v="969"/>
    <x v="884"/>
    <x v="4"/>
    <x v="1"/>
  </r>
  <r>
    <x v="975"/>
    <x v="452"/>
    <x v="3"/>
    <x v="3"/>
    <x v="3"/>
    <x v="761"/>
    <x v="270"/>
    <x v="253"/>
    <x v="1"/>
    <x v="1"/>
    <x v="1"/>
    <x v="18"/>
    <x v="1"/>
    <x v="51"/>
    <x v="1"/>
    <x v="9"/>
    <x v="51"/>
    <x v="618"/>
    <x v="4"/>
    <x v="3"/>
    <x v="2"/>
    <x v="960"/>
    <x v="970"/>
    <x v="885"/>
    <x v="3"/>
    <x v="1"/>
  </r>
  <r>
    <x v="976"/>
    <x v="750"/>
    <x v="2"/>
    <x v="3"/>
    <x v="3"/>
    <x v="762"/>
    <x v="124"/>
    <x v="92"/>
    <x v="0"/>
    <x v="1"/>
    <x v="3"/>
    <x v="43"/>
    <x v="3"/>
    <x v="15"/>
    <x v="0"/>
    <x v="10"/>
    <x v="15"/>
    <x v="15"/>
    <x v="0"/>
    <x v="0"/>
    <x v="0"/>
    <x v="961"/>
    <x v="971"/>
    <x v="886"/>
    <x v="4"/>
    <x v="0"/>
  </r>
  <r>
    <x v="977"/>
    <x v="751"/>
    <x v="1"/>
    <x v="10"/>
    <x v="10"/>
    <x v="763"/>
    <x v="172"/>
    <x v="151"/>
    <x v="0"/>
    <x v="1"/>
    <x v="6"/>
    <x v="62"/>
    <x v="0"/>
    <x v="45"/>
    <x v="1"/>
    <x v="2"/>
    <x v="45"/>
    <x v="619"/>
    <x v="4"/>
    <x v="6"/>
    <x v="3"/>
    <x v="962"/>
    <x v="972"/>
    <x v="887"/>
    <x v="7"/>
    <x v="1"/>
  </r>
  <r>
    <x v="978"/>
    <x v="193"/>
    <x v="1"/>
    <x v="7"/>
    <x v="7"/>
    <x v="764"/>
    <x v="157"/>
    <x v="150"/>
    <x v="0"/>
    <x v="1"/>
    <x v="16"/>
    <x v="16"/>
    <x v="1"/>
    <x v="61"/>
    <x v="1"/>
    <x v="2"/>
    <x v="61"/>
    <x v="322"/>
    <x v="2"/>
    <x v="0"/>
    <x v="0"/>
    <x v="963"/>
    <x v="973"/>
    <x v="888"/>
    <x v="5"/>
    <x v="1"/>
  </r>
  <r>
    <x v="979"/>
    <x v="752"/>
    <x v="0"/>
    <x v="7"/>
    <x v="7"/>
    <x v="354"/>
    <x v="60"/>
    <x v="60"/>
    <x v="0"/>
    <x v="0"/>
    <x v="33"/>
    <x v="42"/>
    <x v="2"/>
    <x v="51"/>
    <x v="1"/>
    <x v="9"/>
    <x v="51"/>
    <x v="620"/>
    <x v="0"/>
    <x v="6"/>
    <x v="3"/>
    <x v="964"/>
    <x v="974"/>
    <x v="889"/>
    <x v="5"/>
    <x v="1"/>
  </r>
  <r>
    <x v="980"/>
    <x v="446"/>
    <x v="4"/>
    <x v="8"/>
    <x v="8"/>
    <x v="765"/>
    <x v="222"/>
    <x v="210"/>
    <x v="0"/>
    <x v="1"/>
    <x v="34"/>
    <x v="95"/>
    <x v="3"/>
    <x v="17"/>
    <x v="1"/>
    <x v="9"/>
    <x v="17"/>
    <x v="285"/>
    <x v="2"/>
    <x v="5"/>
    <x v="2"/>
    <x v="334"/>
    <x v="975"/>
    <x v="890"/>
    <x v="0"/>
    <x v="1"/>
  </r>
  <r>
    <x v="981"/>
    <x v="740"/>
    <x v="4"/>
    <x v="4"/>
    <x v="4"/>
    <x v="766"/>
    <x v="65"/>
    <x v="65"/>
    <x v="1"/>
    <x v="1"/>
    <x v="18"/>
    <x v="44"/>
    <x v="1"/>
    <x v="31"/>
    <x v="1"/>
    <x v="1"/>
    <x v="31"/>
    <x v="84"/>
    <x v="0"/>
    <x v="0"/>
    <x v="0"/>
    <x v="965"/>
    <x v="976"/>
    <x v="891"/>
    <x v="3"/>
    <x v="1"/>
  </r>
  <r>
    <x v="982"/>
    <x v="753"/>
    <x v="0"/>
    <x v="1"/>
    <x v="1"/>
    <x v="747"/>
    <x v="246"/>
    <x v="231"/>
    <x v="0"/>
    <x v="1"/>
    <x v="1"/>
    <x v="18"/>
    <x v="1"/>
    <x v="25"/>
    <x v="2"/>
    <x v="13"/>
    <x v="25"/>
    <x v="475"/>
    <x v="3"/>
    <x v="5"/>
    <x v="2"/>
    <x v="966"/>
    <x v="977"/>
    <x v="892"/>
    <x v="6"/>
    <x v="2"/>
  </r>
  <r>
    <x v="983"/>
    <x v="754"/>
    <x v="3"/>
    <x v="11"/>
    <x v="11"/>
    <x v="767"/>
    <x v="75"/>
    <x v="75"/>
    <x v="0"/>
    <x v="1"/>
    <x v="2"/>
    <x v="52"/>
    <x v="2"/>
    <x v="13"/>
    <x v="1"/>
    <x v="2"/>
    <x v="13"/>
    <x v="621"/>
    <x v="3"/>
    <x v="6"/>
    <x v="3"/>
    <x v="967"/>
    <x v="978"/>
    <x v="893"/>
    <x v="2"/>
    <x v="1"/>
  </r>
  <r>
    <x v="984"/>
    <x v="755"/>
    <x v="2"/>
    <x v="4"/>
    <x v="4"/>
    <x v="107"/>
    <x v="30"/>
    <x v="30"/>
    <x v="2"/>
    <x v="0"/>
    <x v="0"/>
    <x v="25"/>
    <x v="0"/>
    <x v="23"/>
    <x v="2"/>
    <x v="6"/>
    <x v="23"/>
    <x v="12"/>
    <x v="3"/>
    <x v="0"/>
    <x v="0"/>
    <x v="968"/>
    <x v="979"/>
    <x v="894"/>
    <x v="7"/>
    <x v="0"/>
  </r>
  <r>
    <x v="985"/>
    <x v="756"/>
    <x v="3"/>
    <x v="0"/>
    <x v="0"/>
    <x v="576"/>
    <x v="25"/>
    <x v="25"/>
    <x v="1"/>
    <x v="0"/>
    <x v="6"/>
    <x v="6"/>
    <x v="0"/>
    <x v="40"/>
    <x v="0"/>
    <x v="10"/>
    <x v="40"/>
    <x v="241"/>
    <x v="0"/>
    <x v="5"/>
    <x v="2"/>
    <x v="969"/>
    <x v="980"/>
    <x v="895"/>
    <x v="0"/>
    <x v="0"/>
  </r>
  <r>
    <x v="986"/>
    <x v="757"/>
    <x v="0"/>
    <x v="9"/>
    <x v="9"/>
    <x v="768"/>
    <x v="204"/>
    <x v="191"/>
    <x v="2"/>
    <x v="0"/>
    <x v="10"/>
    <x v="78"/>
    <x v="0"/>
    <x v="31"/>
    <x v="1"/>
    <x v="1"/>
    <x v="31"/>
    <x v="508"/>
    <x v="1"/>
    <x v="0"/>
    <x v="0"/>
    <x v="970"/>
    <x v="981"/>
    <x v="896"/>
    <x v="3"/>
    <x v="1"/>
  </r>
  <r>
    <x v="987"/>
    <x v="758"/>
    <x v="2"/>
    <x v="11"/>
    <x v="11"/>
    <x v="769"/>
    <x v="165"/>
    <x v="157"/>
    <x v="0"/>
    <x v="1"/>
    <x v="32"/>
    <x v="87"/>
    <x v="0"/>
    <x v="52"/>
    <x v="0"/>
    <x v="4"/>
    <x v="52"/>
    <x v="77"/>
    <x v="4"/>
    <x v="0"/>
    <x v="0"/>
    <x v="971"/>
    <x v="982"/>
    <x v="897"/>
    <x v="5"/>
    <x v="2"/>
  </r>
  <r>
    <x v="988"/>
    <x v="759"/>
    <x v="3"/>
    <x v="2"/>
    <x v="2"/>
    <x v="770"/>
    <x v="268"/>
    <x v="251"/>
    <x v="2"/>
    <x v="0"/>
    <x v="0"/>
    <x v="0"/>
    <x v="0"/>
    <x v="30"/>
    <x v="0"/>
    <x v="10"/>
    <x v="30"/>
    <x v="23"/>
    <x v="2"/>
    <x v="0"/>
    <x v="0"/>
    <x v="972"/>
    <x v="983"/>
    <x v="898"/>
    <x v="0"/>
    <x v="0"/>
  </r>
  <r>
    <x v="989"/>
    <x v="760"/>
    <x v="2"/>
    <x v="9"/>
    <x v="9"/>
    <x v="771"/>
    <x v="37"/>
    <x v="37"/>
    <x v="0"/>
    <x v="0"/>
    <x v="27"/>
    <x v="32"/>
    <x v="1"/>
    <x v="3"/>
    <x v="2"/>
    <x v="3"/>
    <x v="3"/>
    <x v="622"/>
    <x v="2"/>
    <x v="1"/>
    <x v="1"/>
    <x v="973"/>
    <x v="984"/>
    <x v="888"/>
    <x v="0"/>
    <x v="0"/>
  </r>
  <r>
    <x v="990"/>
    <x v="761"/>
    <x v="1"/>
    <x v="0"/>
    <x v="0"/>
    <x v="504"/>
    <x v="173"/>
    <x v="163"/>
    <x v="2"/>
    <x v="1"/>
    <x v="18"/>
    <x v="84"/>
    <x v="1"/>
    <x v="25"/>
    <x v="2"/>
    <x v="13"/>
    <x v="25"/>
    <x v="623"/>
    <x v="1"/>
    <x v="5"/>
    <x v="2"/>
    <x v="974"/>
    <x v="985"/>
    <x v="899"/>
    <x v="7"/>
    <x v="2"/>
  </r>
  <r>
    <x v="991"/>
    <x v="270"/>
    <x v="3"/>
    <x v="7"/>
    <x v="7"/>
    <x v="272"/>
    <x v="281"/>
    <x v="263"/>
    <x v="1"/>
    <x v="1"/>
    <x v="15"/>
    <x v="34"/>
    <x v="1"/>
    <x v="15"/>
    <x v="0"/>
    <x v="10"/>
    <x v="15"/>
    <x v="451"/>
    <x v="0"/>
    <x v="2"/>
    <x v="1"/>
    <x v="975"/>
    <x v="986"/>
    <x v="361"/>
    <x v="4"/>
    <x v="0"/>
  </r>
  <r>
    <x v="992"/>
    <x v="762"/>
    <x v="3"/>
    <x v="9"/>
    <x v="9"/>
    <x v="772"/>
    <x v="160"/>
    <x v="153"/>
    <x v="1"/>
    <x v="1"/>
    <x v="1"/>
    <x v="1"/>
    <x v="1"/>
    <x v="50"/>
    <x v="2"/>
    <x v="3"/>
    <x v="50"/>
    <x v="412"/>
    <x v="4"/>
    <x v="5"/>
    <x v="2"/>
    <x v="976"/>
    <x v="987"/>
    <x v="900"/>
    <x v="4"/>
    <x v="0"/>
  </r>
  <r>
    <x v="993"/>
    <x v="763"/>
    <x v="0"/>
    <x v="10"/>
    <x v="10"/>
    <x v="773"/>
    <x v="121"/>
    <x v="119"/>
    <x v="1"/>
    <x v="1"/>
    <x v="19"/>
    <x v="39"/>
    <x v="0"/>
    <x v="24"/>
    <x v="0"/>
    <x v="4"/>
    <x v="24"/>
    <x v="34"/>
    <x v="2"/>
    <x v="4"/>
    <x v="3"/>
    <x v="977"/>
    <x v="988"/>
    <x v="901"/>
    <x v="0"/>
    <x v="0"/>
  </r>
  <r>
    <x v="994"/>
    <x v="755"/>
    <x v="2"/>
    <x v="4"/>
    <x v="4"/>
    <x v="107"/>
    <x v="116"/>
    <x v="114"/>
    <x v="0"/>
    <x v="1"/>
    <x v="10"/>
    <x v="10"/>
    <x v="0"/>
    <x v="16"/>
    <x v="1"/>
    <x v="1"/>
    <x v="16"/>
    <x v="349"/>
    <x v="3"/>
    <x v="3"/>
    <x v="2"/>
    <x v="978"/>
    <x v="989"/>
    <x v="902"/>
    <x v="7"/>
    <x v="0"/>
  </r>
  <r>
    <x v="995"/>
    <x v="764"/>
    <x v="4"/>
    <x v="6"/>
    <x v="6"/>
    <x v="774"/>
    <x v="256"/>
    <x v="240"/>
    <x v="2"/>
    <x v="1"/>
    <x v="33"/>
    <x v="103"/>
    <x v="2"/>
    <x v="48"/>
    <x v="2"/>
    <x v="6"/>
    <x v="48"/>
    <x v="624"/>
    <x v="2"/>
    <x v="0"/>
    <x v="0"/>
    <x v="979"/>
    <x v="990"/>
    <x v="903"/>
    <x v="2"/>
    <x v="0"/>
  </r>
  <r>
    <x v="996"/>
    <x v="765"/>
    <x v="3"/>
    <x v="8"/>
    <x v="8"/>
    <x v="654"/>
    <x v="284"/>
    <x v="66"/>
    <x v="1"/>
    <x v="1"/>
    <x v="29"/>
    <x v="16"/>
    <x v="1"/>
    <x v="44"/>
    <x v="2"/>
    <x v="5"/>
    <x v="44"/>
    <x v="625"/>
    <x v="0"/>
    <x v="1"/>
    <x v="1"/>
    <x v="980"/>
    <x v="991"/>
    <x v="904"/>
    <x v="4"/>
    <x v="0"/>
  </r>
  <r>
    <x v="997"/>
    <x v="766"/>
    <x v="3"/>
    <x v="11"/>
    <x v="11"/>
    <x v="775"/>
    <x v="237"/>
    <x v="223"/>
    <x v="1"/>
    <x v="1"/>
    <x v="14"/>
    <x v="40"/>
    <x v="3"/>
    <x v="35"/>
    <x v="0"/>
    <x v="4"/>
    <x v="35"/>
    <x v="626"/>
    <x v="2"/>
    <x v="4"/>
    <x v="3"/>
    <x v="981"/>
    <x v="992"/>
    <x v="905"/>
    <x v="3"/>
    <x v="1"/>
  </r>
  <r>
    <x v="998"/>
    <x v="0"/>
    <x v="0"/>
    <x v="0"/>
    <x v="0"/>
    <x v="0"/>
    <x v="257"/>
    <x v="181"/>
    <x v="0"/>
    <x v="1"/>
    <x v="34"/>
    <x v="95"/>
    <x v="3"/>
    <x v="32"/>
    <x v="2"/>
    <x v="13"/>
    <x v="32"/>
    <x v="627"/>
    <x v="0"/>
    <x v="3"/>
    <x v="2"/>
    <x v="982"/>
    <x v="993"/>
    <x v="906"/>
    <x v="2"/>
    <x v="0"/>
  </r>
  <r>
    <x v="999"/>
    <x v="767"/>
    <x v="4"/>
    <x v="4"/>
    <x v="4"/>
    <x v="372"/>
    <x v="32"/>
    <x v="32"/>
    <x v="1"/>
    <x v="1"/>
    <x v="24"/>
    <x v="27"/>
    <x v="2"/>
    <x v="1"/>
    <x v="1"/>
    <x v="1"/>
    <x v="1"/>
    <x v="111"/>
    <x v="1"/>
    <x v="0"/>
    <x v="0"/>
    <x v="983"/>
    <x v="994"/>
    <x v="907"/>
    <x v="5"/>
    <x v="1"/>
  </r>
  <r>
    <x v="1000"/>
    <x v="768"/>
    <x v="1"/>
    <x v="11"/>
    <x v="11"/>
    <x v="575"/>
    <x v="130"/>
    <x v="127"/>
    <x v="1"/>
    <x v="1"/>
    <x v="29"/>
    <x v="68"/>
    <x v="1"/>
    <x v="12"/>
    <x v="0"/>
    <x v="7"/>
    <x v="12"/>
    <x v="175"/>
    <x v="1"/>
    <x v="0"/>
    <x v="0"/>
    <x v="984"/>
    <x v="995"/>
    <x v="908"/>
    <x v="0"/>
    <x v="0"/>
  </r>
  <r>
    <x v="1001"/>
    <x v="20"/>
    <x v="0"/>
    <x v="10"/>
    <x v="10"/>
    <x v="776"/>
    <x v="71"/>
    <x v="71"/>
    <x v="2"/>
    <x v="1"/>
    <x v="4"/>
    <x v="41"/>
    <x v="0"/>
    <x v="36"/>
    <x v="0"/>
    <x v="10"/>
    <x v="36"/>
    <x v="454"/>
    <x v="2"/>
    <x v="3"/>
    <x v="2"/>
    <x v="985"/>
    <x v="996"/>
    <x v="909"/>
    <x v="7"/>
    <x v="0"/>
  </r>
  <r>
    <x v="1002"/>
    <x v="159"/>
    <x v="3"/>
    <x v="11"/>
    <x v="11"/>
    <x v="777"/>
    <x v="200"/>
    <x v="32"/>
    <x v="1"/>
    <x v="1"/>
    <x v="15"/>
    <x v="15"/>
    <x v="1"/>
    <x v="15"/>
    <x v="0"/>
    <x v="10"/>
    <x v="15"/>
    <x v="628"/>
    <x v="1"/>
    <x v="2"/>
    <x v="1"/>
    <x v="986"/>
    <x v="997"/>
    <x v="910"/>
    <x v="5"/>
    <x v="0"/>
  </r>
  <r>
    <x v="1003"/>
    <x v="769"/>
    <x v="4"/>
    <x v="7"/>
    <x v="7"/>
    <x v="187"/>
    <x v="139"/>
    <x v="9"/>
    <x v="2"/>
    <x v="1"/>
    <x v="24"/>
    <x v="80"/>
    <x v="2"/>
    <x v="4"/>
    <x v="0"/>
    <x v="4"/>
    <x v="4"/>
    <x v="377"/>
    <x v="2"/>
    <x v="5"/>
    <x v="2"/>
    <x v="987"/>
    <x v="998"/>
    <x v="911"/>
    <x v="3"/>
    <x v="0"/>
  </r>
  <r>
    <x v="1004"/>
    <x v="770"/>
    <x v="2"/>
    <x v="3"/>
    <x v="3"/>
    <x v="599"/>
    <x v="276"/>
    <x v="258"/>
    <x v="0"/>
    <x v="1"/>
    <x v="15"/>
    <x v="77"/>
    <x v="1"/>
    <x v="40"/>
    <x v="0"/>
    <x v="10"/>
    <x v="40"/>
    <x v="241"/>
    <x v="0"/>
    <x v="5"/>
    <x v="2"/>
    <x v="988"/>
    <x v="999"/>
    <x v="912"/>
    <x v="6"/>
    <x v="0"/>
  </r>
  <r>
    <x v="1005"/>
    <x v="771"/>
    <x v="1"/>
    <x v="3"/>
    <x v="3"/>
    <x v="295"/>
    <x v="159"/>
    <x v="152"/>
    <x v="1"/>
    <x v="1"/>
    <x v="38"/>
    <x v="85"/>
    <x v="3"/>
    <x v="12"/>
    <x v="0"/>
    <x v="7"/>
    <x v="12"/>
    <x v="302"/>
    <x v="4"/>
    <x v="0"/>
    <x v="0"/>
    <x v="989"/>
    <x v="1000"/>
    <x v="913"/>
    <x v="7"/>
    <x v="1"/>
  </r>
  <r>
    <x v="1006"/>
    <x v="273"/>
    <x v="1"/>
    <x v="6"/>
    <x v="6"/>
    <x v="308"/>
    <x v="250"/>
    <x v="234"/>
    <x v="2"/>
    <x v="1"/>
    <x v="25"/>
    <x v="49"/>
    <x v="1"/>
    <x v="36"/>
    <x v="0"/>
    <x v="10"/>
    <x v="36"/>
    <x v="622"/>
    <x v="2"/>
    <x v="1"/>
    <x v="1"/>
    <x v="990"/>
    <x v="1001"/>
    <x v="619"/>
    <x v="6"/>
    <x v="0"/>
  </r>
  <r>
    <x v="1007"/>
    <x v="772"/>
    <x v="3"/>
    <x v="9"/>
    <x v="9"/>
    <x v="705"/>
    <x v="251"/>
    <x v="235"/>
    <x v="2"/>
    <x v="1"/>
    <x v="25"/>
    <x v="57"/>
    <x v="1"/>
    <x v="56"/>
    <x v="0"/>
    <x v="0"/>
    <x v="56"/>
    <x v="327"/>
    <x v="0"/>
    <x v="1"/>
    <x v="1"/>
    <x v="991"/>
    <x v="1002"/>
    <x v="914"/>
    <x v="4"/>
    <x v="2"/>
  </r>
  <r>
    <x v="1008"/>
    <x v="773"/>
    <x v="2"/>
    <x v="0"/>
    <x v="0"/>
    <x v="734"/>
    <x v="121"/>
    <x v="119"/>
    <x v="1"/>
    <x v="1"/>
    <x v="19"/>
    <x v="39"/>
    <x v="0"/>
    <x v="28"/>
    <x v="0"/>
    <x v="12"/>
    <x v="28"/>
    <x v="629"/>
    <x v="2"/>
    <x v="1"/>
    <x v="1"/>
    <x v="992"/>
    <x v="1003"/>
    <x v="915"/>
    <x v="0"/>
    <x v="0"/>
  </r>
  <r>
    <x v="1009"/>
    <x v="774"/>
    <x v="0"/>
    <x v="8"/>
    <x v="8"/>
    <x v="778"/>
    <x v="284"/>
    <x v="66"/>
    <x v="1"/>
    <x v="1"/>
    <x v="29"/>
    <x v="16"/>
    <x v="1"/>
    <x v="58"/>
    <x v="2"/>
    <x v="5"/>
    <x v="58"/>
    <x v="630"/>
    <x v="4"/>
    <x v="0"/>
    <x v="0"/>
    <x v="993"/>
    <x v="1004"/>
    <x v="95"/>
    <x v="6"/>
    <x v="0"/>
  </r>
  <r>
    <x v="1010"/>
    <x v="775"/>
    <x v="3"/>
    <x v="7"/>
    <x v="7"/>
    <x v="481"/>
    <x v="143"/>
    <x v="136"/>
    <x v="2"/>
    <x v="1"/>
    <x v="6"/>
    <x v="47"/>
    <x v="0"/>
    <x v="47"/>
    <x v="2"/>
    <x v="13"/>
    <x v="47"/>
    <x v="281"/>
    <x v="3"/>
    <x v="0"/>
    <x v="0"/>
    <x v="994"/>
    <x v="1005"/>
    <x v="916"/>
    <x v="5"/>
    <x v="2"/>
  </r>
  <r>
    <x v="1011"/>
    <x v="208"/>
    <x v="2"/>
    <x v="9"/>
    <x v="9"/>
    <x v="779"/>
    <x v="120"/>
    <x v="118"/>
    <x v="1"/>
    <x v="0"/>
    <x v="19"/>
    <x v="45"/>
    <x v="0"/>
    <x v="20"/>
    <x v="1"/>
    <x v="9"/>
    <x v="20"/>
    <x v="80"/>
    <x v="3"/>
    <x v="0"/>
    <x v="0"/>
    <x v="995"/>
    <x v="1006"/>
    <x v="917"/>
    <x v="2"/>
    <x v="1"/>
  </r>
  <r>
    <x v="1012"/>
    <x v="776"/>
    <x v="0"/>
    <x v="10"/>
    <x v="10"/>
    <x v="780"/>
    <x v="5"/>
    <x v="5"/>
    <x v="2"/>
    <x v="0"/>
    <x v="4"/>
    <x v="4"/>
    <x v="0"/>
    <x v="20"/>
    <x v="1"/>
    <x v="9"/>
    <x v="20"/>
    <x v="284"/>
    <x v="1"/>
    <x v="2"/>
    <x v="1"/>
    <x v="996"/>
    <x v="1007"/>
    <x v="490"/>
    <x v="5"/>
    <x v="1"/>
  </r>
  <r>
    <x v="1013"/>
    <x v="680"/>
    <x v="2"/>
    <x v="6"/>
    <x v="6"/>
    <x v="781"/>
    <x v="227"/>
    <x v="54"/>
    <x v="1"/>
    <x v="1"/>
    <x v="10"/>
    <x v="10"/>
    <x v="0"/>
    <x v="23"/>
    <x v="2"/>
    <x v="6"/>
    <x v="23"/>
    <x v="291"/>
    <x v="4"/>
    <x v="2"/>
    <x v="1"/>
    <x v="997"/>
    <x v="1008"/>
    <x v="255"/>
    <x v="1"/>
    <x v="1"/>
  </r>
  <r>
    <x v="1014"/>
    <x v="777"/>
    <x v="1"/>
    <x v="3"/>
    <x v="3"/>
    <x v="782"/>
    <x v="278"/>
    <x v="260"/>
    <x v="2"/>
    <x v="1"/>
    <x v="23"/>
    <x v="26"/>
    <x v="3"/>
    <x v="23"/>
    <x v="2"/>
    <x v="6"/>
    <x v="23"/>
    <x v="16"/>
    <x v="2"/>
    <x v="0"/>
    <x v="0"/>
    <x v="924"/>
    <x v="1009"/>
    <x v="918"/>
    <x v="5"/>
    <x v="1"/>
  </r>
  <r>
    <x v="1015"/>
    <x v="123"/>
    <x v="1"/>
    <x v="10"/>
    <x v="10"/>
    <x v="379"/>
    <x v="160"/>
    <x v="153"/>
    <x v="1"/>
    <x v="1"/>
    <x v="1"/>
    <x v="1"/>
    <x v="1"/>
    <x v="65"/>
    <x v="0"/>
    <x v="10"/>
    <x v="65"/>
    <x v="202"/>
    <x v="1"/>
    <x v="0"/>
    <x v="0"/>
    <x v="998"/>
    <x v="1010"/>
    <x v="919"/>
    <x v="6"/>
    <x v="2"/>
  </r>
  <r>
    <x v="1016"/>
    <x v="778"/>
    <x v="3"/>
    <x v="11"/>
    <x v="11"/>
    <x v="783"/>
    <x v="30"/>
    <x v="30"/>
    <x v="2"/>
    <x v="0"/>
    <x v="0"/>
    <x v="25"/>
    <x v="0"/>
    <x v="9"/>
    <x v="2"/>
    <x v="8"/>
    <x v="9"/>
    <x v="77"/>
    <x v="1"/>
    <x v="3"/>
    <x v="2"/>
    <x v="999"/>
    <x v="1011"/>
    <x v="920"/>
    <x v="6"/>
    <x v="2"/>
  </r>
  <r>
    <x v="1017"/>
    <x v="779"/>
    <x v="4"/>
    <x v="6"/>
    <x v="6"/>
    <x v="784"/>
    <x v="156"/>
    <x v="149"/>
    <x v="2"/>
    <x v="1"/>
    <x v="18"/>
    <x v="84"/>
    <x v="1"/>
    <x v="64"/>
    <x v="1"/>
    <x v="11"/>
    <x v="64"/>
    <x v="419"/>
    <x v="0"/>
    <x v="1"/>
    <x v="1"/>
    <x v="1000"/>
    <x v="1012"/>
    <x v="921"/>
    <x v="2"/>
    <x v="1"/>
  </r>
  <r>
    <x v="1018"/>
    <x v="780"/>
    <x v="2"/>
    <x v="6"/>
    <x v="6"/>
    <x v="536"/>
    <x v="199"/>
    <x v="123"/>
    <x v="1"/>
    <x v="1"/>
    <x v="18"/>
    <x v="84"/>
    <x v="1"/>
    <x v="13"/>
    <x v="1"/>
    <x v="2"/>
    <x v="13"/>
    <x v="631"/>
    <x v="2"/>
    <x v="5"/>
    <x v="2"/>
    <x v="138"/>
    <x v="1013"/>
    <x v="922"/>
    <x v="7"/>
    <x v="1"/>
  </r>
  <r>
    <x v="1019"/>
    <x v="781"/>
    <x v="1"/>
    <x v="1"/>
    <x v="1"/>
    <x v="785"/>
    <x v="276"/>
    <x v="258"/>
    <x v="0"/>
    <x v="1"/>
    <x v="15"/>
    <x v="77"/>
    <x v="1"/>
    <x v="66"/>
    <x v="0"/>
    <x v="7"/>
    <x v="66"/>
    <x v="632"/>
    <x v="3"/>
    <x v="2"/>
    <x v="1"/>
    <x v="1001"/>
    <x v="1014"/>
    <x v="923"/>
    <x v="7"/>
    <x v="0"/>
  </r>
  <r>
    <x v="1020"/>
    <x v="782"/>
    <x v="0"/>
    <x v="0"/>
    <x v="0"/>
    <x v="786"/>
    <x v="75"/>
    <x v="75"/>
    <x v="0"/>
    <x v="1"/>
    <x v="2"/>
    <x v="52"/>
    <x v="2"/>
    <x v="2"/>
    <x v="1"/>
    <x v="2"/>
    <x v="2"/>
    <x v="415"/>
    <x v="0"/>
    <x v="0"/>
    <x v="0"/>
    <x v="1002"/>
    <x v="1015"/>
    <x v="924"/>
    <x v="2"/>
    <x v="1"/>
  </r>
  <r>
    <x v="1021"/>
    <x v="783"/>
    <x v="4"/>
    <x v="1"/>
    <x v="1"/>
    <x v="787"/>
    <x v="274"/>
    <x v="204"/>
    <x v="1"/>
    <x v="1"/>
    <x v="6"/>
    <x v="62"/>
    <x v="0"/>
    <x v="64"/>
    <x v="1"/>
    <x v="11"/>
    <x v="64"/>
    <x v="110"/>
    <x v="3"/>
    <x v="4"/>
    <x v="3"/>
    <x v="1003"/>
    <x v="1016"/>
    <x v="925"/>
    <x v="1"/>
    <x v="0"/>
  </r>
  <r>
    <x v="1022"/>
    <x v="383"/>
    <x v="0"/>
    <x v="10"/>
    <x v="10"/>
    <x v="788"/>
    <x v="19"/>
    <x v="19"/>
    <x v="1"/>
    <x v="1"/>
    <x v="17"/>
    <x v="17"/>
    <x v="0"/>
    <x v="24"/>
    <x v="0"/>
    <x v="4"/>
    <x v="24"/>
    <x v="633"/>
    <x v="2"/>
    <x v="6"/>
    <x v="3"/>
    <x v="1004"/>
    <x v="1017"/>
    <x v="926"/>
    <x v="1"/>
    <x v="1"/>
  </r>
  <r>
    <x v="1023"/>
    <x v="784"/>
    <x v="2"/>
    <x v="9"/>
    <x v="9"/>
    <x v="779"/>
    <x v="273"/>
    <x v="256"/>
    <x v="2"/>
    <x v="1"/>
    <x v="18"/>
    <x v="84"/>
    <x v="1"/>
    <x v="5"/>
    <x v="2"/>
    <x v="5"/>
    <x v="5"/>
    <x v="264"/>
    <x v="4"/>
    <x v="4"/>
    <x v="3"/>
    <x v="1005"/>
    <x v="1018"/>
    <x v="927"/>
    <x v="5"/>
    <x v="1"/>
  </r>
  <r>
    <x v="1024"/>
    <x v="708"/>
    <x v="0"/>
    <x v="6"/>
    <x v="6"/>
    <x v="717"/>
    <x v="108"/>
    <x v="106"/>
    <x v="1"/>
    <x v="1"/>
    <x v="9"/>
    <x v="68"/>
    <x v="2"/>
    <x v="6"/>
    <x v="0"/>
    <x v="0"/>
    <x v="6"/>
    <x v="634"/>
    <x v="1"/>
    <x v="6"/>
    <x v="3"/>
    <x v="1006"/>
    <x v="1019"/>
    <x v="593"/>
    <x v="1"/>
    <x v="2"/>
  </r>
  <r>
    <x v="1025"/>
    <x v="785"/>
    <x v="0"/>
    <x v="10"/>
    <x v="10"/>
    <x v="789"/>
    <x v="199"/>
    <x v="123"/>
    <x v="1"/>
    <x v="1"/>
    <x v="18"/>
    <x v="84"/>
    <x v="1"/>
    <x v="55"/>
    <x v="2"/>
    <x v="8"/>
    <x v="55"/>
    <x v="635"/>
    <x v="2"/>
    <x v="6"/>
    <x v="3"/>
    <x v="1007"/>
    <x v="1020"/>
    <x v="928"/>
    <x v="3"/>
    <x v="0"/>
  </r>
  <r>
    <x v="1026"/>
    <x v="786"/>
    <x v="2"/>
    <x v="1"/>
    <x v="1"/>
    <x v="790"/>
    <x v="161"/>
    <x v="154"/>
    <x v="1"/>
    <x v="0"/>
    <x v="2"/>
    <x v="52"/>
    <x v="2"/>
    <x v="60"/>
    <x v="0"/>
    <x v="12"/>
    <x v="60"/>
    <x v="636"/>
    <x v="3"/>
    <x v="1"/>
    <x v="1"/>
    <x v="1008"/>
    <x v="1021"/>
    <x v="929"/>
    <x v="2"/>
    <x v="2"/>
  </r>
  <r>
    <x v="1027"/>
    <x v="399"/>
    <x v="0"/>
    <x v="4"/>
    <x v="4"/>
    <x v="791"/>
    <x v="7"/>
    <x v="7"/>
    <x v="2"/>
    <x v="1"/>
    <x v="6"/>
    <x v="6"/>
    <x v="0"/>
    <x v="48"/>
    <x v="2"/>
    <x v="6"/>
    <x v="48"/>
    <x v="469"/>
    <x v="4"/>
    <x v="2"/>
    <x v="1"/>
    <x v="1009"/>
    <x v="1022"/>
    <x v="930"/>
    <x v="4"/>
    <x v="0"/>
  </r>
  <r>
    <x v="1028"/>
    <x v="787"/>
    <x v="0"/>
    <x v="9"/>
    <x v="9"/>
    <x v="792"/>
    <x v="100"/>
    <x v="98"/>
    <x v="0"/>
    <x v="1"/>
    <x v="11"/>
    <x v="63"/>
    <x v="0"/>
    <x v="40"/>
    <x v="0"/>
    <x v="10"/>
    <x v="40"/>
    <x v="450"/>
    <x v="3"/>
    <x v="0"/>
    <x v="0"/>
    <x v="1010"/>
    <x v="1023"/>
    <x v="931"/>
    <x v="7"/>
    <x v="2"/>
  </r>
  <r>
    <x v="1029"/>
    <x v="461"/>
    <x v="4"/>
    <x v="1"/>
    <x v="1"/>
    <x v="793"/>
    <x v="28"/>
    <x v="28"/>
    <x v="2"/>
    <x v="1"/>
    <x v="21"/>
    <x v="23"/>
    <x v="1"/>
    <x v="48"/>
    <x v="2"/>
    <x v="6"/>
    <x v="48"/>
    <x v="392"/>
    <x v="0"/>
    <x v="6"/>
    <x v="3"/>
    <x v="1011"/>
    <x v="1024"/>
    <x v="932"/>
    <x v="3"/>
    <x v="0"/>
  </r>
  <r>
    <x v="1030"/>
    <x v="549"/>
    <x v="1"/>
    <x v="9"/>
    <x v="9"/>
    <x v="554"/>
    <x v="241"/>
    <x v="227"/>
    <x v="0"/>
    <x v="0"/>
    <x v="9"/>
    <x v="81"/>
    <x v="2"/>
    <x v="59"/>
    <x v="1"/>
    <x v="1"/>
    <x v="59"/>
    <x v="128"/>
    <x v="0"/>
    <x v="6"/>
    <x v="3"/>
    <x v="753"/>
    <x v="1025"/>
    <x v="933"/>
    <x v="5"/>
    <x v="1"/>
  </r>
  <r>
    <x v="1031"/>
    <x v="788"/>
    <x v="1"/>
    <x v="4"/>
    <x v="4"/>
    <x v="244"/>
    <x v="235"/>
    <x v="221"/>
    <x v="1"/>
    <x v="0"/>
    <x v="25"/>
    <x v="49"/>
    <x v="1"/>
    <x v="3"/>
    <x v="2"/>
    <x v="3"/>
    <x v="3"/>
    <x v="185"/>
    <x v="1"/>
    <x v="6"/>
    <x v="3"/>
    <x v="1012"/>
    <x v="1026"/>
    <x v="536"/>
    <x v="2"/>
    <x v="2"/>
  </r>
  <r>
    <x v="1032"/>
    <x v="789"/>
    <x v="2"/>
    <x v="8"/>
    <x v="8"/>
    <x v="794"/>
    <x v="282"/>
    <x v="72"/>
    <x v="2"/>
    <x v="1"/>
    <x v="21"/>
    <x v="79"/>
    <x v="1"/>
    <x v="47"/>
    <x v="2"/>
    <x v="13"/>
    <x v="47"/>
    <x v="637"/>
    <x v="0"/>
    <x v="3"/>
    <x v="2"/>
    <x v="1013"/>
    <x v="1027"/>
    <x v="934"/>
    <x v="1"/>
    <x v="0"/>
  </r>
  <r>
    <x v="1033"/>
    <x v="347"/>
    <x v="4"/>
    <x v="5"/>
    <x v="5"/>
    <x v="605"/>
    <x v="227"/>
    <x v="54"/>
    <x v="1"/>
    <x v="1"/>
    <x v="10"/>
    <x v="10"/>
    <x v="0"/>
    <x v="58"/>
    <x v="2"/>
    <x v="5"/>
    <x v="58"/>
    <x v="638"/>
    <x v="4"/>
    <x v="5"/>
    <x v="2"/>
    <x v="1014"/>
    <x v="1028"/>
    <x v="283"/>
    <x v="4"/>
    <x v="0"/>
  </r>
  <r>
    <x v="1034"/>
    <x v="577"/>
    <x v="3"/>
    <x v="2"/>
    <x v="2"/>
    <x v="576"/>
    <x v="167"/>
    <x v="158"/>
    <x v="0"/>
    <x v="1"/>
    <x v="32"/>
    <x v="87"/>
    <x v="0"/>
    <x v="41"/>
    <x v="2"/>
    <x v="8"/>
    <x v="41"/>
    <x v="639"/>
    <x v="1"/>
    <x v="6"/>
    <x v="3"/>
    <x v="1015"/>
    <x v="1029"/>
    <x v="935"/>
    <x v="2"/>
    <x v="2"/>
  </r>
  <r>
    <x v="1035"/>
    <x v="24"/>
    <x v="2"/>
    <x v="0"/>
    <x v="0"/>
    <x v="24"/>
    <x v="74"/>
    <x v="74"/>
    <x v="2"/>
    <x v="1"/>
    <x v="33"/>
    <x v="42"/>
    <x v="2"/>
    <x v="16"/>
    <x v="1"/>
    <x v="1"/>
    <x v="16"/>
    <x v="302"/>
    <x v="4"/>
    <x v="0"/>
    <x v="0"/>
    <x v="286"/>
    <x v="1030"/>
    <x v="936"/>
    <x v="1"/>
    <x v="1"/>
  </r>
  <r>
    <x v="1036"/>
    <x v="154"/>
    <x v="3"/>
    <x v="3"/>
    <x v="3"/>
    <x v="155"/>
    <x v="4"/>
    <x v="4"/>
    <x v="2"/>
    <x v="0"/>
    <x v="3"/>
    <x v="3"/>
    <x v="3"/>
    <x v="37"/>
    <x v="2"/>
    <x v="3"/>
    <x v="37"/>
    <x v="640"/>
    <x v="0"/>
    <x v="3"/>
    <x v="2"/>
    <x v="1016"/>
    <x v="1031"/>
    <x v="675"/>
    <x v="2"/>
    <x v="0"/>
  </r>
  <r>
    <x v="1037"/>
    <x v="790"/>
    <x v="3"/>
    <x v="1"/>
    <x v="1"/>
    <x v="795"/>
    <x v="253"/>
    <x v="35"/>
    <x v="0"/>
    <x v="0"/>
    <x v="27"/>
    <x v="32"/>
    <x v="1"/>
    <x v="53"/>
    <x v="2"/>
    <x v="3"/>
    <x v="53"/>
    <x v="509"/>
    <x v="3"/>
    <x v="4"/>
    <x v="3"/>
    <x v="1017"/>
    <x v="1032"/>
    <x v="937"/>
    <x v="7"/>
    <x v="2"/>
  </r>
  <r>
    <x v="1038"/>
    <x v="30"/>
    <x v="0"/>
    <x v="7"/>
    <x v="7"/>
    <x v="31"/>
    <x v="174"/>
    <x v="164"/>
    <x v="1"/>
    <x v="1"/>
    <x v="34"/>
    <x v="48"/>
    <x v="3"/>
    <x v="6"/>
    <x v="0"/>
    <x v="0"/>
    <x v="6"/>
    <x v="147"/>
    <x v="3"/>
    <x v="0"/>
    <x v="0"/>
    <x v="1018"/>
    <x v="1033"/>
    <x v="938"/>
    <x v="5"/>
    <x v="2"/>
  </r>
  <r>
    <x v="1039"/>
    <x v="791"/>
    <x v="1"/>
    <x v="2"/>
    <x v="2"/>
    <x v="336"/>
    <x v="102"/>
    <x v="100"/>
    <x v="2"/>
    <x v="1"/>
    <x v="37"/>
    <x v="64"/>
    <x v="1"/>
    <x v="38"/>
    <x v="1"/>
    <x v="1"/>
    <x v="38"/>
    <x v="641"/>
    <x v="2"/>
    <x v="4"/>
    <x v="3"/>
    <x v="1019"/>
    <x v="1034"/>
    <x v="939"/>
    <x v="7"/>
    <x v="1"/>
  </r>
  <r>
    <x v="1040"/>
    <x v="792"/>
    <x v="0"/>
    <x v="8"/>
    <x v="8"/>
    <x v="796"/>
    <x v="125"/>
    <x v="122"/>
    <x v="0"/>
    <x v="0"/>
    <x v="6"/>
    <x v="62"/>
    <x v="0"/>
    <x v="40"/>
    <x v="0"/>
    <x v="10"/>
    <x v="40"/>
    <x v="402"/>
    <x v="1"/>
    <x v="0"/>
    <x v="0"/>
    <x v="1020"/>
    <x v="1035"/>
    <x v="940"/>
    <x v="2"/>
    <x v="2"/>
  </r>
  <r>
    <x v="1041"/>
    <x v="793"/>
    <x v="1"/>
    <x v="10"/>
    <x v="10"/>
    <x v="797"/>
    <x v="183"/>
    <x v="174"/>
    <x v="0"/>
    <x v="1"/>
    <x v="23"/>
    <x v="26"/>
    <x v="3"/>
    <x v="26"/>
    <x v="2"/>
    <x v="5"/>
    <x v="26"/>
    <x v="31"/>
    <x v="2"/>
    <x v="2"/>
    <x v="1"/>
    <x v="1021"/>
    <x v="1036"/>
    <x v="941"/>
    <x v="0"/>
    <x v="1"/>
  </r>
  <r>
    <x v="1042"/>
    <x v="794"/>
    <x v="4"/>
    <x v="6"/>
    <x v="6"/>
    <x v="798"/>
    <x v="13"/>
    <x v="13"/>
    <x v="2"/>
    <x v="0"/>
    <x v="11"/>
    <x v="11"/>
    <x v="0"/>
    <x v="23"/>
    <x v="2"/>
    <x v="6"/>
    <x v="23"/>
    <x v="175"/>
    <x v="1"/>
    <x v="0"/>
    <x v="0"/>
    <x v="1022"/>
    <x v="1037"/>
    <x v="640"/>
    <x v="3"/>
    <x v="0"/>
  </r>
  <r>
    <x v="1043"/>
    <x v="795"/>
    <x v="0"/>
    <x v="10"/>
    <x v="10"/>
    <x v="112"/>
    <x v="168"/>
    <x v="159"/>
    <x v="1"/>
    <x v="1"/>
    <x v="24"/>
    <x v="60"/>
    <x v="2"/>
    <x v="32"/>
    <x v="2"/>
    <x v="13"/>
    <x v="32"/>
    <x v="642"/>
    <x v="0"/>
    <x v="6"/>
    <x v="3"/>
    <x v="1023"/>
    <x v="1038"/>
    <x v="942"/>
    <x v="5"/>
    <x v="0"/>
  </r>
  <r>
    <x v="1044"/>
    <x v="718"/>
    <x v="2"/>
    <x v="11"/>
    <x v="11"/>
    <x v="716"/>
    <x v="51"/>
    <x v="51"/>
    <x v="1"/>
    <x v="1"/>
    <x v="3"/>
    <x v="3"/>
    <x v="3"/>
    <x v="31"/>
    <x v="1"/>
    <x v="1"/>
    <x v="31"/>
    <x v="643"/>
    <x v="4"/>
    <x v="4"/>
    <x v="3"/>
    <x v="1024"/>
    <x v="1039"/>
    <x v="943"/>
    <x v="2"/>
    <x v="1"/>
  </r>
  <r>
    <x v="1045"/>
    <x v="627"/>
    <x v="0"/>
    <x v="3"/>
    <x v="3"/>
    <x v="799"/>
    <x v="173"/>
    <x v="163"/>
    <x v="2"/>
    <x v="1"/>
    <x v="18"/>
    <x v="84"/>
    <x v="1"/>
    <x v="62"/>
    <x v="0"/>
    <x v="0"/>
    <x v="62"/>
    <x v="644"/>
    <x v="3"/>
    <x v="6"/>
    <x v="3"/>
    <x v="1025"/>
    <x v="1040"/>
    <x v="944"/>
    <x v="7"/>
    <x v="2"/>
  </r>
  <r>
    <x v="1046"/>
    <x v="796"/>
    <x v="0"/>
    <x v="3"/>
    <x v="3"/>
    <x v="800"/>
    <x v="231"/>
    <x v="80"/>
    <x v="0"/>
    <x v="1"/>
    <x v="27"/>
    <x v="86"/>
    <x v="1"/>
    <x v="7"/>
    <x v="2"/>
    <x v="6"/>
    <x v="7"/>
    <x v="645"/>
    <x v="0"/>
    <x v="5"/>
    <x v="2"/>
    <x v="1026"/>
    <x v="1041"/>
    <x v="945"/>
    <x v="0"/>
    <x v="0"/>
  </r>
  <r>
    <x v="1047"/>
    <x v="364"/>
    <x v="2"/>
    <x v="2"/>
    <x v="2"/>
    <x v="801"/>
    <x v="136"/>
    <x v="109"/>
    <x v="1"/>
    <x v="1"/>
    <x v="39"/>
    <x v="34"/>
    <x v="2"/>
    <x v="58"/>
    <x v="2"/>
    <x v="5"/>
    <x v="58"/>
    <x v="447"/>
    <x v="1"/>
    <x v="2"/>
    <x v="1"/>
    <x v="1027"/>
    <x v="1042"/>
    <x v="946"/>
    <x v="3"/>
    <x v="0"/>
  </r>
  <r>
    <x v="1048"/>
    <x v="797"/>
    <x v="2"/>
    <x v="11"/>
    <x v="11"/>
    <x v="802"/>
    <x v="285"/>
    <x v="265"/>
    <x v="2"/>
    <x v="0"/>
    <x v="38"/>
    <x v="70"/>
    <x v="3"/>
    <x v="12"/>
    <x v="0"/>
    <x v="7"/>
    <x v="12"/>
    <x v="269"/>
    <x v="2"/>
    <x v="2"/>
    <x v="1"/>
    <x v="1028"/>
    <x v="1043"/>
    <x v="349"/>
    <x v="6"/>
    <x v="1"/>
  </r>
  <r>
    <x v="1049"/>
    <x v="798"/>
    <x v="4"/>
    <x v="8"/>
    <x v="8"/>
    <x v="803"/>
    <x v="143"/>
    <x v="136"/>
    <x v="2"/>
    <x v="1"/>
    <x v="6"/>
    <x v="47"/>
    <x v="0"/>
    <x v="49"/>
    <x v="2"/>
    <x v="5"/>
    <x v="49"/>
    <x v="210"/>
    <x v="3"/>
    <x v="0"/>
    <x v="0"/>
    <x v="1029"/>
    <x v="1044"/>
    <x v="947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:F7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/>
    <pivotField compact="0" showAll="0"/>
    <pivotField compact="0" showAll="0"/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axis="axisRow" compact="0" sortType="descending" showAll="0">
      <items count="4">
        <item x="0"/>
        <item x="2"/>
        <item x="1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/>
    <pivotField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/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Monthly Sales Trend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H6:AI19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axis="axisRow" compact="0" sortType="ascending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op 10 Products By Sale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K6:AL17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axis="axisRow" measureFilter="1" compact="0" sortType="descending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6"/>
  </rowFields>
  <rowItems count="11">
    <i>
      <x v="52"/>
    </i>
    <i>
      <x v="46"/>
    </i>
    <i>
      <x v="23"/>
    </i>
    <i>
      <x v="12"/>
    </i>
    <i>
      <x v="59"/>
    </i>
    <i>
      <x v="8"/>
    </i>
    <i>
      <x v="42"/>
    </i>
    <i>
      <x v="22"/>
    </i>
    <i>
      <x v="48"/>
    </i>
    <i>
      <x v="64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filters count="1">
    <filter evalOrder="-1" fld="16" iMeasureFld="0" id="2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op 10 Customers By Revenu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N6:AO17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axis="axisRow" measureFilter="1" compact="0" sortType="descending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7"/>
  </rowFields>
  <rowItems count="11">
    <i>
      <x v="130"/>
    </i>
    <i>
      <x v="149"/>
    </i>
    <i>
      <x v="91"/>
    </i>
    <i>
      <x v="9"/>
    </i>
    <i>
      <x v="132"/>
    </i>
    <i>
      <x v="255"/>
    </i>
    <i>
      <x v="21"/>
    </i>
    <i>
      <x v="87"/>
    </i>
    <i>
      <x v="3"/>
    </i>
    <i>
      <x v="246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filters count="1">
    <filter evalOrder="-1" fld="7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Sales vs Profit Analysi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Q6:AS10" firstHeaderRow="0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dataField="1"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1" baseField="0" baseItem="0"/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Sales By Reg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H3:I8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axis="axisRow" compact="0" sortType="descending" showAll="0">
      <items count="5">
        <item x="3"/>
        <item x="0"/>
        <item x="2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rofit By 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3:L7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>
      <items count="800">
        <item x="765"/>
        <item x="450"/>
        <item x="158"/>
        <item x="588"/>
        <item x="180"/>
        <item x="72"/>
        <item x="494"/>
        <item x="327"/>
        <item x="514"/>
        <item x="584"/>
        <item x="29"/>
        <item x="211"/>
        <item x="630"/>
        <item x="389"/>
        <item x="513"/>
        <item x="496"/>
        <item x="717"/>
        <item x="9"/>
        <item x="582"/>
        <item x="283"/>
        <item x="744"/>
        <item x="590"/>
        <item x="351"/>
        <item x="149"/>
        <item x="453"/>
        <item x="426"/>
        <item x="262"/>
        <item x="183"/>
        <item x="384"/>
        <item x="742"/>
        <item x="756"/>
        <item x="577"/>
        <item x="759"/>
        <item x="731"/>
        <item x="116"/>
        <item x="491"/>
        <item x="715"/>
        <item x="295"/>
        <item x="467"/>
        <item x="16"/>
        <item x="65"/>
        <item x="304"/>
        <item x="508"/>
        <item x="374"/>
        <item x="445"/>
        <item x="579"/>
        <item x="210"/>
        <item x="396"/>
        <item x="459"/>
        <item x="224"/>
        <item x="648"/>
        <item x="754"/>
        <item x="264"/>
        <item x="778"/>
        <item x="85"/>
        <item x="159"/>
        <item x="77"/>
        <item x="722"/>
        <item x="274"/>
        <item x="766"/>
        <item x="456"/>
        <item x="557"/>
        <item x="265"/>
        <item x="292"/>
        <item x="218"/>
        <item x="626"/>
        <item x="81"/>
        <item x="559"/>
        <item x="326"/>
        <item x="522"/>
        <item x="560"/>
        <item x="723"/>
        <item x="345"/>
        <item x="439"/>
        <item x="166"/>
        <item x="74"/>
        <item x="143"/>
        <item x="790"/>
        <item x="75"/>
        <item x="338"/>
        <item x="528"/>
        <item x="93"/>
        <item x="46"/>
        <item x="506"/>
        <item x="428"/>
        <item x="246"/>
        <item x="98"/>
        <item x="71"/>
        <item x="128"/>
        <item x="108"/>
        <item x="68"/>
        <item x="289"/>
        <item x="418"/>
        <item x="170"/>
        <item x="171"/>
        <item x="363"/>
        <item x="452"/>
        <item x="548"/>
        <item x="196"/>
        <item x="334"/>
        <item x="603"/>
        <item x="385"/>
        <item x="154"/>
        <item x="121"/>
        <item x="3"/>
        <item x="719"/>
        <item x="212"/>
        <item x="570"/>
        <item x="157"/>
        <item x="698"/>
        <item x="772"/>
        <item x="762"/>
        <item x="343"/>
        <item x="644"/>
        <item x="330"/>
        <item x="663"/>
        <item x="115"/>
        <item x="238"/>
        <item x="538"/>
        <item x="6"/>
        <item x="661"/>
        <item x="329"/>
        <item x="534"/>
        <item x="55"/>
        <item x="650"/>
        <item x="611"/>
        <item x="610"/>
        <item x="260"/>
        <item x="355"/>
        <item x="242"/>
        <item x="775"/>
        <item x="54"/>
        <item x="270"/>
        <item x="479"/>
        <item x="619"/>
        <item x="302"/>
        <item x="317"/>
        <item x="298"/>
        <item x="255"/>
        <item x="278"/>
        <item x="489"/>
        <item x="336"/>
        <item x="135"/>
        <item x="443"/>
        <item x="407"/>
        <item x="487"/>
        <item x="275"/>
        <item x="100"/>
        <item x="258"/>
        <item x="186"/>
        <item x="393"/>
        <item x="269"/>
        <item x="350"/>
        <item x="462"/>
        <item x="247"/>
        <item x="486"/>
        <item x="665"/>
        <item x="179"/>
        <item x="105"/>
        <item x="789"/>
        <item x="639"/>
        <item x="622"/>
        <item x="583"/>
        <item x="537"/>
        <item x="61"/>
        <item x="671"/>
        <item x="390"/>
        <item x="400"/>
        <item x="28"/>
        <item x="629"/>
        <item x="680"/>
        <item x="780"/>
        <item x="15"/>
        <item x="372"/>
        <item x="373"/>
        <item x="122"/>
        <item x="104"/>
        <item x="300"/>
        <item x="367"/>
        <item x="773"/>
        <item x="688"/>
        <item x="24"/>
        <item x="36"/>
        <item x="657"/>
        <item x="414"/>
        <item x="512"/>
        <item x="82"/>
        <item x="301"/>
        <item x="2"/>
        <item x="146"/>
        <item x="342"/>
        <item x="357"/>
        <item x="379"/>
        <item x="228"/>
        <item x="117"/>
        <item x="249"/>
        <item x="364"/>
        <item x="62"/>
        <item x="109"/>
        <item x="572"/>
        <item x="571"/>
        <item x="478"/>
        <item x="425"/>
        <item x="694"/>
        <item x="797"/>
        <item x="366"/>
        <item x="540"/>
        <item x="758"/>
        <item x="707"/>
        <item x="26"/>
        <item x="718"/>
        <item x="161"/>
        <item x="604"/>
        <item x="520"/>
        <item x="14"/>
        <item x="198"/>
        <item x="352"/>
        <item x="134"/>
        <item x="518"/>
        <item x="76"/>
        <item x="83"/>
        <item x="375"/>
        <item x="219"/>
        <item x="64"/>
        <item x="786"/>
        <item x="625"/>
        <item x="463"/>
        <item x="232"/>
        <item x="197"/>
        <item x="227"/>
        <item x="566"/>
        <item x="483"/>
        <item x="615"/>
        <item x="33"/>
        <item x="736"/>
        <item x="42"/>
        <item x="155"/>
        <item x="523"/>
        <item x="284"/>
        <item x="687"/>
        <item x="750"/>
        <item x="429"/>
        <item x="19"/>
        <item x="319"/>
        <item x="697"/>
        <item x="492"/>
        <item x="770"/>
        <item x="250"/>
        <item x="435"/>
        <item x="728"/>
        <item x="382"/>
        <item x="511"/>
        <item x="760"/>
        <item x="784"/>
        <item x="208"/>
        <item x="419"/>
        <item x="88"/>
        <item x="539"/>
        <item x="251"/>
        <item x="52"/>
        <item x="674"/>
        <item x="411"/>
        <item x="67"/>
        <item x="563"/>
        <item x="230"/>
        <item x="565"/>
        <item x="272"/>
        <item x="145"/>
        <item x="256"/>
        <item x="589"/>
        <item x="471"/>
        <item x="354"/>
        <item x="237"/>
        <item x="214"/>
        <item x="655"/>
        <item x="641"/>
        <item x="277"/>
        <item x="239"/>
        <item x="741"/>
        <item x="510"/>
        <item x="476"/>
        <item x="293"/>
        <item x="526"/>
        <item x="125"/>
        <item x="226"/>
        <item x="51"/>
        <item x="167"/>
        <item x="380"/>
        <item x="645"/>
        <item x="555"/>
        <item x="281"/>
        <item x="156"/>
        <item x="422"/>
        <item x="725"/>
        <item x="405"/>
        <item x="575"/>
        <item x="112"/>
        <item x="403"/>
        <item x="386"/>
        <item x="107"/>
        <item x="240"/>
        <item x="755"/>
        <item x="488"/>
        <item x="739"/>
        <item x="430"/>
        <item x="215"/>
        <item x="11"/>
        <item x="236"/>
        <item x="618"/>
        <item x="359"/>
        <item x="41"/>
        <item x="27"/>
        <item x="296"/>
        <item x="446"/>
        <item x="261"/>
        <item x="311"/>
        <item x="43"/>
        <item x="798"/>
        <item x="586"/>
        <item x="794"/>
        <item x="49"/>
        <item x="716"/>
        <item x="21"/>
        <item x="371"/>
        <item x="207"/>
        <item x="349"/>
        <item x="729"/>
        <item x="764"/>
        <item x="638"/>
        <item x="95"/>
        <item x="314"/>
        <item x="779"/>
        <item x="437"/>
        <item x="31"/>
        <item x="550"/>
        <item x="620"/>
        <item x="507"/>
        <item x="209"/>
        <item x="434"/>
        <item x="525"/>
        <item x="79"/>
        <item x="415"/>
        <item x="409"/>
        <item x="152"/>
        <item x="585"/>
        <item x="605"/>
        <item x="432"/>
        <item x="448"/>
        <item x="4"/>
        <item x="151"/>
        <item x="268"/>
        <item x="677"/>
        <item x="60"/>
        <item x="517"/>
        <item x="40"/>
        <item x="660"/>
        <item x="282"/>
        <item x="66"/>
        <item x="23"/>
        <item x="457"/>
        <item x="726"/>
        <item x="69"/>
        <item x="667"/>
        <item x="335"/>
        <item x="53"/>
        <item x="362"/>
        <item x="297"/>
        <item x="337"/>
        <item x="126"/>
        <item x="468"/>
        <item x="89"/>
        <item x="668"/>
        <item x="401"/>
        <item x="466"/>
        <item x="649"/>
        <item x="552"/>
        <item x="721"/>
        <item x="162"/>
        <item x="684"/>
        <item x="699"/>
        <item x="691"/>
        <item x="673"/>
        <item x="423"/>
        <item x="632"/>
        <item x="516"/>
        <item x="531"/>
        <item x="634"/>
        <item x="436"/>
        <item x="204"/>
        <item x="541"/>
        <item x="547"/>
        <item x="216"/>
        <item x="783"/>
        <item x="222"/>
        <item x="402"/>
        <item x="142"/>
        <item x="628"/>
        <item x="464"/>
        <item x="410"/>
        <item x="341"/>
        <item x="473"/>
        <item x="444"/>
        <item x="658"/>
        <item x="461"/>
        <item x="417"/>
        <item x="202"/>
        <item x="58"/>
        <item x="558"/>
        <item x="421"/>
        <item x="427"/>
        <item x="449"/>
        <item x="617"/>
        <item x="594"/>
        <item x="174"/>
        <item x="8"/>
        <item x="527"/>
        <item x="536"/>
        <item x="553"/>
        <item x="86"/>
        <item x="44"/>
        <item x="308"/>
        <item x="504"/>
        <item x="189"/>
        <item x="203"/>
        <item x="178"/>
        <item x="702"/>
        <item x="347"/>
        <item x="110"/>
        <item x="141"/>
        <item x="631"/>
        <item x="676"/>
        <item x="484"/>
        <item x="606"/>
        <item x="413"/>
        <item x="442"/>
        <item x="738"/>
        <item x="243"/>
        <item x="263"/>
        <item x="602"/>
        <item x="394"/>
        <item x="56"/>
        <item x="664"/>
        <item x="472"/>
        <item x="96"/>
        <item x="580"/>
        <item x="769"/>
        <item x="184"/>
        <item x="13"/>
        <item x="286"/>
        <item x="303"/>
        <item x="213"/>
        <item x="234"/>
        <item x="133"/>
        <item x="370"/>
        <item x="485"/>
        <item x="562"/>
        <item x="767"/>
        <item x="127"/>
        <item x="205"/>
        <item x="25"/>
        <item x="587"/>
        <item x="592"/>
        <item x="740"/>
        <item x="37"/>
        <item x="50"/>
        <item x="181"/>
        <item x="556"/>
        <item x="416"/>
        <item x="734"/>
        <item x="670"/>
        <item x="111"/>
        <item x="344"/>
        <item x="106"/>
        <item x="711"/>
        <item x="316"/>
        <item x="339"/>
        <item x="481"/>
        <item x="114"/>
        <item x="280"/>
        <item x="57"/>
        <item x="686"/>
        <item x="730"/>
        <item x="273"/>
        <item x="312"/>
        <item x="235"/>
        <item x="70"/>
        <item x="395"/>
        <item x="637"/>
        <item x="532"/>
        <item x="600"/>
        <item x="173"/>
        <item x="705"/>
        <item x="761"/>
        <item x="500"/>
        <item x="332"/>
        <item x="433"/>
        <item x="477"/>
        <item x="150"/>
        <item x="172"/>
        <item x="217"/>
        <item x="713"/>
        <item x="693"/>
        <item x="84"/>
        <item x="388"/>
        <item x="683"/>
        <item x="187"/>
        <item x="103"/>
        <item x="654"/>
        <item x="191"/>
        <item x="701"/>
        <item x="185"/>
        <item x="176"/>
        <item x="175"/>
        <item x="333"/>
        <item x="201"/>
        <item x="791"/>
        <item x="267"/>
        <item x="653"/>
        <item x="408"/>
        <item x="703"/>
        <item x="360"/>
        <item x="593"/>
        <item x="623"/>
        <item x="768"/>
        <item x="118"/>
        <item x="576"/>
        <item x="97"/>
        <item x="695"/>
        <item x="119"/>
        <item x="624"/>
        <item x="124"/>
        <item x="266"/>
        <item x="633"/>
        <item x="700"/>
        <item x="793"/>
        <item x="751"/>
        <item x="63"/>
        <item x="365"/>
        <item x="475"/>
        <item x="612"/>
        <item x="130"/>
        <item x="542"/>
        <item x="123"/>
        <item x="499"/>
        <item x="377"/>
        <item x="495"/>
        <item x="381"/>
        <item x="656"/>
        <item x="460"/>
        <item x="431"/>
        <item x="306"/>
        <item x="781"/>
        <item x="323"/>
        <item x="746"/>
        <item x="672"/>
        <item x="591"/>
        <item x="358"/>
        <item x="1"/>
        <item x="424"/>
        <item x="543"/>
        <item x="771"/>
        <item x="294"/>
        <item x="662"/>
        <item x="567"/>
        <item x="614"/>
        <item x="465"/>
        <item x="447"/>
        <item x="714"/>
        <item x="241"/>
        <item x="378"/>
        <item x="777"/>
        <item x="601"/>
        <item x="244"/>
        <item x="470"/>
        <item x="608"/>
        <item x="689"/>
        <item x="549"/>
        <item x="502"/>
        <item x="12"/>
        <item x="353"/>
        <item x="749"/>
        <item x="497"/>
        <item x="669"/>
        <item x="642"/>
        <item x="454"/>
        <item x="92"/>
        <item x="47"/>
        <item x="148"/>
        <item x="546"/>
        <item x="469"/>
        <item x="291"/>
        <item x="564"/>
        <item x="493"/>
        <item x="420"/>
        <item x="503"/>
        <item x="554"/>
        <item x="678"/>
        <item x="340"/>
        <item x="573"/>
        <item x="505"/>
        <item x="451"/>
        <item x="533"/>
        <item x="599"/>
        <item x="252"/>
        <item x="194"/>
        <item x="748"/>
        <item x="287"/>
        <item x="271"/>
        <item x="727"/>
        <item x="153"/>
        <item x="193"/>
        <item x="276"/>
        <item x="609"/>
        <item x="524"/>
        <item x="545"/>
        <item x="574"/>
        <item x="90"/>
        <item x="710"/>
        <item x="613"/>
        <item x="233"/>
        <item x="498"/>
        <item x="288"/>
        <item x="318"/>
        <item x="192"/>
        <item x="221"/>
        <item x="616"/>
        <item x="743"/>
        <item x="223"/>
        <item x="387"/>
        <item x="490"/>
        <item x="788"/>
        <item x="404"/>
        <item x="635"/>
        <item x="441"/>
        <item x="45"/>
        <item x="22"/>
        <item x="685"/>
        <item x="229"/>
        <item x="792"/>
        <item x="607"/>
        <item x="392"/>
        <item x="406"/>
        <item x="455"/>
        <item x="99"/>
        <item x="245"/>
        <item x="391"/>
        <item x="519"/>
        <item x="774"/>
        <item x="220"/>
        <item x="320"/>
        <item x="310"/>
        <item x="165"/>
        <item x="706"/>
        <item x="679"/>
        <item x="581"/>
        <item x="279"/>
        <item x="643"/>
        <item x="708"/>
        <item x="696"/>
        <item x="480"/>
        <item x="747"/>
        <item x="78"/>
        <item x="348"/>
        <item x="529"/>
        <item x="636"/>
        <item x="666"/>
        <item x="690"/>
        <item x="551"/>
        <item x="521"/>
        <item x="782"/>
        <item x="530"/>
        <item x="131"/>
        <item x="0"/>
        <item x="598"/>
        <item x="651"/>
        <item x="136"/>
        <item x="561"/>
        <item x="321"/>
        <item x="474"/>
        <item x="652"/>
        <item x="144"/>
        <item x="102"/>
        <item x="305"/>
        <item x="325"/>
        <item x="177"/>
        <item x="48"/>
        <item x="597"/>
        <item x="39"/>
        <item x="313"/>
        <item x="745"/>
        <item x="324"/>
        <item x="137"/>
        <item x="190"/>
        <item x="164"/>
        <item x="225"/>
        <item x="322"/>
        <item x="328"/>
        <item x="704"/>
        <item x="290"/>
        <item x="785"/>
        <item x="763"/>
        <item x="383"/>
        <item x="659"/>
        <item x="776"/>
        <item x="709"/>
        <item x="795"/>
        <item x="509"/>
        <item x="113"/>
        <item x="20"/>
        <item x="682"/>
        <item x="101"/>
        <item x="376"/>
        <item x="138"/>
        <item x="80"/>
        <item x="501"/>
        <item x="753"/>
        <item x="535"/>
        <item x="160"/>
        <item x="38"/>
        <item x="515"/>
        <item x="73"/>
        <item x="412"/>
        <item x="32"/>
        <item x="169"/>
        <item x="368"/>
        <item x="732"/>
        <item x="627"/>
        <item x="369"/>
        <item x="257"/>
        <item x="675"/>
        <item x="458"/>
        <item x="397"/>
        <item x="640"/>
        <item x="34"/>
        <item x="796"/>
        <item x="647"/>
        <item x="681"/>
        <item x="720"/>
        <item x="307"/>
        <item x="285"/>
        <item x="253"/>
        <item x="712"/>
        <item x="482"/>
        <item x="132"/>
        <item x="692"/>
        <item x="168"/>
        <item x="787"/>
        <item x="757"/>
        <item x="733"/>
        <item x="259"/>
        <item x="147"/>
        <item x="438"/>
        <item x="120"/>
        <item x="621"/>
        <item x="544"/>
        <item x="17"/>
        <item x="7"/>
        <item x="737"/>
        <item x="182"/>
        <item x="254"/>
        <item x="440"/>
        <item x="398"/>
        <item x="646"/>
        <item x="200"/>
        <item x="569"/>
        <item x="361"/>
        <item x="596"/>
        <item x="59"/>
        <item x="94"/>
        <item x="129"/>
        <item x="299"/>
        <item x="10"/>
        <item x="18"/>
        <item x="163"/>
        <item x="87"/>
        <item x="595"/>
        <item x="206"/>
        <item x="568"/>
        <item x="199"/>
        <item x="724"/>
        <item x="248"/>
        <item x="91"/>
        <item x="752"/>
        <item x="356"/>
        <item x="231"/>
        <item x="30"/>
        <item x="35"/>
        <item x="309"/>
        <item x="578"/>
        <item x="188"/>
        <item x="195"/>
        <item x="140"/>
        <item x="5"/>
        <item x="399"/>
        <item x="315"/>
        <item x="139"/>
        <item x="331"/>
        <item x="346"/>
        <item x="735"/>
        <item t="default"/>
      </items>
    </pivotField>
    <pivotField compact="0" showAll="0">
      <items count="6">
        <item x="3"/>
        <item x="2"/>
        <item x="4"/>
        <item x="1"/>
        <item x="0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</pivotField>
    <pivotField compact="0" numFmtId="182" showAll="0">
      <items count="805">
        <item x="160"/>
        <item x="654"/>
        <item x="449"/>
        <item x="588"/>
        <item x="182"/>
        <item x="71"/>
        <item x="496"/>
        <item x="324"/>
        <item x="521"/>
        <item x="585"/>
        <item x="30"/>
        <item x="636"/>
        <item x="211"/>
        <item x="388"/>
        <item x="639"/>
        <item x="520"/>
        <item x="498"/>
        <item x="557"/>
        <item x="581"/>
        <item x="9"/>
        <item x="693"/>
        <item x="284"/>
        <item x="757"/>
        <item x="589"/>
        <item x="349"/>
        <item x="150"/>
        <item x="452"/>
        <item x="737"/>
        <item x="186"/>
        <item x="382"/>
        <item x="756"/>
        <item x="576"/>
        <item x="727"/>
        <item x="740"/>
        <item x="770"/>
        <item x="552"/>
        <item x="494"/>
        <item x="115"/>
        <item x="724"/>
        <item x="16"/>
        <item x="296"/>
        <item x="548"/>
        <item x="65"/>
        <item x="148"/>
        <item x="578"/>
        <item x="210"/>
        <item x="397"/>
        <item x="456"/>
        <item x="767"/>
        <item x="225"/>
        <item x="783"/>
        <item x="267"/>
        <item x="84"/>
        <item x="161"/>
        <item x="777"/>
        <item x="76"/>
        <item x="730"/>
        <item x="775"/>
        <item x="276"/>
        <item x="563"/>
        <item x="293"/>
        <item x="286"/>
        <item x="268"/>
        <item x="220"/>
        <item x="632"/>
        <item x="80"/>
        <item x="565"/>
        <item x="528"/>
        <item x="321"/>
        <item x="344"/>
        <item x="442"/>
        <item x="73"/>
        <item x="168"/>
        <item x="143"/>
        <item x="795"/>
        <item x="437"/>
        <item x="325"/>
        <item x="742"/>
        <item x="74"/>
        <item x="176"/>
        <item x="533"/>
        <item x="92"/>
        <item x="739"/>
        <item x="430"/>
        <item x="47"/>
        <item x="98"/>
        <item x="612"/>
        <item x="70"/>
        <item x="255"/>
        <item x="659"/>
        <item x="441"/>
        <item x="67"/>
        <item x="128"/>
        <item x="712"/>
        <item x="512"/>
        <item x="420"/>
        <item x="173"/>
        <item x="172"/>
        <item x="761"/>
        <item x="363"/>
        <item x="451"/>
        <item x="198"/>
        <item x="553"/>
        <item x="332"/>
        <item x="155"/>
        <item x="603"/>
        <item x="120"/>
        <item x="383"/>
        <item x="3"/>
        <item x="551"/>
        <item x="212"/>
        <item x="306"/>
        <item x="159"/>
        <item x="705"/>
        <item x="772"/>
        <item x="341"/>
        <item x="649"/>
        <item x="328"/>
        <item x="667"/>
        <item x="114"/>
        <item x="240"/>
        <item x="543"/>
        <item x="6"/>
        <item x="664"/>
        <item x="540"/>
        <item x="327"/>
        <item x="710"/>
        <item x="56"/>
        <item x="655"/>
        <item x="615"/>
        <item x="616"/>
        <item x="245"/>
        <item x="264"/>
        <item x="481"/>
        <item x="353"/>
        <item x="55"/>
        <item x="272"/>
        <item x="718"/>
        <item x="473"/>
        <item x="624"/>
        <item x="314"/>
        <item x="300"/>
        <item x="280"/>
        <item x="260"/>
        <item x="135"/>
        <item x="491"/>
        <item x="445"/>
        <item x="485"/>
        <item x="408"/>
        <item x="277"/>
        <item x="489"/>
        <item x="493"/>
        <item x="100"/>
        <item x="492"/>
        <item x="189"/>
        <item x="391"/>
        <item x="271"/>
        <item x="360"/>
        <item x="348"/>
        <item x="487"/>
        <item x="250"/>
        <item x="669"/>
        <item x="181"/>
        <item x="105"/>
        <item x="794"/>
        <item x="621"/>
        <item x="542"/>
        <item x="584"/>
        <item x="61"/>
        <item x="677"/>
        <item x="29"/>
        <item x="401"/>
        <item x="688"/>
        <item x="635"/>
        <item x="781"/>
        <item x="536"/>
        <item x="15"/>
        <item x="374"/>
        <item x="708"/>
        <item x="752"/>
        <item x="121"/>
        <item x="298"/>
        <item x="672"/>
        <item x="104"/>
        <item x="369"/>
        <item x="734"/>
        <item x="695"/>
        <item x="24"/>
        <item x="206"/>
        <item x="37"/>
        <item x="418"/>
        <item x="519"/>
        <item x="299"/>
        <item x="81"/>
        <item x="146"/>
        <item x="393"/>
        <item x="2"/>
        <item x="355"/>
        <item x="340"/>
        <item x="594"/>
        <item x="116"/>
        <item x="231"/>
        <item x="365"/>
        <item x="801"/>
        <item x="108"/>
        <item x="62"/>
        <item x="572"/>
        <item x="571"/>
        <item x="426"/>
        <item x="472"/>
        <item x="702"/>
        <item x="368"/>
        <item x="802"/>
        <item x="769"/>
        <item x="545"/>
        <item x="716"/>
        <item x="725"/>
        <item x="26"/>
        <item x="163"/>
        <item x="606"/>
        <item x="526"/>
        <item x="14"/>
        <item x="350"/>
        <item x="134"/>
        <item x="524"/>
        <item x="75"/>
        <item x="82"/>
        <item x="64"/>
        <item x="394"/>
        <item x="790"/>
        <item x="458"/>
        <item x="631"/>
        <item x="199"/>
        <item x="315"/>
        <item x="230"/>
        <item x="722"/>
        <item x="482"/>
        <item x="34"/>
        <item x="748"/>
        <item x="43"/>
        <item x="529"/>
        <item x="156"/>
        <item x="285"/>
        <item x="694"/>
        <item x="762"/>
        <item x="431"/>
        <item x="19"/>
        <item x="313"/>
        <item x="679"/>
        <item x="599"/>
        <item x="252"/>
        <item x="495"/>
        <item x="505"/>
        <item x="736"/>
        <item x="380"/>
        <item x="518"/>
        <item x="208"/>
        <item x="771"/>
        <item x="779"/>
        <item x="544"/>
        <item x="87"/>
        <item x="253"/>
        <item x="53"/>
        <item x="682"/>
        <item x="415"/>
        <item x="233"/>
        <item x="66"/>
        <item x="567"/>
        <item x="476"/>
        <item x="274"/>
        <item x="364"/>
        <item x="145"/>
        <item x="261"/>
        <item x="307"/>
        <item x="239"/>
        <item x="352"/>
        <item x="653"/>
        <item x="214"/>
        <item x="228"/>
        <item x="645"/>
        <item x="241"/>
        <item x="279"/>
        <item x="517"/>
        <item x="755"/>
        <item x="532"/>
        <item x="294"/>
        <item x="538"/>
        <item x="546"/>
        <item x="470"/>
        <item x="124"/>
        <item x="229"/>
        <item x="622"/>
        <item x="52"/>
        <item x="169"/>
        <item x="650"/>
        <item x="378"/>
        <item x="503"/>
        <item x="561"/>
        <item x="323"/>
        <item x="282"/>
        <item x="423"/>
        <item x="158"/>
        <item x="574"/>
        <item x="405"/>
        <item x="111"/>
        <item x="723"/>
        <item x="403"/>
        <item x="384"/>
        <item x="107"/>
        <item x="242"/>
        <item x="751"/>
        <item x="490"/>
        <item x="215"/>
        <item x="432"/>
        <item x="238"/>
        <item x="11"/>
        <item x="509"/>
        <item x="696"/>
        <item x="358"/>
        <item x="514"/>
        <item x="42"/>
        <item x="227"/>
        <item x="27"/>
        <item x="265"/>
        <item x="765"/>
        <item x="803"/>
        <item x="502"/>
        <item x="465"/>
        <item x="305"/>
        <item x="44"/>
        <item x="798"/>
        <item x="28"/>
        <item x="50"/>
        <item x="373"/>
        <item x="21"/>
        <item x="774"/>
        <item x="347"/>
        <item x="738"/>
        <item x="94"/>
        <item x="310"/>
        <item x="784"/>
        <item x="439"/>
        <item x="32"/>
        <item x="555"/>
        <item x="513"/>
        <item x="625"/>
        <item x="209"/>
        <item x="395"/>
        <item x="479"/>
        <item x="436"/>
        <item x="685"/>
        <item x="78"/>
        <item x="411"/>
        <item x="153"/>
        <item x="586"/>
        <item x="608"/>
        <item x="434"/>
        <item x="447"/>
        <item x="4"/>
        <item x="270"/>
        <item x="684"/>
        <item x="152"/>
        <item x="41"/>
        <item x="127"/>
        <item x="283"/>
        <item x="23"/>
        <item x="454"/>
        <item x="334"/>
        <item x="488"/>
        <item x="68"/>
        <item x="732"/>
        <item x="322"/>
        <item x="671"/>
        <item x="627"/>
        <item x="333"/>
        <item x="54"/>
        <item x="335"/>
        <item x="125"/>
        <item x="462"/>
        <item x="257"/>
        <item x="88"/>
        <item x="461"/>
        <item x="674"/>
        <item x="402"/>
        <item x="678"/>
        <item x="164"/>
        <item x="558"/>
        <item x="729"/>
        <item x="691"/>
        <item x="698"/>
        <item x="681"/>
        <item x="522"/>
        <item x="424"/>
        <item x="638"/>
        <item x="642"/>
        <item x="204"/>
        <item x="438"/>
        <item x="218"/>
        <item x="547"/>
        <item x="787"/>
        <item x="223"/>
        <item x="142"/>
        <item x="600"/>
        <item x="459"/>
        <item x="413"/>
        <item x="466"/>
        <item x="501"/>
        <item x="339"/>
        <item x="662"/>
        <item x="793"/>
        <item x="457"/>
        <item x="202"/>
        <item x="59"/>
        <item x="216"/>
        <item x="422"/>
        <item x="564"/>
        <item x="550"/>
        <item x="429"/>
        <item x="448"/>
        <item x="623"/>
        <item x="593"/>
        <item x="687"/>
        <item x="647"/>
        <item x="8"/>
        <item x="590"/>
        <item x="177"/>
        <item x="559"/>
        <item x="665"/>
        <item x="85"/>
        <item x="45"/>
        <item x="203"/>
        <item x="191"/>
        <item x="343"/>
        <item x="180"/>
        <item x="141"/>
        <item x="605"/>
        <item x="109"/>
        <item x="637"/>
        <item x="683"/>
        <item x="630"/>
        <item x="483"/>
        <item x="417"/>
        <item x="750"/>
        <item x="246"/>
        <item x="266"/>
        <item x="668"/>
        <item x="468"/>
        <item x="57"/>
        <item x="580"/>
        <item x="95"/>
        <item x="187"/>
        <item x="13"/>
        <item x="477"/>
        <item x="288"/>
        <item x="258"/>
        <item x="301"/>
        <item x="213"/>
        <item x="236"/>
        <item x="745"/>
        <item x="133"/>
        <item x="372"/>
        <item x="516"/>
        <item x="484"/>
        <item x="715"/>
        <item x="205"/>
        <item x="126"/>
        <item x="407"/>
        <item x="25"/>
        <item x="753"/>
        <item x="766"/>
        <item x="38"/>
        <item x="51"/>
        <item x="184"/>
        <item x="743"/>
        <item x="562"/>
        <item x="419"/>
        <item x="676"/>
        <item x="110"/>
        <item x="342"/>
        <item x="106"/>
        <item x="720"/>
        <item x="312"/>
        <item x="337"/>
        <item x="478"/>
        <item x="428"/>
        <item x="58"/>
        <item x="113"/>
        <item x="308"/>
        <item x="275"/>
        <item x="396"/>
        <item x="69"/>
        <item x="237"/>
        <item x="537"/>
        <item x="601"/>
        <item x="175"/>
        <item x="728"/>
        <item x="579"/>
        <item x="714"/>
        <item x="504"/>
        <item x="151"/>
        <item x="471"/>
        <item x="435"/>
        <item x="174"/>
        <item x="523"/>
        <item x="219"/>
        <item x="721"/>
        <item x="701"/>
        <item x="83"/>
        <item x="386"/>
        <item x="690"/>
        <item x="157"/>
        <item x="190"/>
        <item x="103"/>
        <item x="660"/>
        <item x="193"/>
        <item x="709"/>
        <item x="179"/>
        <item x="178"/>
        <item x="628"/>
        <item x="188"/>
        <item x="336"/>
        <item x="331"/>
        <item x="201"/>
        <item x="658"/>
        <item x="607"/>
        <item x="475"/>
        <item x="409"/>
        <item x="359"/>
        <item x="711"/>
        <item x="592"/>
        <item x="362"/>
        <item x="117"/>
        <item x="575"/>
        <item x="703"/>
        <item x="97"/>
        <item x="118"/>
        <item x="735"/>
        <item x="123"/>
        <item x="269"/>
        <item x="641"/>
        <item x="706"/>
        <item x="707"/>
        <item x="797"/>
        <item x="763"/>
        <item x="63"/>
        <item x="744"/>
        <item x="366"/>
        <item x="130"/>
        <item x="469"/>
        <item x="617"/>
        <item x="549"/>
        <item x="122"/>
        <item x="497"/>
        <item x="379"/>
        <item x="376"/>
        <item x="661"/>
        <item x="302"/>
        <item x="433"/>
        <item x="785"/>
        <item x="680"/>
        <item x="318"/>
        <item x="591"/>
        <item x="357"/>
        <item x="1"/>
        <item x="425"/>
        <item x="295"/>
        <item x="610"/>
        <item x="568"/>
        <item x="666"/>
        <item x="460"/>
        <item x="446"/>
        <item x="243"/>
        <item x="782"/>
        <item x="356"/>
        <item x="377"/>
        <item x="602"/>
        <item x="464"/>
        <item x="248"/>
        <item x="613"/>
        <item x="554"/>
        <item x="12"/>
        <item x="507"/>
        <item x="499"/>
        <item x="351"/>
        <item x="646"/>
        <item x="760"/>
        <item x="675"/>
        <item x="91"/>
        <item x="48"/>
        <item x="149"/>
        <item x="463"/>
        <item x="595"/>
        <item x="367"/>
        <item x="292"/>
        <item x="421"/>
        <item x="508"/>
        <item x="560"/>
        <item x="338"/>
        <item x="510"/>
        <item x="573"/>
        <item x="539"/>
        <item x="598"/>
        <item x="450"/>
        <item x="673"/>
        <item x="254"/>
        <item x="196"/>
        <item x="289"/>
        <item x="273"/>
        <item x="733"/>
        <item x="154"/>
        <item x="597"/>
        <item x="764"/>
        <item x="195"/>
        <item x="278"/>
        <item x="614"/>
        <item x="531"/>
        <item x="89"/>
        <item x="500"/>
        <item x="235"/>
        <item x="619"/>
        <item x="290"/>
        <item x="194"/>
        <item x="530"/>
        <item x="222"/>
        <item x="385"/>
        <item x="224"/>
        <item x="404"/>
        <item x="618"/>
        <item x="244"/>
        <item x="486"/>
        <item x="46"/>
        <item x="444"/>
        <item x="22"/>
        <item x="232"/>
        <item x="692"/>
        <item x="796"/>
        <item x="611"/>
        <item x="390"/>
        <item x="453"/>
        <item x="99"/>
        <item x="525"/>
        <item x="249"/>
        <item x="778"/>
        <item x="389"/>
        <item x="316"/>
        <item x="221"/>
        <item x="167"/>
        <item x="686"/>
        <item x="467"/>
        <item x="648"/>
        <item x="281"/>
        <item x="754"/>
        <item x="474"/>
        <item x="704"/>
        <item x="717"/>
        <item x="759"/>
        <item x="77"/>
        <item x="346"/>
        <item x="534"/>
        <item x="670"/>
        <item x="697"/>
        <item x="556"/>
        <item x="786"/>
        <item x="527"/>
        <item x="247"/>
        <item x="0"/>
        <item x="131"/>
        <item x="535"/>
        <item x="596"/>
        <item x="656"/>
        <item x="392"/>
        <item x="136"/>
        <item x="566"/>
        <item x="144"/>
        <item x="657"/>
        <item x="217"/>
        <item x="102"/>
        <item x="320"/>
        <item x="412"/>
        <item x="49"/>
        <item x="183"/>
        <item x="40"/>
        <item x="309"/>
        <item x="758"/>
        <item x="319"/>
        <item x="192"/>
        <item x="582"/>
        <item x="137"/>
        <item x="166"/>
        <item x="226"/>
        <item x="511"/>
        <item x="326"/>
        <item x="317"/>
        <item x="291"/>
        <item x="789"/>
        <item x="713"/>
        <item x="773"/>
        <item x="381"/>
        <item x="788"/>
        <item x="780"/>
        <item x="663"/>
        <item x="719"/>
        <item x="410"/>
        <item x="112"/>
        <item x="515"/>
        <item x="776"/>
        <item x="20"/>
        <item x="101"/>
        <item x="640"/>
        <item x="375"/>
        <item x="138"/>
        <item x="79"/>
        <item x="604"/>
        <item x="506"/>
        <item x="747"/>
        <item x="162"/>
        <item x="541"/>
        <item x="39"/>
        <item x="416"/>
        <item x="72"/>
        <item x="96"/>
        <item x="33"/>
        <item x="171"/>
        <item x="370"/>
        <item x="799"/>
        <item x="633"/>
        <item x="406"/>
        <item x="455"/>
        <item x="371"/>
        <item x="262"/>
        <item x="634"/>
        <item x="35"/>
        <item x="399"/>
        <item x="800"/>
        <item x="644"/>
        <item x="651"/>
        <item x="689"/>
        <item x="303"/>
        <item x="726"/>
        <item x="620"/>
        <item x="287"/>
        <item x="256"/>
        <item x="652"/>
        <item x="480"/>
        <item x="132"/>
        <item x="700"/>
        <item x="792"/>
        <item x="330"/>
        <item x="170"/>
        <item x="768"/>
        <item x="741"/>
        <item x="263"/>
        <item x="699"/>
        <item x="147"/>
        <item x="440"/>
        <item x="119"/>
        <item x="17"/>
        <item x="626"/>
        <item x="7"/>
        <item x="185"/>
        <item x="749"/>
        <item x="398"/>
        <item x="443"/>
        <item x="400"/>
        <item x="587"/>
        <item x="259"/>
        <item x="200"/>
        <item x="361"/>
        <item x="570"/>
        <item x="609"/>
        <item x="60"/>
        <item x="93"/>
        <item x="643"/>
        <item x="10"/>
        <item x="129"/>
        <item x="427"/>
        <item x="297"/>
        <item x="18"/>
        <item x="86"/>
        <item x="207"/>
        <item x="165"/>
        <item x="569"/>
        <item x="629"/>
        <item x="731"/>
        <item x="251"/>
        <item x="90"/>
        <item x="31"/>
        <item x="354"/>
        <item x="234"/>
        <item x="36"/>
        <item x="304"/>
        <item x="387"/>
        <item x="577"/>
        <item x="140"/>
        <item x="5"/>
        <item x="197"/>
        <item x="414"/>
        <item x="791"/>
        <item x="311"/>
        <item x="139"/>
        <item x="329"/>
        <item x="583"/>
        <item x="345"/>
        <item x="746"/>
        <item t="default"/>
      </items>
    </pivotField>
    <pivotField compact="0" showAll="0">
      <items count="287">
        <item x="118"/>
        <item x="186"/>
        <item x="50"/>
        <item x="41"/>
        <item x="203"/>
        <item x="108"/>
        <item x="107"/>
        <item x="251"/>
        <item x="147"/>
        <item x="202"/>
        <item x="9"/>
        <item x="235"/>
        <item x="166"/>
        <item x="13"/>
        <item x="103"/>
        <item x="79"/>
        <item x="102"/>
        <item x="244"/>
        <item x="246"/>
        <item x="182"/>
        <item x="93"/>
        <item x="28"/>
        <item x="269"/>
        <item x="219"/>
        <item x="285"/>
        <item x="144"/>
        <item x="69"/>
        <item x="113"/>
        <item x="98"/>
        <item x="43"/>
        <item x="86"/>
        <item x="106"/>
        <item x="173"/>
        <item x="240"/>
        <item x="231"/>
        <item x="85"/>
        <item x="273"/>
        <item x="58"/>
        <item x="210"/>
        <item x="276"/>
        <item x="104"/>
        <item x="157"/>
        <item x="70"/>
        <item x="165"/>
        <item x="230"/>
        <item x="255"/>
        <item x="216"/>
        <item x="105"/>
        <item x="192"/>
        <item x="218"/>
        <item x="221"/>
        <item x="197"/>
        <item x="84"/>
        <item x="211"/>
        <item x="222"/>
        <item x="163"/>
        <item x="234"/>
        <item x="153"/>
        <item x="178"/>
        <item x="23"/>
        <item x="253"/>
        <item x="187"/>
        <item x="31"/>
        <item x="207"/>
        <item x="215"/>
        <item x="224"/>
        <item x="6"/>
        <item x="56"/>
        <item x="156"/>
        <item x="259"/>
        <item x="121"/>
        <item x="274"/>
        <item x="228"/>
        <item x="150"/>
        <item x="170"/>
        <item x="87"/>
        <item x="51"/>
        <item x="80"/>
        <item x="149"/>
        <item x="279"/>
        <item x="67"/>
        <item x="65"/>
        <item x="268"/>
        <item x="277"/>
        <item x="214"/>
        <item x="95"/>
        <item x="15"/>
        <item x="119"/>
        <item x="158"/>
        <item x="57"/>
        <item x="270"/>
        <item x="77"/>
        <item x="220"/>
        <item x="25"/>
        <item x="280"/>
        <item x="128"/>
        <item x="20"/>
        <item x="237"/>
        <item x="92"/>
        <item x="78"/>
        <item x="159"/>
        <item x="59"/>
        <item x="256"/>
        <item x="94"/>
        <item x="64"/>
        <item x="217"/>
        <item x="176"/>
        <item x="206"/>
        <item x="281"/>
        <item x="21"/>
        <item x="151"/>
        <item x="133"/>
        <item x="265"/>
        <item x="252"/>
        <item x="260"/>
        <item x="32"/>
        <item x="100"/>
        <item x="229"/>
        <item x="242"/>
        <item x="90"/>
        <item x="5"/>
        <item x="114"/>
        <item x="127"/>
        <item x="33"/>
        <item x="68"/>
        <item x="125"/>
        <item x="99"/>
        <item x="142"/>
        <item x="141"/>
        <item x="266"/>
        <item x="239"/>
        <item x="47"/>
        <item x="7"/>
        <item x="185"/>
        <item x="117"/>
        <item x="18"/>
        <item x="115"/>
        <item x="91"/>
        <item x="49"/>
        <item x="188"/>
        <item x="223"/>
        <item x="42"/>
        <item x="19"/>
        <item x="145"/>
        <item x="17"/>
        <item x="184"/>
        <item x="14"/>
        <item x="73"/>
        <item x="83"/>
        <item x="161"/>
        <item x="10"/>
        <item x="39"/>
        <item x="137"/>
        <item x="199"/>
        <item x="123"/>
        <item x="135"/>
        <item x="257"/>
        <item x="283"/>
        <item x="241"/>
        <item x="198"/>
        <item x="195"/>
        <item x="226"/>
        <item x="101"/>
        <item x="181"/>
        <item x="27"/>
        <item x="37"/>
        <item x="213"/>
        <item x="189"/>
        <item x="177"/>
        <item x="35"/>
        <item x="174"/>
        <item x="124"/>
        <item x="132"/>
        <item x="183"/>
        <item x="243"/>
        <item x="233"/>
        <item x="264"/>
        <item x="81"/>
        <item x="53"/>
        <item x="109"/>
        <item x="167"/>
        <item x="212"/>
        <item x="110"/>
        <item x="227"/>
        <item x="193"/>
        <item x="89"/>
        <item x="236"/>
        <item x="146"/>
        <item x="272"/>
        <item x="0"/>
        <item x="46"/>
        <item x="148"/>
        <item x="112"/>
        <item x="72"/>
        <item x="248"/>
        <item x="24"/>
        <item x="96"/>
        <item x="38"/>
        <item x="168"/>
        <item x="143"/>
        <item x="263"/>
        <item x="55"/>
        <item x="29"/>
        <item x="76"/>
        <item x="60"/>
        <item x="111"/>
        <item x="45"/>
        <item x="262"/>
        <item x="238"/>
        <item x="30"/>
        <item x="190"/>
        <item x="204"/>
        <item x="52"/>
        <item x="139"/>
        <item x="200"/>
        <item x="160"/>
        <item x="169"/>
        <item x="134"/>
        <item x="171"/>
        <item x="155"/>
        <item x="275"/>
        <item x="22"/>
        <item x="1"/>
        <item x="66"/>
        <item x="54"/>
        <item x="16"/>
        <item x="201"/>
        <item x="44"/>
        <item x="88"/>
        <item x="140"/>
        <item x="284"/>
        <item x="122"/>
        <item x="74"/>
        <item x="97"/>
        <item x="71"/>
        <item x="40"/>
        <item x="208"/>
        <item x="271"/>
        <item x="131"/>
        <item x="75"/>
        <item x="48"/>
        <item x="129"/>
        <item x="36"/>
        <item x="164"/>
        <item x="3"/>
        <item x="196"/>
        <item x="26"/>
        <item x="209"/>
        <item x="12"/>
        <item x="82"/>
        <item x="8"/>
        <item x="282"/>
        <item x="254"/>
        <item x="4"/>
        <item x="62"/>
        <item x="191"/>
        <item x="162"/>
        <item x="249"/>
        <item x="205"/>
        <item x="120"/>
        <item x="278"/>
        <item x="152"/>
        <item x="232"/>
        <item x="194"/>
        <item x="225"/>
        <item x="267"/>
        <item x="175"/>
        <item x="136"/>
        <item x="116"/>
        <item x="261"/>
        <item x="11"/>
        <item x="138"/>
        <item x="34"/>
        <item x="130"/>
        <item x="247"/>
        <item x="180"/>
        <item x="61"/>
        <item x="245"/>
        <item x="172"/>
        <item x="179"/>
        <item x="154"/>
        <item x="250"/>
        <item x="2"/>
        <item x="258"/>
        <item x="63"/>
        <item x="126"/>
        <item t="default"/>
      </items>
    </pivotField>
    <pivotField compact="0" showAll="0">
      <items count="267">
        <item x="85"/>
        <item x="218"/>
        <item x="209"/>
        <item x="7"/>
        <item x="90"/>
        <item x="16"/>
        <item x="73"/>
        <item x="92"/>
        <item x="141"/>
        <item x="46"/>
        <item x="116"/>
        <item x="74"/>
        <item x="72"/>
        <item x="194"/>
        <item x="250"/>
        <item x="88"/>
        <item x="158"/>
        <item x="111"/>
        <item x="206"/>
        <item x="41"/>
        <item x="191"/>
        <item x="54"/>
        <item x="261"/>
        <item x="78"/>
        <item x="66"/>
        <item x="14"/>
        <item x="170"/>
        <item x="101"/>
        <item x="149"/>
        <item x="94"/>
        <item x="183"/>
        <item x="160"/>
        <item x="130"/>
        <item x="84"/>
        <item x="18"/>
        <item x="144"/>
        <item x="28"/>
        <item x="34"/>
        <item x="161"/>
        <item x="103"/>
        <item x="113"/>
        <item x="152"/>
        <item x="83"/>
        <item x="20"/>
        <item x="256"/>
        <item x="71"/>
        <item x="245"/>
        <item x="17"/>
        <item x="43"/>
        <item x="205"/>
        <item x="27"/>
        <item x="13"/>
        <item x="55"/>
        <item x="232"/>
        <item x="47"/>
        <item x="147"/>
        <item x="86"/>
        <item x="229"/>
        <item x="33"/>
        <item x="24"/>
        <item x="203"/>
        <item x="234"/>
        <item x="0"/>
        <item x="148"/>
        <item x="51"/>
        <item x="59"/>
        <item x="108"/>
        <item x="104"/>
        <item x="181"/>
        <item x="216"/>
        <item x="11"/>
        <item x="265"/>
        <item x="213"/>
        <item x="235"/>
        <item x="133"/>
        <item x="128"/>
        <item x="119"/>
        <item x="236"/>
        <item x="99"/>
        <item x="257"/>
        <item x="26"/>
        <item x="248"/>
        <item x="255"/>
        <item x="10"/>
        <item x="58"/>
        <item x="214"/>
        <item x="122"/>
        <item x="8"/>
        <item x="91"/>
        <item x="253"/>
        <item x="242"/>
        <item x="32"/>
        <item x="70"/>
        <item x="68"/>
        <item x="131"/>
        <item x="42"/>
        <item x="208"/>
        <item x="167"/>
        <item x="179"/>
        <item x="244"/>
        <item x="157"/>
        <item x="212"/>
        <item x="231"/>
        <item x="175"/>
        <item x="39"/>
        <item x="40"/>
        <item x="184"/>
        <item x="50"/>
        <item x="93"/>
        <item x="200"/>
        <item x="220"/>
        <item x="81"/>
        <item x="62"/>
        <item x="204"/>
        <item x="132"/>
        <item x="118"/>
        <item x="57"/>
        <item x="237"/>
        <item x="195"/>
        <item x="164"/>
        <item x="263"/>
        <item x="25"/>
        <item x="146"/>
        <item x="260"/>
        <item x="44"/>
        <item x="171"/>
        <item x="109"/>
        <item x="264"/>
        <item x="249"/>
        <item x="239"/>
        <item x="9"/>
        <item x="211"/>
        <item x="19"/>
        <item x="192"/>
        <item x="224"/>
        <item x="6"/>
        <item x="233"/>
        <item x="198"/>
        <item x="96"/>
        <item x="254"/>
        <item x="30"/>
        <item x="163"/>
        <item x="38"/>
        <item x="48"/>
        <item x="114"/>
        <item x="246"/>
        <item x="2"/>
        <item x="3"/>
        <item x="168"/>
        <item x="1"/>
        <item x="139"/>
        <item x="49"/>
        <item x="199"/>
        <item x="219"/>
        <item x="182"/>
        <item x="180"/>
        <item x="243"/>
        <item x="145"/>
        <item x="238"/>
        <item x="87"/>
        <item x="258"/>
        <item x="185"/>
        <item x="225"/>
        <item x="197"/>
        <item x="247"/>
        <item x="107"/>
        <item x="186"/>
        <item x="127"/>
        <item x="177"/>
        <item x="140"/>
        <item x="215"/>
        <item x="142"/>
        <item x="240"/>
        <item x="173"/>
        <item x="201"/>
        <item x="143"/>
        <item x="230"/>
        <item x="137"/>
        <item x="45"/>
        <item x="110"/>
        <item x="138"/>
        <item x="95"/>
        <item x="129"/>
        <item x="106"/>
        <item x="259"/>
        <item x="210"/>
        <item x="31"/>
        <item x="196"/>
        <item x="61"/>
        <item x="36"/>
        <item x="251"/>
        <item x="4"/>
        <item x="178"/>
        <item x="89"/>
        <item x="121"/>
        <item x="56"/>
        <item x="189"/>
        <item x="126"/>
        <item x="97"/>
        <item x="217"/>
        <item x="112"/>
        <item x="252"/>
        <item x="120"/>
        <item x="241"/>
        <item x="105"/>
        <item x="188"/>
        <item x="155"/>
        <item x="23"/>
        <item x="193"/>
        <item x="29"/>
        <item x="202"/>
        <item x="82"/>
        <item x="165"/>
        <item x="124"/>
        <item x="226"/>
        <item x="65"/>
        <item x="5"/>
        <item x="169"/>
        <item x="207"/>
        <item x="228"/>
        <item x="150"/>
        <item x="64"/>
        <item x="123"/>
        <item x="125"/>
        <item x="187"/>
        <item x="102"/>
        <item x="262"/>
        <item x="223"/>
        <item x="98"/>
        <item x="79"/>
        <item x="151"/>
        <item x="174"/>
        <item x="37"/>
        <item x="75"/>
        <item x="221"/>
        <item x="136"/>
        <item x="115"/>
        <item x="63"/>
        <item x="162"/>
        <item x="69"/>
        <item x="227"/>
        <item x="12"/>
        <item x="35"/>
        <item x="166"/>
        <item x="117"/>
        <item x="172"/>
        <item x="159"/>
        <item x="21"/>
        <item x="176"/>
        <item x="77"/>
        <item x="134"/>
        <item x="53"/>
        <item x="222"/>
        <item x="80"/>
        <item x="60"/>
        <item x="153"/>
        <item x="67"/>
        <item x="100"/>
        <item x="154"/>
        <item x="76"/>
        <item x="135"/>
        <item x="22"/>
        <item x="52"/>
        <item x="15"/>
        <item x="156"/>
        <item x="19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1">
        <item x="36"/>
        <item x="28"/>
        <item x="4"/>
        <item x="13"/>
        <item x="34"/>
        <item x="35"/>
        <item x="32"/>
        <item x="12"/>
        <item x="30"/>
        <item x="5"/>
        <item x="1"/>
        <item x="37"/>
        <item x="27"/>
        <item x="16"/>
        <item x="8"/>
        <item x="0"/>
        <item x="24"/>
        <item x="9"/>
        <item x="25"/>
        <item x="15"/>
        <item x="17"/>
        <item x="29"/>
        <item x="22"/>
        <item x="14"/>
        <item x="33"/>
        <item x="39"/>
        <item x="2"/>
        <item x="20"/>
        <item x="6"/>
        <item x="23"/>
        <item x="7"/>
        <item x="10"/>
        <item x="19"/>
        <item x="21"/>
        <item x="38"/>
        <item x="31"/>
        <item x="3"/>
        <item x="11"/>
        <item x="18"/>
        <item x="26"/>
        <item t="default"/>
      </items>
    </pivotField>
    <pivotField compact="0" showAll="0">
      <items count="108">
        <item x="60"/>
        <item x="35"/>
        <item x="58"/>
        <item x="48"/>
        <item x="79"/>
        <item x="27"/>
        <item x="25"/>
        <item x="75"/>
        <item x="65"/>
        <item x="9"/>
        <item x="8"/>
        <item x="50"/>
        <item x="71"/>
        <item x="30"/>
        <item x="32"/>
        <item x="10"/>
        <item x="55"/>
        <item x="46"/>
        <item x="18"/>
        <item x="22"/>
        <item x="105"/>
        <item x="78"/>
        <item x="54"/>
        <item x="94"/>
        <item x="86"/>
        <item x="95"/>
        <item x="100"/>
        <item x="57"/>
        <item x="87"/>
        <item x="76"/>
        <item x="41"/>
        <item x="64"/>
        <item x="80"/>
        <item x="29"/>
        <item x="53"/>
        <item x="19"/>
        <item x="52"/>
        <item x="97"/>
        <item x="56"/>
        <item x="7"/>
        <item x="101"/>
        <item x="17"/>
        <item x="40"/>
        <item x="23"/>
        <item x="11"/>
        <item x="59"/>
        <item x="72"/>
        <item x="12"/>
        <item x="103"/>
        <item x="16"/>
        <item x="21"/>
        <item x="49"/>
        <item x="88"/>
        <item x="67"/>
        <item x="4"/>
        <item x="98"/>
        <item x="44"/>
        <item x="39"/>
        <item x="5"/>
        <item x="20"/>
        <item x="84"/>
        <item x="77"/>
        <item x="89"/>
        <item x="28"/>
        <item x="1"/>
        <item x="45"/>
        <item x="90"/>
        <item x="0"/>
        <item x="74"/>
        <item x="82"/>
        <item x="62"/>
        <item x="70"/>
        <item x="47"/>
        <item x="37"/>
        <item x="83"/>
        <item x="63"/>
        <item x="93"/>
        <item x="33"/>
        <item x="51"/>
        <item x="102"/>
        <item x="85"/>
        <item x="2"/>
        <item x="14"/>
        <item x="34"/>
        <item x="13"/>
        <item x="26"/>
        <item x="104"/>
        <item x="69"/>
        <item x="61"/>
        <item x="73"/>
        <item x="92"/>
        <item x="91"/>
        <item x="96"/>
        <item x="66"/>
        <item x="3"/>
        <item x="68"/>
        <item x="106"/>
        <item x="15"/>
        <item x="43"/>
        <item x="42"/>
        <item x="99"/>
        <item x="6"/>
        <item x="24"/>
        <item x="36"/>
        <item x="31"/>
        <item x="38"/>
        <item x="81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68">
        <item x="50"/>
        <item x="3"/>
        <item x="11"/>
        <item x="37"/>
        <item x="53"/>
        <item x="54"/>
        <item x="9"/>
        <item x="55"/>
        <item x="41"/>
        <item x="14"/>
        <item x="44"/>
        <item x="49"/>
        <item x="5"/>
        <item x="58"/>
        <item x="26"/>
        <item x="27"/>
        <item x="48"/>
        <item x="23"/>
        <item x="7"/>
        <item x="32"/>
        <item x="25"/>
        <item x="46"/>
        <item x="47"/>
        <item x="4"/>
        <item x="52"/>
        <item x="57"/>
        <item x="35"/>
        <item x="24"/>
        <item x="19"/>
        <item x="39"/>
        <item x="29"/>
        <item x="28"/>
        <item x="60"/>
        <item x="36"/>
        <item x="40"/>
        <item x="65"/>
        <item x="15"/>
        <item x="30"/>
        <item x="56"/>
        <item x="62"/>
        <item x="0"/>
        <item x="6"/>
        <item x="21"/>
        <item x="12"/>
        <item x="8"/>
        <item x="66"/>
        <item x="63"/>
        <item x="33"/>
        <item x="18"/>
        <item x="34"/>
        <item x="42"/>
        <item x="64"/>
        <item x="38"/>
        <item x="31"/>
        <item x="16"/>
        <item x="59"/>
        <item x="1"/>
        <item x="51"/>
        <item x="20"/>
        <item x="10"/>
        <item x="43"/>
        <item x="17"/>
        <item x="45"/>
        <item x="22"/>
        <item x="61"/>
        <item x="13"/>
        <item x="2"/>
        <item t="default"/>
      </items>
    </pivotField>
    <pivotField axis="axisRow" compact="0" sortType="descending" showAll="0">
      <items count="4">
        <item x="0"/>
        <item x="2"/>
        <item x="1"/>
        <item t="default"/>
      </items>
    </pivotField>
    <pivotField compact="0" showAll="0">
      <items count="15">
        <item x="5"/>
        <item x="0"/>
        <item x="13"/>
        <item x="12"/>
        <item x="9"/>
        <item x="8"/>
        <item x="11"/>
        <item x="4"/>
        <item x="3"/>
        <item x="10"/>
        <item x="2"/>
        <item x="7"/>
        <item x="6"/>
        <item x="1"/>
        <item t="default"/>
      </items>
    </pivotField>
    <pivotField compact="0" showAll="0">
      <items count="68">
        <item x="34"/>
        <item x="29"/>
        <item x="23"/>
        <item x="5"/>
        <item x="1"/>
        <item x="58"/>
        <item x="50"/>
        <item x="40"/>
        <item x="14"/>
        <item x="57"/>
        <item x="32"/>
        <item x="51"/>
        <item x="56"/>
        <item x="13"/>
        <item x="63"/>
        <item x="17"/>
        <item x="54"/>
        <item x="39"/>
        <item x="20"/>
        <item x="37"/>
        <item x="46"/>
        <item x="31"/>
        <item x="4"/>
        <item x="9"/>
        <item x="8"/>
        <item x="19"/>
        <item x="12"/>
        <item x="36"/>
        <item x="0"/>
        <item x="35"/>
        <item x="27"/>
        <item x="60"/>
        <item x="49"/>
        <item x="7"/>
        <item x="55"/>
        <item x="33"/>
        <item x="59"/>
        <item x="41"/>
        <item x="2"/>
        <item x="16"/>
        <item x="18"/>
        <item x="10"/>
        <item x="47"/>
        <item x="43"/>
        <item x="11"/>
        <item x="64"/>
        <item x="30"/>
        <item x="61"/>
        <item x="21"/>
        <item x="42"/>
        <item x="22"/>
        <item x="66"/>
        <item x="6"/>
        <item x="3"/>
        <item x="48"/>
        <item x="26"/>
        <item x="24"/>
        <item x="44"/>
        <item x="25"/>
        <item x="52"/>
        <item x="62"/>
        <item x="45"/>
        <item x="28"/>
        <item x="15"/>
        <item x="65"/>
        <item x="53"/>
        <item x="38"/>
        <item t="default"/>
      </items>
    </pivotField>
    <pivotField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>
      <items count="6">
        <item x="2"/>
        <item x="0"/>
        <item x="4"/>
        <item x="1"/>
        <item x="3"/>
        <item t="default"/>
      </items>
    </pivotField>
    <pivotField compact="0" showAll="0">
      <items count="8">
        <item x="0"/>
        <item x="4"/>
        <item x="6"/>
        <item x="1"/>
        <item x="2"/>
        <item x="3"/>
        <item x="5"/>
        <item t="default"/>
      </items>
    </pivotField>
    <pivotField compact="0" showAll="0">
      <items count="5">
        <item x="2"/>
        <item x="3"/>
        <item x="1"/>
        <item x="0"/>
        <item t="default"/>
      </items>
    </pivotField>
    <pivotField dataField="1"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>
      <items count="1046">
        <item x="790"/>
        <item x="850"/>
        <item x="949"/>
        <item x="179"/>
        <item x="614"/>
        <item x="150"/>
        <item x="10"/>
        <item x="413"/>
        <item x="218"/>
        <item x="529"/>
        <item x="947"/>
        <item x="844"/>
        <item x="94"/>
        <item x="45"/>
        <item x="432"/>
        <item x="281"/>
        <item x="197"/>
        <item x="43"/>
        <item x="970"/>
        <item x="407"/>
        <item x="1007"/>
        <item x="551"/>
        <item x="79"/>
        <item x="337"/>
        <item x="512"/>
        <item x="803"/>
        <item x="1039"/>
        <item x="598"/>
        <item x="916"/>
        <item x="2"/>
        <item x="71"/>
        <item x="76"/>
        <item x="421"/>
        <item x="973"/>
        <item x="22"/>
        <item x="494"/>
        <item x="482"/>
        <item x="133"/>
        <item x="468"/>
        <item x="151"/>
        <item x="85"/>
        <item x="86"/>
        <item x="856"/>
        <item x="334"/>
        <item x="571"/>
        <item x="241"/>
        <item x="503"/>
        <item x="687"/>
        <item x="992"/>
        <item x="760"/>
        <item x="872"/>
        <item x="889"/>
        <item x="591"/>
        <item x="804"/>
        <item x="446"/>
        <item x="353"/>
        <item x="594"/>
        <item x="246"/>
        <item x="481"/>
        <item x="479"/>
        <item x="518"/>
        <item x="720"/>
        <item x="393"/>
        <item x="41"/>
        <item x="122"/>
        <item x="735"/>
        <item x="840"/>
        <item x="98"/>
        <item x="537"/>
        <item x="358"/>
        <item x="733"/>
        <item x="826"/>
        <item x="627"/>
        <item x="140"/>
        <item x="788"/>
        <item x="600"/>
        <item x="755"/>
        <item x="771"/>
        <item x="1017"/>
        <item x="198"/>
        <item x="470"/>
        <item x="911"/>
        <item x="667"/>
        <item x="904"/>
        <item x="945"/>
        <item x="572"/>
        <item x="862"/>
        <item x="467"/>
        <item x="236"/>
        <item x="694"/>
        <item x="590"/>
        <item x="196"/>
        <item x="756"/>
        <item x="999"/>
        <item x="462"/>
        <item x="930"/>
        <item x="1003"/>
        <item x="960"/>
        <item x="351"/>
        <item x="156"/>
        <item x="91"/>
        <item x="759"/>
        <item x="1044"/>
        <item x="573"/>
        <item x="567"/>
        <item x="801"/>
        <item x="190"/>
        <item x="805"/>
        <item x="329"/>
        <item x="746"/>
        <item x="855"/>
        <item x="453"/>
        <item x="817"/>
        <item x="679"/>
        <item x="384"/>
        <item x="55"/>
        <item x="3"/>
        <item x="319"/>
        <item x="596"/>
        <item x="888"/>
        <item x="360"/>
        <item x="1031"/>
        <item x="993"/>
        <item x="111"/>
        <item x="332"/>
        <item x="807"/>
        <item x="642"/>
        <item x="778"/>
        <item x="1004"/>
        <item x="743"/>
        <item x="873"/>
        <item x="765"/>
        <item x="320"/>
        <item x="347"/>
        <item x="1014"/>
        <item x="584"/>
        <item x="66"/>
        <item x="546"/>
        <item x="30"/>
        <item x="371"/>
        <item x="115"/>
        <item x="311"/>
        <item x="524"/>
        <item x="701"/>
        <item x="60"/>
        <item x="890"/>
        <item x="107"/>
        <item x="417"/>
        <item x="967"/>
        <item x="1022"/>
        <item x="231"/>
        <item x="476"/>
        <item x="202"/>
        <item x="507"/>
        <item x="406"/>
        <item x="906"/>
        <item x="689"/>
        <item x="714"/>
        <item x="678"/>
        <item x="294"/>
        <item x="516"/>
        <item x="798"/>
        <item x="451"/>
        <item x="568"/>
        <item x="723"/>
        <item x="1010"/>
        <item x="913"/>
        <item x="797"/>
        <item x="172"/>
        <item x="654"/>
        <item x="608"/>
        <item x="129"/>
        <item x="377"/>
        <item x="810"/>
        <item x="1024"/>
        <item x="846"/>
        <item x="675"/>
        <item x="341"/>
        <item x="941"/>
        <item x="483"/>
        <item x="160"/>
        <item x="112"/>
        <item x="861"/>
        <item x="442"/>
        <item x="726"/>
        <item x="976"/>
        <item x="1013"/>
        <item x="514"/>
        <item x="431"/>
        <item x="853"/>
        <item x="995"/>
        <item x="365"/>
        <item x="865"/>
        <item x="506"/>
        <item x="176"/>
        <item x="891"/>
        <item x="794"/>
        <item x="96"/>
        <item x="622"/>
        <item x="505"/>
        <item x="306"/>
        <item x="951"/>
        <item x="980"/>
        <item x="823"/>
        <item x="422"/>
        <item x="242"/>
        <item x="501"/>
        <item x="581"/>
        <item x="705"/>
        <item x="89"/>
        <item x="321"/>
        <item x="712"/>
        <item x="33"/>
        <item x="29"/>
        <item x="280"/>
        <item x="381"/>
        <item x="175"/>
        <item x="486"/>
        <item x="814"/>
        <item x="69"/>
        <item x="1027"/>
        <item x="350"/>
        <item x="343"/>
        <item x="842"/>
        <item x="173"/>
        <item x="127"/>
        <item x="364"/>
        <item x="954"/>
        <item x="737"/>
        <item x="63"/>
        <item x="1016"/>
        <item x="73"/>
        <item x="559"/>
        <item x="605"/>
        <item x="977"/>
        <item x="874"/>
        <item x="880"/>
        <item x="668"/>
        <item x="201"/>
        <item x="272"/>
        <item x="108"/>
        <item x="744"/>
        <item x="301"/>
        <item x="187"/>
        <item x="782"/>
        <item x="14"/>
        <item x="685"/>
        <item x="711"/>
        <item x="521"/>
        <item x="132"/>
        <item x="955"/>
        <item x="833"/>
        <item x="245"/>
        <item x="217"/>
        <item x="165"/>
        <item x="169"/>
        <item x="963"/>
        <item x="613"/>
        <item x="652"/>
        <item x="250"/>
        <item x="616"/>
        <item x="138"/>
        <item x="772"/>
        <item x="184"/>
        <item x="897"/>
        <item x="416"/>
        <item x="411"/>
        <item x="644"/>
        <item x="864"/>
        <item x="829"/>
        <item x="225"/>
        <item x="730"/>
        <item x="137"/>
        <item x="39"/>
        <item x="178"/>
        <item x="99"/>
        <item x="1009"/>
        <item x="502"/>
        <item x="509"/>
        <item x="934"/>
        <item x="437"/>
        <item x="309"/>
        <item x="921"/>
        <item x="899"/>
        <item x="731"/>
        <item x="101"/>
        <item x="16"/>
        <item x="326"/>
        <item x="356"/>
        <item x="768"/>
        <item x="520"/>
        <item x="869"/>
        <item x="82"/>
        <item x="209"/>
        <item x="617"/>
        <item x="656"/>
        <item x="739"/>
        <item x="700"/>
        <item x="354"/>
        <item x="224"/>
        <item x="896"/>
        <item x="5"/>
        <item x="610"/>
        <item x="867"/>
        <item x="310"/>
        <item x="335"/>
        <item x="59"/>
        <item x="972"/>
        <item x="643"/>
        <item x="1006"/>
        <item x="665"/>
        <item x="57"/>
        <item x="1043"/>
        <item x="908"/>
        <item x="877"/>
        <item x="62"/>
        <item x="296"/>
        <item x="136"/>
        <item x="854"/>
        <item x="323"/>
        <item x="886"/>
        <item x="764"/>
        <item x="660"/>
        <item x="562"/>
        <item x="177"/>
        <item x="379"/>
        <item x="21"/>
        <item x="828"/>
        <item x="51"/>
        <item x="903"/>
        <item x="330"/>
        <item x="728"/>
        <item x="698"/>
        <item x="428"/>
        <item x="615"/>
        <item x="511"/>
        <item x="147"/>
        <item x="915"/>
        <item x="750"/>
        <item x="966"/>
        <item x="199"/>
        <item x="425"/>
        <item x="555"/>
        <item x="781"/>
        <item x="36"/>
        <item x="989"/>
        <item x="271"/>
        <item x="919"/>
        <item x="283"/>
        <item x="424"/>
        <item x="265"/>
        <item x="752"/>
        <item x="273"/>
        <item x="52"/>
        <item x="834"/>
        <item x="721"/>
        <item x="774"/>
        <item x="148"/>
        <item x="193"/>
        <item x="81"/>
        <item x="830"/>
        <item x="255"/>
        <item x="121"/>
        <item x="312"/>
        <item x="1030"/>
        <item x="946"/>
        <item x="676"/>
        <item x="363"/>
        <item x="939"/>
        <item x="158"/>
        <item x="879"/>
        <item x="370"/>
        <item x="556"/>
        <item x="736"/>
        <item x="355"/>
        <item x="986"/>
        <item x="692"/>
        <item x="709"/>
        <item x="881"/>
        <item x="61"/>
        <item x="300"/>
        <item x="113"/>
        <item x="892"/>
        <item x="858"/>
        <item x="387"/>
        <item x="359"/>
        <item x="589"/>
        <item x="182"/>
        <item x="549"/>
        <item x="460"/>
        <item x="670"/>
        <item x="34"/>
        <item x="808"/>
        <item x="742"/>
        <item x="286"/>
        <item x="900"/>
        <item x="612"/>
        <item x="767"/>
        <item x="221"/>
        <item x="749"/>
        <item x="478"/>
        <item x="487"/>
        <item x="208"/>
        <item x="1040"/>
        <item x="910"/>
        <item x="563"/>
        <item x="415"/>
        <item x="681"/>
        <item x="666"/>
        <item x="163"/>
        <item x="290"/>
        <item x="314"/>
        <item x="244"/>
        <item x="362"/>
        <item x="1011"/>
        <item x="631"/>
        <item x="868"/>
        <item x="338"/>
        <item x="454"/>
        <item x="317"/>
        <item x="553"/>
        <item x="83"/>
        <item x="270"/>
        <item x="539"/>
        <item x="534"/>
        <item x="118"/>
        <item x="531"/>
        <item x="144"/>
        <item x="649"/>
        <item x="796"/>
        <item x="958"/>
        <item x="410"/>
        <item x="426"/>
        <item x="777"/>
        <item x="23"/>
        <item x="1029"/>
        <item x="961"/>
        <item x="528"/>
        <item x="727"/>
        <item x="838"/>
        <item x="325"/>
        <item x="657"/>
        <item x="388"/>
        <item x="206"/>
        <item x="395"/>
        <item x="78"/>
        <item x="702"/>
        <item x="344"/>
        <item x="527"/>
        <item x="42"/>
        <item x="525"/>
        <item x="942"/>
        <item x="965"/>
        <item x="474"/>
        <item x="414"/>
        <item x="418"/>
        <item x="706"/>
        <item x="471"/>
        <item x="860"/>
        <item x="472"/>
        <item x="464"/>
        <item x="918"/>
        <item x="461"/>
        <item x="601"/>
        <item x="609"/>
        <item x="580"/>
        <item x="403"/>
        <item x="651"/>
        <item x="932"/>
        <item x="28"/>
        <item x="342"/>
        <item x="893"/>
        <item x="1025"/>
        <item x="725"/>
        <item x="587"/>
        <item x="816"/>
        <item x="1028"/>
        <item x="925"/>
        <item x="975"/>
        <item x="770"/>
        <item x="412"/>
        <item x="708"/>
        <item x="97"/>
        <item x="157"/>
        <item x="102"/>
        <item x="800"/>
        <item x="251"/>
        <item x="128"/>
        <item x="991"/>
        <item x="348"/>
        <item x="408"/>
        <item x="588"/>
        <item x="465"/>
        <item x="46"/>
        <item x="914"/>
        <item x="20"/>
        <item x="409"/>
        <item x="940"/>
        <item x="785"/>
        <item x="983"/>
        <item x="316"/>
        <item x="636"/>
        <item x="213"/>
        <item x="751"/>
        <item x="70"/>
        <item x="162"/>
        <item x="488"/>
        <item x="64"/>
        <item x="570"/>
        <item x="49"/>
        <item x="146"/>
        <item x="646"/>
        <item x="812"/>
        <item x="489"/>
        <item x="139"/>
        <item x="500"/>
        <item x="253"/>
        <item x="498"/>
        <item x="400"/>
        <item x="305"/>
        <item x="427"/>
        <item x="1035"/>
        <item x="24"/>
        <item x="894"/>
        <item x="490"/>
        <item x="745"/>
        <item x="194"/>
        <item x="766"/>
        <item x="195"/>
        <item x="84"/>
        <item x="11"/>
        <item x="558"/>
        <item x="628"/>
        <item x="382"/>
        <item x="105"/>
        <item x="820"/>
        <item x="131"/>
        <item x="707"/>
        <item x="186"/>
        <item x="247"/>
        <item x="58"/>
        <item x="757"/>
        <item x="210"/>
        <item x="952"/>
        <item x="346"/>
        <item x="926"/>
        <item x="637"/>
        <item x="339"/>
        <item x="237"/>
        <item x="402"/>
        <item x="313"/>
        <item x="948"/>
        <item x="917"/>
        <item x="818"/>
        <item x="922"/>
        <item x="90"/>
        <item x="499"/>
        <item x="1033"/>
        <item x="109"/>
        <item x="576"/>
        <item x="32"/>
        <item x="710"/>
        <item x="1018"/>
        <item x="259"/>
        <item x="18"/>
        <item x="124"/>
        <item x="565"/>
        <item x="815"/>
        <item x="802"/>
        <item x="847"/>
        <item x="496"/>
        <item x="968"/>
        <item x="545"/>
        <item x="912"/>
        <item x="466"/>
        <item x="758"/>
        <item x="276"/>
        <item x="787"/>
        <item x="560"/>
        <item x="741"/>
        <item x="216"/>
        <item x="8"/>
        <item x="95"/>
        <item x="171"/>
        <item x="533"/>
        <item x="988"/>
        <item x="110"/>
        <item x="979"/>
        <item x="404"/>
        <item x="1041"/>
        <item x="333"/>
        <item x="443"/>
        <item x="1036"/>
        <item x="304"/>
        <item x="249"/>
        <item x="887"/>
        <item x="536"/>
        <item x="282"/>
        <item x="450"/>
        <item x="376"/>
        <item x="7"/>
        <item x="423"/>
        <item x="821"/>
        <item x="72"/>
        <item x="120"/>
        <item x="688"/>
        <item x="17"/>
        <item x="372"/>
        <item x="457"/>
        <item x="315"/>
        <item x="373"/>
        <item x="357"/>
        <item x="653"/>
        <item x="27"/>
        <item x="495"/>
        <item x="898"/>
        <item x="159"/>
        <item x="827"/>
        <item x="704"/>
        <item x="747"/>
        <item x="650"/>
        <item x="324"/>
        <item x="229"/>
        <item x="813"/>
        <item x="240"/>
        <item x="219"/>
        <item x="390"/>
        <item x="68"/>
        <item x="871"/>
        <item x="274"/>
        <item x="784"/>
        <item x="212"/>
        <item x="931"/>
        <item x="469"/>
        <item x="491"/>
        <item x="438"/>
        <item x="366"/>
        <item x="88"/>
        <item x="962"/>
        <item x="526"/>
        <item x="647"/>
        <item x="267"/>
        <item x="180"/>
        <item x="718"/>
        <item x="396"/>
        <item x="67"/>
        <item x="125"/>
        <item x="632"/>
        <item x="950"/>
        <item x="611"/>
        <item x="174"/>
        <item x="607"/>
        <item x="445"/>
        <item x="806"/>
        <item x="717"/>
        <item x="234"/>
        <item x="849"/>
        <item x="492"/>
        <item x="544"/>
        <item x="935"/>
        <item x="547"/>
        <item x="441"/>
        <item x="902"/>
        <item x="780"/>
        <item x="389"/>
        <item x="257"/>
        <item x="884"/>
        <item x="263"/>
        <item x="380"/>
        <item x="543"/>
        <item x="230"/>
        <item x="936"/>
        <item x="597"/>
        <item x="226"/>
        <item x="602"/>
        <item x="510"/>
        <item x="289"/>
        <item x="699"/>
        <item x="266"/>
        <item x="783"/>
        <item x="1021"/>
        <item x="6"/>
        <item x="40"/>
        <item x="252"/>
        <item x="619"/>
        <item x="149"/>
        <item x="1000"/>
        <item x="577"/>
        <item x="123"/>
        <item x="449"/>
        <item x="1012"/>
        <item x="839"/>
        <item x="19"/>
        <item x="170"/>
        <item x="870"/>
        <item x="166"/>
        <item x="181"/>
        <item x="238"/>
        <item x="277"/>
        <item x="641"/>
        <item x="696"/>
        <item x="857"/>
        <item x="264"/>
        <item x="578"/>
        <item x="722"/>
        <item x="848"/>
        <item x="155"/>
        <item x="981"/>
        <item x="585"/>
        <item x="761"/>
        <item x="154"/>
        <item x="243"/>
        <item x="517"/>
        <item x="953"/>
        <item x="420"/>
        <item x="161"/>
        <item x="26"/>
        <item x="1042"/>
        <item x="664"/>
        <item x="227"/>
        <item x="447"/>
        <item x="554"/>
        <item x="978"/>
        <item x="1"/>
        <item x="92"/>
        <item x="322"/>
        <item x="959"/>
        <item x="214"/>
        <item x="167"/>
        <item x="1034"/>
        <item x="895"/>
        <item x="1037"/>
        <item x="297"/>
        <item x="369"/>
        <item x="625"/>
        <item x="695"/>
        <item x="75"/>
        <item x="235"/>
        <item x="401"/>
        <item x="542"/>
        <item x="513"/>
        <item x="569"/>
        <item x="203"/>
        <item x="863"/>
        <item x="583"/>
        <item x="974"/>
        <item x="541"/>
        <item x="458"/>
        <item x="740"/>
        <item x="336"/>
        <item x="429"/>
        <item x="399"/>
        <item x="385"/>
        <item x="835"/>
        <item x="100"/>
        <item x="15"/>
        <item x="303"/>
        <item x="116"/>
        <item x="77"/>
        <item x="1032"/>
        <item x="690"/>
        <item x="223"/>
        <item x="566"/>
        <item x="792"/>
        <item x="825"/>
        <item x="621"/>
        <item x="851"/>
        <item x="192"/>
        <item x="456"/>
        <item x="982"/>
        <item x="789"/>
        <item x="795"/>
        <item x="448"/>
        <item x="634"/>
        <item x="504"/>
        <item x="93"/>
        <item x="703"/>
        <item x="909"/>
        <item x="883"/>
        <item x="207"/>
        <item x="929"/>
        <item x="1005"/>
        <item x="228"/>
        <item x="776"/>
        <item x="673"/>
        <item x="191"/>
        <item x="793"/>
        <item x="375"/>
        <item x="256"/>
        <item x="299"/>
        <item x="683"/>
        <item x="260"/>
        <item x="292"/>
        <item x="368"/>
        <item x="635"/>
        <item x="233"/>
        <item x="106"/>
        <item x="697"/>
        <item x="819"/>
        <item x="318"/>
        <item x="74"/>
        <item x="773"/>
        <item x="1023"/>
        <item x="485"/>
        <item x="920"/>
        <item x="875"/>
        <item x="648"/>
        <item x="732"/>
        <item x="677"/>
        <item x="671"/>
        <item x="433"/>
        <item x="349"/>
        <item x="37"/>
        <item x="12"/>
        <item x="769"/>
        <item x="391"/>
        <item x="593"/>
        <item x="279"/>
        <item x="586"/>
        <item x="885"/>
        <item x="1020"/>
        <item x="392"/>
        <item x="836"/>
        <item x="268"/>
        <item x="48"/>
        <item x="50"/>
        <item x="386"/>
        <item x="984"/>
        <item x="684"/>
        <item x="480"/>
        <item x="258"/>
        <item x="964"/>
        <item x="997"/>
        <item x="574"/>
        <item x="837"/>
        <item x="439"/>
        <item x="134"/>
        <item x="4"/>
        <item x="716"/>
        <item x="538"/>
        <item x="519"/>
        <item x="361"/>
        <item x="308"/>
        <item x="284"/>
        <item x="126"/>
        <item x="753"/>
        <item x="183"/>
        <item x="779"/>
        <item x="969"/>
        <item x="285"/>
        <item x="775"/>
        <item x="557"/>
        <item x="693"/>
        <item x="579"/>
        <item x="852"/>
        <item x="957"/>
        <item x="674"/>
        <item x="905"/>
        <item x="383"/>
        <item x="188"/>
        <item x="832"/>
        <item x="985"/>
        <item x="724"/>
        <item x="938"/>
        <item x="394"/>
        <item x="345"/>
        <item x="878"/>
        <item x="672"/>
        <item x="943"/>
        <item x="1019"/>
        <item x="87"/>
        <item x="53"/>
        <item x="763"/>
        <item x="662"/>
        <item x="215"/>
        <item x="378"/>
        <item x="629"/>
        <item x="31"/>
        <item x="185"/>
        <item x="928"/>
        <item x="367"/>
        <item x="956"/>
        <item x="419"/>
        <item x="287"/>
        <item x="762"/>
        <item x="205"/>
        <item x="866"/>
        <item x="901"/>
        <item x="473"/>
        <item x="47"/>
        <item x="463"/>
        <item x="331"/>
        <item x="603"/>
        <item x="143"/>
        <item x="843"/>
        <item x="937"/>
        <item x="582"/>
        <item x="0"/>
        <item x="933"/>
        <item x="200"/>
        <item x="141"/>
        <item x="971"/>
        <item x="658"/>
        <item x="841"/>
        <item x="927"/>
        <item x="944"/>
        <item x="288"/>
        <item x="295"/>
        <item x="298"/>
        <item x="530"/>
        <item x="809"/>
        <item x="522"/>
        <item x="548"/>
        <item x="307"/>
        <item x="592"/>
        <item x="475"/>
        <item x="220"/>
        <item x="269"/>
        <item x="1015"/>
        <item x="661"/>
        <item x="497"/>
        <item x="575"/>
        <item x="1008"/>
        <item x="13"/>
        <item x="397"/>
        <item x="606"/>
        <item x="444"/>
        <item x="638"/>
        <item x="630"/>
        <item x="455"/>
        <item x="595"/>
        <item x="680"/>
        <item x="328"/>
        <item x="923"/>
        <item x="164"/>
        <item x="436"/>
        <item x="882"/>
        <item x="38"/>
        <item x="682"/>
        <item x="640"/>
        <item x="523"/>
        <item x="1002"/>
        <item x="998"/>
        <item x="734"/>
        <item x="669"/>
        <item x="845"/>
        <item x="552"/>
        <item x="924"/>
        <item x="663"/>
        <item x="564"/>
        <item x="9"/>
        <item x="117"/>
        <item x="54"/>
        <item x="1038"/>
        <item x="261"/>
        <item x="327"/>
        <item x="168"/>
        <item x="278"/>
        <item x="56"/>
        <item x="80"/>
        <item x="831"/>
        <item x="987"/>
        <item x="907"/>
        <item x="550"/>
        <item x="618"/>
        <item x="189"/>
        <item x="405"/>
        <item x="633"/>
        <item x="659"/>
        <item x="374"/>
        <item x="639"/>
        <item x="655"/>
        <item x="754"/>
        <item x="811"/>
        <item x="452"/>
        <item x="645"/>
        <item x="459"/>
        <item x="713"/>
        <item x="248"/>
        <item x="540"/>
        <item x="25"/>
        <item x="430"/>
        <item x="691"/>
        <item x="990"/>
        <item x="398"/>
        <item x="715"/>
        <item x="291"/>
        <item x="275"/>
        <item x="624"/>
        <item x="994"/>
        <item x="340"/>
        <item x="532"/>
        <item x="114"/>
        <item x="859"/>
        <item x="477"/>
        <item x="293"/>
        <item x="876"/>
        <item x="515"/>
        <item x="152"/>
        <item x="204"/>
        <item x="493"/>
        <item x="604"/>
        <item x="1001"/>
        <item x="254"/>
        <item x="104"/>
        <item x="623"/>
        <item x="434"/>
        <item x="222"/>
        <item x="1026"/>
        <item x="686"/>
        <item x="786"/>
        <item x="153"/>
        <item x="65"/>
        <item x="119"/>
        <item x="738"/>
        <item x="748"/>
        <item x="484"/>
        <item x="729"/>
        <item x="145"/>
        <item x="996"/>
        <item x="142"/>
        <item x="440"/>
        <item x="302"/>
        <item x="791"/>
        <item x="44"/>
        <item x="508"/>
        <item x="824"/>
        <item x="211"/>
        <item x="130"/>
        <item x="103"/>
        <item x="620"/>
        <item x="435"/>
        <item x="599"/>
        <item x="626"/>
        <item x="719"/>
        <item x="232"/>
        <item x="35"/>
        <item x="822"/>
        <item x="135"/>
        <item x="239"/>
        <item x="352"/>
        <item x="561"/>
        <item x="262"/>
        <item x="799"/>
        <item x="535"/>
        <item t="default"/>
      </items>
    </pivotField>
    <pivotField compact="0" showAll="0">
      <items count="949">
        <item x="14"/>
        <item x="360"/>
        <item x="315"/>
        <item x="108"/>
        <item x="501"/>
        <item x="770"/>
        <item x="932"/>
        <item x="414"/>
        <item x="217"/>
        <item x="290"/>
        <item x="373"/>
        <item x="284"/>
        <item x="820"/>
        <item x="884"/>
        <item x="449"/>
        <item x="900"/>
        <item x="441"/>
        <item x="720"/>
        <item x="354"/>
        <item x="17"/>
        <item x="77"/>
        <item x="725"/>
        <item x="233"/>
        <item x="687"/>
        <item x="395"/>
        <item x="301"/>
        <item x="521"/>
        <item x="378"/>
        <item x="508"/>
        <item x="613"/>
        <item x="741"/>
        <item x="128"/>
        <item x="505"/>
        <item x="485"/>
        <item x="572"/>
        <item x="553"/>
        <item x="451"/>
        <item x="769"/>
        <item x="561"/>
        <item x="495"/>
        <item x="6"/>
        <item x="942"/>
        <item x="929"/>
        <item x="363"/>
        <item x="788"/>
        <item x="833"/>
        <item x="891"/>
        <item x="783"/>
        <item x="204"/>
        <item x="754"/>
        <item x="660"/>
        <item x="909"/>
        <item x="105"/>
        <item x="466"/>
        <item x="860"/>
        <item x="255"/>
        <item x="666"/>
        <item x="933"/>
        <item x="559"/>
        <item x="844"/>
        <item x="117"/>
        <item x="254"/>
        <item x="507"/>
        <item x="731"/>
        <item x="401"/>
        <item x="683"/>
        <item x="447"/>
        <item x="328"/>
        <item x="76"/>
        <item x="494"/>
        <item x="462"/>
        <item x="409"/>
        <item x="846"/>
        <item x="552"/>
        <item x="157"/>
        <item x="59"/>
        <item x="45"/>
        <item x="531"/>
        <item x="889"/>
        <item x="594"/>
        <item x="911"/>
        <item x="635"/>
        <item x="610"/>
        <item x="878"/>
        <item x="224"/>
        <item x="841"/>
        <item x="880"/>
        <item x="142"/>
        <item x="648"/>
        <item x="560"/>
        <item x="278"/>
        <item x="346"/>
        <item x="837"/>
        <item x="230"/>
        <item x="141"/>
        <item x="327"/>
        <item x="491"/>
        <item x="72"/>
        <item x="776"/>
        <item x="543"/>
        <item x="89"/>
        <item x="692"/>
        <item x="30"/>
        <item x="118"/>
        <item x="73"/>
        <item x="744"/>
        <item x="13"/>
        <item x="119"/>
        <item x="269"/>
        <item x="313"/>
        <item x="201"/>
        <item x="745"/>
        <item x="615"/>
        <item x="893"/>
        <item x="187"/>
        <item x="577"/>
        <item x="461"/>
        <item x="440"/>
        <item x="713"/>
        <item x="267"/>
        <item x="400"/>
        <item x="182"/>
        <item x="654"/>
        <item x="496"/>
        <item x="520"/>
        <item x="661"/>
        <item x="938"/>
        <item x="138"/>
        <item x="646"/>
        <item x="345"/>
        <item x="164"/>
        <item x="548"/>
        <item x="340"/>
        <item x="41"/>
        <item x="695"/>
        <item x="80"/>
        <item x="216"/>
        <item x="213"/>
        <item x="798"/>
        <item x="907"/>
        <item x="325"/>
        <item x="760"/>
        <item x="281"/>
        <item x="864"/>
        <item x="223"/>
        <item x="252"/>
        <item x="247"/>
        <item x="120"/>
        <item x="351"/>
        <item x="875"/>
        <item x="370"/>
        <item x="39"/>
        <item x="931"/>
        <item x="25"/>
        <item x="33"/>
        <item x="436"/>
        <item x="425"/>
        <item x="304"/>
        <item x="79"/>
        <item x="98"/>
        <item x="350"/>
        <item x="483"/>
        <item x="791"/>
        <item x="502"/>
        <item x="58"/>
        <item x="221"/>
        <item x="673"/>
        <item x="371"/>
        <item x="259"/>
        <item x="167"/>
        <item x="158"/>
        <item x="668"/>
        <item x="588"/>
        <item x="452"/>
        <item x="372"/>
        <item x="295"/>
        <item x="236"/>
        <item x="855"/>
        <item x="925"/>
        <item x="728"/>
        <item x="527"/>
        <item x="341"/>
        <item x="52"/>
        <item x="250"/>
        <item x="94"/>
        <item x="565"/>
        <item x="800"/>
        <item x="420"/>
        <item x="253"/>
        <item x="697"/>
        <item x="243"/>
        <item x="807"/>
        <item x="276"/>
        <item x="620"/>
        <item x="127"/>
        <item x="116"/>
        <item x="664"/>
        <item x="583"/>
        <item x="145"/>
        <item x="424"/>
        <item x="619"/>
        <item x="738"/>
        <item x="467"/>
        <item x="871"/>
        <item x="29"/>
        <item x="196"/>
        <item x="662"/>
        <item x="237"/>
        <item x="569"/>
        <item x="86"/>
        <item x="708"/>
        <item x="862"/>
        <item x="31"/>
        <item x="288"/>
        <item x="161"/>
        <item x="129"/>
        <item x="289"/>
        <item x="180"/>
        <item x="568"/>
        <item x="408"/>
        <item x="726"/>
        <item x="411"/>
        <item x="274"/>
        <item x="550"/>
        <item x="780"/>
        <item x="256"/>
        <item x="383"/>
        <item x="405"/>
        <item x="764"/>
        <item x="306"/>
        <item x="863"/>
        <item x="279"/>
        <item x="715"/>
        <item x="859"/>
        <item x="602"/>
        <item x="47"/>
        <item x="374"/>
        <item x="90"/>
        <item x="580"/>
        <item x="694"/>
        <item x="506"/>
        <item x="542"/>
        <item x="219"/>
        <item x="802"/>
        <item x="883"/>
        <item x="779"/>
        <item x="515"/>
        <item x="209"/>
        <item x="513"/>
        <item x="55"/>
        <item x="324"/>
        <item x="382"/>
        <item x="632"/>
        <item x="599"/>
        <item x="380"/>
        <item x="680"/>
        <item x="384"/>
        <item x="890"/>
        <item x="366"/>
        <item x="336"/>
        <item x="114"/>
        <item x="631"/>
        <item x="564"/>
        <item x="722"/>
        <item x="785"/>
        <item x="836"/>
        <item x="512"/>
        <item x="375"/>
        <item x="198"/>
        <item x="489"/>
        <item x="177"/>
        <item x="438"/>
        <item x="24"/>
        <item x="320"/>
        <item x="939"/>
        <item x="368"/>
        <item x="147"/>
        <item x="865"/>
        <item x="331"/>
        <item x="904"/>
        <item x="657"/>
        <item x="11"/>
        <item x="896"/>
        <item x="563"/>
        <item x="667"/>
        <item x="492"/>
        <item x="388"/>
        <item x="719"/>
        <item x="627"/>
        <item x="567"/>
        <item x="43"/>
        <item x="200"/>
        <item x="674"/>
        <item x="186"/>
        <item x="343"/>
        <item x="95"/>
        <item x="104"/>
        <item x="866"/>
        <item x="330"/>
        <item x="843"/>
        <item x="407"/>
        <item x="828"/>
        <item x="74"/>
        <item x="273"/>
        <item x="935"/>
        <item x="782"/>
        <item x="319"/>
        <item x="717"/>
        <item x="682"/>
        <item x="406"/>
        <item x="423"/>
        <item x="882"/>
        <item x="367"/>
        <item x="869"/>
        <item x="858"/>
        <item x="640"/>
        <item x="730"/>
        <item x="34"/>
        <item x="426"/>
        <item x="799"/>
        <item x="326"/>
        <item x="172"/>
        <item x="335"/>
        <item x="677"/>
        <item x="355"/>
        <item x="653"/>
        <item x="404"/>
        <item x="899"/>
        <item x="600"/>
        <item x="879"/>
        <item x="835"/>
        <item x="227"/>
        <item x="856"/>
        <item x="747"/>
        <item x="562"/>
        <item x="549"/>
        <item x="202"/>
        <item x="283"/>
        <item x="557"/>
        <item x="539"/>
        <item x="171"/>
        <item x="329"/>
        <item x="625"/>
        <item x="621"/>
        <item x="358"/>
        <item x="61"/>
        <item x="818"/>
        <item x="718"/>
        <item x="671"/>
        <item x="430"/>
        <item x="590"/>
        <item x="704"/>
        <item x="251"/>
        <item x="410"/>
        <item x="597"/>
        <item x="601"/>
        <item x="790"/>
        <item x="143"/>
        <item x="146"/>
        <item x="15"/>
        <item x="930"/>
        <item x="232"/>
        <item x="686"/>
        <item x="685"/>
        <item x="75"/>
        <item x="793"/>
        <item x="134"/>
        <item x="659"/>
        <item x="921"/>
        <item x="385"/>
        <item x="222"/>
        <item x="286"/>
        <item x="246"/>
        <item x="524"/>
        <item x="811"/>
        <item x="85"/>
        <item x="810"/>
        <item x="291"/>
        <item x="888"/>
        <item x="32"/>
        <item x="795"/>
        <item x="258"/>
        <item x="298"/>
        <item x="614"/>
        <item x="922"/>
        <item x="541"/>
        <item x="402"/>
        <item x="472"/>
        <item x="337"/>
        <item x="698"/>
        <item x="181"/>
        <item x="853"/>
        <item x="681"/>
        <item x="500"/>
        <item x="824"/>
        <item x="300"/>
        <item x="634"/>
        <item x="551"/>
        <item x="504"/>
        <item x="150"/>
        <item x="26"/>
        <item x="205"/>
        <item x="707"/>
        <item x="392"/>
        <item x="275"/>
        <item x="752"/>
        <item x="126"/>
        <item x="225"/>
        <item x="379"/>
        <item x="544"/>
        <item x="874"/>
        <item x="672"/>
        <item x="486"/>
        <item x="546"/>
        <item x="604"/>
        <item x="299"/>
        <item x="701"/>
        <item x="575"/>
        <item x="397"/>
        <item x="724"/>
        <item x="175"/>
        <item x="214"/>
        <item x="357"/>
        <item x="781"/>
        <item x="923"/>
        <item x="709"/>
        <item x="40"/>
        <item x="160"/>
        <item x="307"/>
        <item x="534"/>
        <item x="458"/>
        <item x="533"/>
        <item x="132"/>
        <item x="642"/>
        <item x="721"/>
        <item x="658"/>
        <item x="282"/>
        <item x="27"/>
        <item x="739"/>
        <item x="183"/>
        <item x="349"/>
        <item x="389"/>
        <item x="665"/>
        <item x="766"/>
        <item x="140"/>
        <item x="645"/>
        <item x="121"/>
        <item x="173"/>
        <item x="848"/>
        <item x="103"/>
        <item x="591"/>
        <item x="64"/>
        <item x="131"/>
        <item x="578"/>
        <item x="442"/>
        <item x="165"/>
        <item x="415"/>
        <item x="429"/>
        <item x="675"/>
        <item x="742"/>
        <item x="636"/>
        <item x="311"/>
        <item x="710"/>
        <item x="197"/>
        <item x="762"/>
        <item x="191"/>
        <item x="700"/>
        <item x="228"/>
        <item x="185"/>
        <item x="231"/>
        <item x="774"/>
        <item x="260"/>
        <item x="581"/>
        <item x="815"/>
        <item x="876"/>
        <item x="796"/>
        <item x="122"/>
        <item x="608"/>
        <item x="163"/>
        <item x="691"/>
        <item x="612"/>
        <item x="555"/>
        <item x="529"/>
        <item x="303"/>
        <item x="207"/>
        <item x="699"/>
        <item x="235"/>
        <item x="934"/>
        <item x="361"/>
        <item x="881"/>
        <item x="633"/>
        <item x="287"/>
        <item x="190"/>
        <item x="321"/>
        <item x="582"/>
        <item x="1"/>
        <item x="416"/>
        <item x="545"/>
        <item x="756"/>
        <item x="469"/>
        <item x="898"/>
        <item x="68"/>
        <item x="266"/>
        <item x="838"/>
        <item x="688"/>
        <item x="629"/>
        <item x="344"/>
        <item x="309"/>
        <item x="901"/>
        <item x="292"/>
        <item x="684"/>
        <item x="609"/>
        <item x="586"/>
        <item x="903"/>
        <item x="510"/>
        <item x="784"/>
        <item x="517"/>
        <item x="906"/>
        <item x="445"/>
        <item x="159"/>
        <item x="945"/>
        <item x="184"/>
        <item x="589"/>
        <item x="847"/>
        <item x="51"/>
        <item x="23"/>
        <item x="71"/>
        <item x="488"/>
        <item x="711"/>
        <item x="873"/>
        <item x="622"/>
        <item x="203"/>
        <item x="638"/>
        <item x="152"/>
        <item x="528"/>
        <item x="446"/>
        <item x="101"/>
        <item x="448"/>
        <item x="342"/>
        <item x="676"/>
        <item x="771"/>
        <item x="574"/>
        <item x="137"/>
        <item x="194"/>
        <item x="81"/>
        <item x="265"/>
        <item x="649"/>
        <item x="827"/>
        <item x="277"/>
        <item x="62"/>
        <item x="558"/>
        <item x="693"/>
        <item x="530"/>
        <item x="285"/>
        <item x="399"/>
        <item x="386"/>
        <item x="210"/>
        <item x="689"/>
        <item x="166"/>
        <item x="914"/>
        <item x="170"/>
        <item x="456"/>
        <item x="396"/>
        <item x="556"/>
        <item x="804"/>
        <item x="428"/>
        <item x="861"/>
        <item x="435"/>
        <item x="53"/>
        <item x="628"/>
        <item x="22"/>
        <item x="444"/>
        <item x="9"/>
        <item x="748"/>
        <item x="514"/>
        <item x="850"/>
        <item x="18"/>
        <item x="65"/>
        <item x="603"/>
        <item x="69"/>
        <item x="390"/>
        <item x="750"/>
        <item x="168"/>
        <item x="829"/>
        <item x="703"/>
        <item x="296"/>
        <item x="482"/>
        <item x="154"/>
        <item x="525"/>
        <item x="606"/>
        <item x="885"/>
        <item x="257"/>
        <item x="107"/>
        <item x="803"/>
        <item x="220"/>
        <item x="334"/>
        <item x="356"/>
        <item x="272"/>
        <item x="669"/>
        <item x="476"/>
        <item x="740"/>
        <item x="312"/>
        <item x="113"/>
        <item x="155"/>
        <item x="84"/>
        <item x="480"/>
        <item x="333"/>
        <item x="179"/>
        <item x="115"/>
        <item x="133"/>
        <item x="868"/>
        <item x="37"/>
        <item x="493"/>
        <item x="241"/>
        <item x="503"/>
        <item x="99"/>
        <item x="234"/>
        <item x="498"/>
        <item x="623"/>
        <item x="308"/>
        <item x="57"/>
        <item x="777"/>
        <item x="743"/>
        <item x="439"/>
        <item x="887"/>
        <item x="587"/>
        <item x="123"/>
        <item x="570"/>
        <item x="261"/>
        <item x="940"/>
        <item x="450"/>
        <item x="369"/>
        <item x="96"/>
        <item x="316"/>
        <item x="302"/>
        <item x="690"/>
        <item x="651"/>
        <item x="915"/>
        <item x="352"/>
        <item x="831"/>
        <item x="475"/>
        <item x="849"/>
        <item x="418"/>
        <item x="678"/>
        <item x="806"/>
        <item x="16"/>
        <item x="463"/>
        <item x="464"/>
        <item x="156"/>
        <item x="905"/>
        <item x="920"/>
        <item x="540"/>
        <item x="484"/>
        <item x="757"/>
        <item x="723"/>
        <item x="607"/>
        <item x="487"/>
        <item x="97"/>
        <item x="195"/>
        <item x="523"/>
        <item x="736"/>
        <item x="398"/>
        <item x="854"/>
        <item x="797"/>
        <item x="596"/>
        <item x="353"/>
        <item x="714"/>
        <item x="814"/>
        <item x="877"/>
        <item x="294"/>
        <item x="927"/>
        <item x="926"/>
        <item x="60"/>
        <item x="391"/>
        <item x="579"/>
        <item x="111"/>
        <item x="852"/>
        <item x="470"/>
        <item x="263"/>
        <item x="100"/>
        <item x="772"/>
        <item x="598"/>
        <item x="245"/>
        <item x="916"/>
        <item x="947"/>
        <item x="616"/>
        <item x="248"/>
        <item x="35"/>
        <item x="3"/>
        <item x="630"/>
        <item x="652"/>
        <item x="702"/>
        <item x="215"/>
        <item x="817"/>
        <item x="92"/>
        <item x="8"/>
        <item x="946"/>
        <item x="639"/>
        <item x="641"/>
        <item x="188"/>
        <item x="453"/>
        <item x="109"/>
        <item x="465"/>
        <item x="643"/>
        <item x="637"/>
        <item x="192"/>
        <item x="518"/>
        <item x="12"/>
        <item x="851"/>
        <item x="593"/>
        <item x="427"/>
        <item x="917"/>
        <item x="322"/>
        <item x="830"/>
        <item x="943"/>
        <item x="239"/>
        <item x="845"/>
        <item x="347"/>
        <item x="805"/>
        <item x="511"/>
        <item x="894"/>
        <item x="434"/>
        <item x="264"/>
        <item x="5"/>
        <item x="19"/>
        <item x="902"/>
        <item x="169"/>
        <item x="317"/>
        <item x="305"/>
        <item x="537"/>
        <item x="412"/>
        <item x="474"/>
        <item x="763"/>
        <item x="822"/>
        <item x="767"/>
        <item x="892"/>
        <item x="176"/>
        <item x="338"/>
        <item x="208"/>
        <item x="270"/>
        <item x="36"/>
        <item x="928"/>
        <item x="144"/>
        <item x="206"/>
        <item x="387"/>
        <item x="735"/>
        <item x="377"/>
        <item x="393"/>
        <item x="832"/>
        <item x="478"/>
        <item x="751"/>
        <item x="655"/>
        <item x="554"/>
        <item x="153"/>
        <item x="54"/>
        <item x="268"/>
        <item x="124"/>
        <item x="149"/>
        <item x="734"/>
        <item x="913"/>
        <item x="460"/>
        <item x="431"/>
        <item x="0"/>
        <item x="151"/>
        <item x="656"/>
        <item x="63"/>
        <item x="2"/>
        <item x="88"/>
        <item x="50"/>
        <item x="626"/>
        <item x="746"/>
        <item x="944"/>
        <item x="244"/>
        <item x="211"/>
        <item x="566"/>
        <item x="733"/>
        <item x="468"/>
        <item x="477"/>
        <item x="44"/>
        <item x="70"/>
        <item x="753"/>
        <item x="376"/>
        <item x="78"/>
        <item x="679"/>
        <item x="778"/>
        <item x="924"/>
        <item x="471"/>
        <item x="93"/>
        <item x="842"/>
        <item x="174"/>
        <item x="801"/>
        <item x="765"/>
        <item x="538"/>
        <item x="749"/>
        <item x="547"/>
        <item x="199"/>
        <item x="727"/>
        <item x="139"/>
        <item x="443"/>
        <item x="162"/>
        <item x="585"/>
        <item x="359"/>
        <item x="56"/>
        <item x="457"/>
        <item x="729"/>
        <item x="48"/>
        <item x="339"/>
        <item x="857"/>
        <item x="792"/>
        <item x="617"/>
        <item x="522"/>
        <item x="38"/>
        <item x="519"/>
        <item x="67"/>
        <item x="249"/>
        <item x="10"/>
        <item x="821"/>
        <item x="125"/>
        <item x="218"/>
        <item x="432"/>
        <item x="813"/>
        <item x="573"/>
        <item x="419"/>
        <item x="535"/>
        <item x="516"/>
        <item x="454"/>
        <item x="509"/>
        <item x="532"/>
        <item x="314"/>
        <item x="238"/>
        <item x="193"/>
        <item x="421"/>
        <item x="755"/>
        <item x="490"/>
        <item x="624"/>
        <item x="526"/>
        <item x="293"/>
        <item x="455"/>
        <item x="758"/>
        <item x="91"/>
        <item x="189"/>
        <item x="919"/>
        <item x="28"/>
        <item x="479"/>
        <item x="229"/>
        <item x="834"/>
        <item x="481"/>
        <item x="670"/>
        <item x="571"/>
        <item x="212"/>
        <item x="886"/>
        <item x="433"/>
        <item x="768"/>
        <item x="826"/>
        <item x="422"/>
        <item x="595"/>
        <item x="705"/>
        <item x="794"/>
        <item x="895"/>
        <item x="773"/>
        <item x="712"/>
        <item x="897"/>
        <item x="364"/>
        <item x="584"/>
        <item x="576"/>
        <item x="473"/>
        <item x="789"/>
        <item x="310"/>
        <item x="21"/>
        <item x="497"/>
        <item x="605"/>
        <item x="823"/>
        <item x="716"/>
        <item x="130"/>
        <item x="394"/>
        <item x="362"/>
        <item x="936"/>
        <item x="178"/>
        <item x="759"/>
        <item x="332"/>
        <item x="87"/>
        <item x="4"/>
        <item x="867"/>
        <item x="870"/>
        <item x="271"/>
        <item x="413"/>
        <item x="918"/>
        <item x="872"/>
        <item x="663"/>
        <item x="908"/>
        <item x="808"/>
        <item x="618"/>
        <item x="49"/>
        <item x="106"/>
        <item x="611"/>
        <item x="761"/>
        <item x="318"/>
        <item x="66"/>
        <item x="941"/>
        <item x="786"/>
        <item x="83"/>
        <item x="737"/>
        <item x="812"/>
        <item x="819"/>
        <item x="136"/>
        <item x="647"/>
        <item x="732"/>
        <item x="937"/>
        <item x="381"/>
        <item x="135"/>
        <item x="240"/>
        <item x="650"/>
        <item x="82"/>
        <item x="112"/>
        <item x="775"/>
        <item x="499"/>
        <item x="323"/>
        <item x="365"/>
        <item x="825"/>
        <item x="910"/>
        <item x="644"/>
        <item x="787"/>
        <item x="348"/>
        <item x="809"/>
        <item x="839"/>
        <item x="696"/>
        <item x="459"/>
        <item x="912"/>
        <item x="297"/>
        <item x="110"/>
        <item x="840"/>
        <item x="262"/>
        <item x="403"/>
        <item x="226"/>
        <item x="46"/>
        <item x="280"/>
        <item x="102"/>
        <item x="536"/>
        <item x="242"/>
        <item x="592"/>
        <item x="816"/>
        <item x="417"/>
        <item x="706"/>
        <item x="148"/>
        <item x="437"/>
        <item x="42"/>
        <item x="20"/>
        <item x="7"/>
        <item t="default"/>
      </items>
    </pivotField>
    <pivotField compact="0" showAll="0">
      <items count="10">
        <item x="3"/>
        <item x="4"/>
        <item x="7"/>
        <item x="5"/>
        <item x="6"/>
        <item x="0"/>
        <item x="8"/>
        <item x="1"/>
        <item x="2"/>
        <item t="default"/>
      </items>
    </pivotField>
    <pivotField compact="0" showAll="0">
      <items count="4">
        <item x="2"/>
        <item x="0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N3:O13" firstHeaderRow="1" firstDataRow="1" firstDataCol="1"/>
  <pivotFields count="26">
    <pivotField dataField="1"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compact="0" showAll="0"/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axis="axisRow" compact="0" sortType="descending" showAll="0">
      <items count="10">
        <item x="2"/>
        <item x="1"/>
        <item x="8"/>
        <item x="0"/>
        <item x="6"/>
        <item x="5"/>
        <item x="7"/>
        <item x="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</pivotFields>
  <rowFields count="1">
    <field x="24"/>
  </rowFields>
  <rowItems count="10">
    <i>
      <x v="6"/>
    </i>
    <i>
      <x v="5"/>
    </i>
    <i>
      <x v="4"/>
    </i>
    <i>
      <x/>
    </i>
    <i>
      <x v="3"/>
    </i>
    <i>
      <x v="1"/>
    </i>
    <i>
      <x v="8"/>
    </i>
    <i>
      <x v="7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Q3:R7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compact="0" showAll="0"/>
    <pivotField compact="0" showAll="0"/>
    <pivotField compact="0" showAll="0"/>
    <pivotField compact="0" numFmtId="182" showAll="0"/>
    <pivotField compact="0" showAll="0"/>
    <pivotField compact="0" showAll="0"/>
    <pivotField axis="axisRow" compact="0" sortType="descending" showAll="0">
      <items count="4">
        <item x="0"/>
        <item x="1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compact="0" showAll="0"/>
    <pivotField compact="0" showAll="0"/>
  </pivotFields>
  <rowFields count="1">
    <field x="8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U3:V9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axis="axisRow" compact="0" sortType="descending" showAll="0">
      <items count="6">
        <item x="3"/>
        <item x="2"/>
        <item x="4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compact="0" showAll="0"/>
    <pivotField compact="0" showAll="0"/>
  </pivotFields>
  <rowFields count="1">
    <field x="2"/>
  </rowFields>
  <rowItems count="6">
    <i>
      <x v="4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X3:Y9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axis="axisRow" compact="0" sortType="descending" showAll="0">
      <items count="6">
        <item x="3"/>
        <item x="2"/>
        <item x="4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031">
        <item x="998"/>
        <item x="165"/>
        <item x="567"/>
        <item x="672"/>
        <item x="953"/>
        <item x="805"/>
        <item x="828"/>
        <item x="650"/>
        <item x="945"/>
        <item x="612"/>
        <item x="201"/>
        <item x="475"/>
        <item x="450"/>
        <item x="416"/>
        <item x="169"/>
        <item x="340"/>
        <item x="132"/>
        <item x="506"/>
        <item x="293"/>
        <item x="710"/>
        <item x="346"/>
        <item x="14"/>
        <item x="719"/>
        <item x="874"/>
        <item x="545"/>
        <item x="665"/>
        <item x="331"/>
        <item x="244"/>
        <item x="186"/>
        <item x="966"/>
        <item x="802"/>
        <item x="230"/>
        <item x="363"/>
        <item x="944"/>
        <item x="108"/>
        <item x="66"/>
        <item x="271"/>
        <item x="115"/>
        <item x="405"/>
        <item x="682"/>
        <item x="841"/>
        <item x="1009"/>
        <item x="652"/>
        <item x="868"/>
        <item x="812"/>
        <item x="792"/>
        <item x="318"/>
        <item x="957"/>
        <item x="452"/>
        <item x="310"/>
        <item x="55"/>
        <item x="698"/>
        <item x="3"/>
        <item x="342"/>
        <item x="641"/>
        <item x="558"/>
        <item x="216"/>
        <item x="793"/>
        <item x="904"/>
        <item x="200"/>
        <item x="800"/>
        <item x="1001"/>
        <item x="607"/>
        <item x="777"/>
        <item x="129"/>
        <item x="1011"/>
        <item x="686"/>
        <item x="63"/>
        <item x="515"/>
        <item x="982"/>
        <item x="988"/>
        <item x="380"/>
        <item x="376"/>
        <item x="1029"/>
        <item x="732"/>
        <item x="1016"/>
        <item x="675"/>
        <item x="702"/>
        <item x="485"/>
        <item x="707"/>
        <item x="950"/>
        <item x="1013"/>
        <item x="992"/>
        <item x="69"/>
        <item x="760"/>
        <item x="156"/>
        <item x="300"/>
        <item x="421"/>
        <item x="127"/>
        <item x="195"/>
        <item x="754"/>
        <item x="993"/>
        <item x="580"/>
        <item x="583"/>
        <item x="882"/>
        <item x="319"/>
        <item x="969"/>
        <item x="739"/>
        <item x="500"/>
        <item x="708"/>
        <item x="173"/>
        <item x="691"/>
        <item x="383"/>
        <item x="349"/>
        <item x="33"/>
        <item x="571"/>
        <item x="773"/>
        <item x="589"/>
        <item x="1004"/>
        <item x="604"/>
        <item x="175"/>
        <item x="176"/>
        <item x="466"/>
        <item x="504"/>
        <item x="621"/>
        <item x="796"/>
        <item x="837"/>
        <item x="30"/>
        <item x="898"/>
        <item x="60"/>
        <item x="189"/>
        <item x="984"/>
        <item x="885"/>
        <item x="920"/>
        <item x="320"/>
        <item x="197"/>
        <item x="305"/>
        <item x="856"/>
        <item x="98"/>
        <item x="1003"/>
        <item x="520"/>
        <item x="441"/>
        <item x="941"/>
        <item x="883"/>
        <item x="684"/>
        <item x="835"/>
        <item x="755"/>
        <item x="350"/>
        <item x="91"/>
        <item x="502"/>
        <item x="107"/>
        <item x="482"/>
        <item x="738"/>
        <item x="111"/>
        <item x="359"/>
        <item x="730"/>
        <item x="517"/>
        <item x="741"/>
        <item x="566"/>
        <item x="505"/>
        <item x="728"/>
        <item x="235"/>
        <item x="750"/>
        <item x="884"/>
        <item x="478"/>
        <item x="151"/>
        <item x="664"/>
        <item x="981"/>
        <item x="73"/>
        <item x="935"/>
        <item x="867"/>
        <item x="799"/>
        <item x="370"/>
        <item x="29"/>
        <item x="122"/>
        <item x="866"/>
        <item x="751"/>
        <item x="523"/>
        <item x="172"/>
        <item x="85"/>
        <item x="71"/>
        <item x="2"/>
        <item x="140"/>
        <item x="364"/>
        <item x="480"/>
        <item x="599"/>
        <item x="481"/>
        <item x="996"/>
        <item x="196"/>
        <item x="357"/>
        <item x="896"/>
        <item x="809"/>
        <item x="1024"/>
        <item x="352"/>
        <item x="412"/>
        <item x="716"/>
        <item x="96"/>
        <item x="22"/>
        <item x="45"/>
        <item x="855"/>
        <item x="279"/>
        <item x="461"/>
        <item x="613"/>
        <item x="10"/>
        <item x="550"/>
        <item x="798"/>
        <item x="676"/>
        <item x="150"/>
        <item x="79"/>
        <item x="493"/>
        <item x="721"/>
        <item x="590"/>
        <item x="626"/>
        <item x="133"/>
        <item x="240"/>
        <item x="513"/>
        <item x="850"/>
        <item x="431"/>
        <item x="570"/>
        <item x="528"/>
        <item x="937"/>
        <item x="511"/>
        <item x="595"/>
        <item x="572"/>
        <item x="430"/>
        <item x="821"/>
        <item x="960"/>
        <item x="420"/>
        <item x="41"/>
        <item x="963"/>
        <item x="328"/>
        <item x="931"/>
        <item x="76"/>
        <item x="406"/>
        <item x="939"/>
        <item x="902"/>
        <item x="859"/>
        <item x="597"/>
        <item x="469"/>
        <item x="839"/>
        <item x="785"/>
        <item x="160"/>
        <item x="445"/>
        <item x="845"/>
        <item x="179"/>
        <item x="392"/>
        <item x="217"/>
        <item x="333"/>
        <item x="241"/>
        <item x="766"/>
        <item x="245"/>
        <item x="43"/>
        <item x="280"/>
        <item x="94"/>
        <item x="336"/>
        <item x="907"/>
        <item x="593"/>
        <item x="789"/>
        <item x="848"/>
        <item x="965"/>
        <item x="112"/>
        <item x="89"/>
        <item x="467"/>
        <item x="783"/>
        <item x="536"/>
        <item x="249"/>
        <item x="818"/>
        <item x="615"/>
        <item x="138"/>
        <item x="86"/>
        <item x="890"/>
        <item x="642"/>
        <item x="415"/>
        <item x="767"/>
        <item x="858"/>
        <item x="183"/>
        <item x="824"/>
        <item x="137"/>
        <item x="410"/>
        <item x="224"/>
        <item x="725"/>
        <item x="39"/>
        <item x="178"/>
        <item x="99"/>
        <item x="501"/>
        <item x="924"/>
        <item x="508"/>
        <item x="726"/>
        <item x="436"/>
        <item x="355"/>
        <item x="863"/>
        <item x="616"/>
        <item x="892"/>
        <item x="723"/>
        <item x="763"/>
        <item x="81"/>
        <item x="101"/>
        <item x="427"/>
        <item x="308"/>
        <item x="322"/>
        <item x="82"/>
        <item x="734"/>
        <item x="5"/>
        <item x="59"/>
        <item x="519"/>
        <item x="861"/>
        <item x="325"/>
        <item x="16"/>
        <item x="208"/>
        <item x="57"/>
        <item x="930"/>
        <item x="697"/>
        <item x="962"/>
        <item x="596"/>
        <item x="334"/>
        <item x="309"/>
        <item x="488"/>
        <item x="353"/>
        <item x="1028"/>
        <item x="378"/>
        <item x="532"/>
        <item x="223"/>
        <item x="657"/>
        <item x="880"/>
        <item x="464"/>
        <item x="459"/>
        <item x="588"/>
        <item x="609"/>
        <item x="471"/>
        <item x="964"/>
        <item x="263"/>
        <item x="756"/>
        <item x="995"/>
        <item x="379"/>
        <item x="62"/>
        <item x="264"/>
        <item x="423"/>
        <item x="162"/>
        <item x="776"/>
        <item x="118"/>
        <item x="295"/>
        <item x="498"/>
        <item x="873"/>
        <item x="424"/>
        <item x="354"/>
        <item x="497"/>
        <item x="823"/>
        <item x="561"/>
        <item x="889"/>
        <item x="693"/>
        <item x="419"/>
        <item x="745"/>
        <item x="910"/>
        <item x="1019"/>
        <item x="52"/>
        <item x="282"/>
        <item x="147"/>
        <item x="557"/>
        <item x="128"/>
        <item x="647"/>
        <item x="486"/>
        <item x="611"/>
        <item x="903"/>
        <item x="886"/>
        <item x="97"/>
        <item x="662"/>
        <item x="582"/>
        <item x="409"/>
        <item x="499"/>
        <item x="905"/>
        <item x="402"/>
        <item x="239"/>
        <item x="862"/>
        <item x="270"/>
        <item x="428"/>
        <item x="736"/>
        <item x="587"/>
        <item x="463"/>
        <item x="407"/>
        <item x="811"/>
        <item x="42"/>
        <item x="564"/>
        <item x="252"/>
        <item x="148"/>
        <item x="299"/>
        <item x="864"/>
        <item x="259"/>
        <item x="149"/>
        <item x="746"/>
        <item x="1005"/>
        <item x="586"/>
        <item x="83"/>
        <item x="51"/>
        <item x="281"/>
        <item x="661"/>
        <item x="674"/>
        <item x="13"/>
        <item x="387"/>
        <item x="524"/>
        <item x="110"/>
        <item x="695"/>
        <item x="928"/>
        <item x="341"/>
        <item x="753"/>
        <item x="510"/>
        <item x="900"/>
        <item x="19"/>
        <item x="915"/>
        <item x="462"/>
        <item x="553"/>
        <item x="614"/>
        <item x="84"/>
        <item x="849"/>
        <item x="842"/>
        <item x="360"/>
        <item x="381"/>
        <item x="422"/>
        <item x="199"/>
        <item x="306"/>
        <item x="474"/>
        <item x="871"/>
        <item x="706"/>
        <item x="780"/>
        <item x="362"/>
        <item x="166"/>
        <item x="645"/>
        <item x="938"/>
        <item x="797"/>
        <item x="251"/>
        <item x="782"/>
        <item x="275"/>
        <item x="600"/>
        <item x="222"/>
        <item x="171"/>
        <item x="136"/>
        <item x="703"/>
        <item x="394"/>
        <item x="248"/>
        <item x="970"/>
        <item x="177"/>
        <item x="329"/>
        <item x="956"/>
        <item x="759"/>
        <item x="958"/>
        <item x="131"/>
        <item x="121"/>
        <item x="400"/>
        <item x="32"/>
        <item x="752"/>
        <item x="17"/>
        <item x="542"/>
        <item x="95"/>
        <item x="895"/>
        <item x="922"/>
        <item x="574"/>
        <item x="21"/>
        <item x="764"/>
        <item x="946"/>
        <item x="921"/>
        <item x="747"/>
        <item x="343"/>
        <item x="851"/>
        <item x="446"/>
        <item x="544"/>
        <item x="765"/>
        <item x="267"/>
        <item x="317"/>
        <item x="1021"/>
        <item x="618"/>
        <item x="314"/>
        <item x="448"/>
        <item x="816"/>
        <item x="369"/>
        <item x="272"/>
        <item x="585"/>
        <item x="188"/>
        <item x="198"/>
        <item x="893"/>
        <item x="762"/>
        <item x="254"/>
        <item x="170"/>
        <item x="366"/>
        <item x="294"/>
        <item x="443"/>
        <item x="192"/>
        <item x="46"/>
        <item x="495"/>
        <item x="143"/>
        <item x="555"/>
        <item x="696"/>
        <item x="372"/>
        <item x="834"/>
        <item x="296"/>
        <item x="640"/>
        <item x="881"/>
        <item x="559"/>
        <item x="548"/>
        <item x="576"/>
        <item x="1000"/>
        <item x="286"/>
        <item x="36"/>
        <item x="386"/>
        <item x="906"/>
        <item x="31"/>
        <item x="967"/>
        <item x="875"/>
        <item x="167"/>
        <item x="389"/>
        <item x="554"/>
        <item x="313"/>
        <item x="335"/>
        <item x="283"/>
        <item x="18"/>
        <item x="432"/>
        <item x="978"/>
        <item x="120"/>
        <item x="688"/>
        <item x="879"/>
        <item x="579"/>
        <item x="159"/>
        <item x="304"/>
        <item x="1"/>
        <item x="123"/>
        <item x="774"/>
        <item x="804"/>
        <item x="470"/>
        <item x="667"/>
        <item x="417"/>
        <item x="791"/>
        <item x="943"/>
        <item x="581"/>
        <item x="124"/>
        <item x="34"/>
        <item x="737"/>
        <item x="843"/>
        <item x="332"/>
        <item x="846"/>
        <item x="234"/>
        <item x="181"/>
        <item x="592"/>
        <item x="810"/>
        <item x="311"/>
        <item x="398"/>
        <item x="155"/>
        <item x="718"/>
        <item x="649"/>
        <item x="1014"/>
        <item x="460"/>
        <item x="717"/>
        <item x="790"/>
        <item x="258"/>
        <item x="25"/>
        <item x="638"/>
        <item x="516"/>
        <item x="491"/>
        <item x="894"/>
        <item x="829"/>
        <item x="88"/>
        <item x="860"/>
        <item x="769"/>
        <item x="368"/>
        <item x="954"/>
        <item x="606"/>
        <item x="838"/>
        <item x="67"/>
        <item x="215"/>
        <item x="276"/>
        <item x="617"/>
        <item x="980"/>
        <item x="213"/>
        <item x="226"/>
        <item x="673"/>
        <item x="989"/>
        <item x="909"/>
        <item x="584"/>
        <item x="373"/>
        <item x="927"/>
        <item x="977"/>
        <item x="455"/>
        <item x="628"/>
        <item x="854"/>
        <item x="602"/>
        <item x="465"/>
        <item x="139"/>
        <item x="391"/>
        <item x="307"/>
        <item x="959"/>
        <item x="77"/>
        <item x="1002"/>
        <item x="646"/>
        <item x="1026"/>
        <item x="521"/>
        <item x="983"/>
        <item x="997"/>
        <item x="518"/>
        <item x="857"/>
        <item x="48"/>
        <item x="8"/>
        <item x="539"/>
        <item x="26"/>
        <item x="975"/>
        <item x="403"/>
        <item x="929"/>
        <item x="457"/>
        <item x="608"/>
        <item x="705"/>
        <item x="395"/>
        <item x="191"/>
        <item x="204"/>
        <item x="637"/>
        <item x="537"/>
        <item x="541"/>
        <item x="701"/>
        <item x="397"/>
        <item x="255"/>
        <item x="219"/>
        <item x="158"/>
        <item x="668"/>
        <item x="689"/>
        <item x="923"/>
        <item x="952"/>
        <item x="237"/>
        <item x="808"/>
        <item x="154"/>
        <item x="371"/>
        <item x="449"/>
        <item x="303"/>
        <item x="803"/>
        <item x="825"/>
        <item x="161"/>
        <item x="731"/>
        <item x="358"/>
        <item x="968"/>
        <item x="28"/>
        <item x="1022"/>
        <item x="202"/>
        <item x="75"/>
        <item x="530"/>
        <item x="102"/>
        <item x="429"/>
        <item x="815"/>
        <item x="827"/>
        <item x="404"/>
        <item x="757"/>
        <item x="285"/>
        <item x="934"/>
        <item x="242"/>
        <item x="936"/>
        <item x="735"/>
        <item x="918"/>
        <item x="348"/>
        <item x="472"/>
        <item x="365"/>
        <item x="712"/>
        <item x="163"/>
        <item x="157"/>
        <item x="61"/>
        <item x="690"/>
        <item x="533"/>
        <item x="772"/>
        <item x="685"/>
        <item x="822"/>
        <item x="651"/>
        <item x="72"/>
        <item x="632"/>
        <item x="442"/>
        <item x="831"/>
        <item x="390"/>
        <item x="289"/>
        <item x="656"/>
        <item x="949"/>
        <item x="399"/>
        <item x="347"/>
        <item x="209"/>
        <item x="220"/>
        <item x="301"/>
        <item x="744"/>
        <item x="577"/>
        <item x="973"/>
        <item x="631"/>
        <item x="711"/>
        <item x="411"/>
        <item x="1027"/>
        <item x="27"/>
        <item x="339"/>
        <item x="653"/>
        <item x="37"/>
        <item x="12"/>
        <item x="490"/>
        <item x="658"/>
        <item x="643"/>
        <item x="315"/>
        <item x="594"/>
        <item x="852"/>
        <item x="568"/>
        <item x="779"/>
        <item x="972"/>
        <item x="985"/>
        <item x="330"/>
        <item x="795"/>
        <item x="24"/>
        <item x="356"/>
        <item x="113"/>
        <item x="212"/>
        <item x="979"/>
        <item x="144"/>
        <item x="384"/>
        <item x="529"/>
        <item x="562"/>
        <item x="535"/>
        <item x="321"/>
        <item x="844"/>
        <item x="253"/>
        <item x="990"/>
        <item x="312"/>
        <item x="278"/>
        <item x="408"/>
        <item x="512"/>
        <item x="375"/>
        <item x="620"/>
        <item x="888"/>
        <item x="603"/>
        <item x="250"/>
        <item x="917"/>
        <item x="47"/>
        <item x="853"/>
        <item x="119"/>
        <item x="733"/>
        <item x="451"/>
        <item x="951"/>
        <item x="749"/>
        <item x="287"/>
        <item x="434"/>
        <item x="807"/>
        <item x="269"/>
        <item x="624"/>
        <item x="70"/>
        <item x="182"/>
        <item x="0"/>
        <item x="1007"/>
        <item x="806"/>
        <item x="742"/>
        <item x="297"/>
        <item x="207"/>
        <item x="623"/>
        <item x="15"/>
        <item x="337"/>
        <item x="7"/>
        <item x="865"/>
        <item x="700"/>
        <item x="385"/>
        <item x="78"/>
        <item x="225"/>
        <item x="268"/>
        <item x="692"/>
        <item x="635"/>
        <item x="92"/>
        <item x="302"/>
        <item x="247"/>
        <item x="709"/>
        <item x="141"/>
        <item x="704"/>
        <item x="987"/>
        <item x="948"/>
        <item x="106"/>
        <item x="483"/>
        <item x="284"/>
        <item x="540"/>
        <item x="887"/>
        <item x="152"/>
        <item x="20"/>
        <item x="180"/>
        <item x="292"/>
        <item x="458"/>
        <item x="487"/>
        <item x="891"/>
        <item x="836"/>
        <item x="190"/>
        <item x="655"/>
        <item x="833"/>
        <item x="740"/>
        <item x="681"/>
        <item x="961"/>
        <item x="11"/>
        <item x="678"/>
        <item x="494"/>
        <item x="228"/>
        <item x="414"/>
        <item x="526"/>
        <item x="644"/>
        <item x="531"/>
        <item x="243"/>
        <item x="456"/>
        <item x="50"/>
        <item x="246"/>
        <item x="761"/>
        <item x="114"/>
        <item x="274"/>
        <item x="64"/>
        <item x="525"/>
        <item x="257"/>
        <item x="699"/>
        <item x="770"/>
        <item x="1025"/>
        <item x="569"/>
        <item x="477"/>
        <item x="146"/>
        <item x="509"/>
        <item x="479"/>
        <item x="232"/>
        <item x="908"/>
        <item x="1023"/>
        <item x="396"/>
        <item x="538"/>
        <item x="49"/>
        <item x="444"/>
        <item x="438"/>
        <item x="134"/>
        <item x="926"/>
        <item x="942"/>
        <item x="105"/>
        <item x="787"/>
        <item x="527"/>
        <item x="290"/>
        <item x="552"/>
        <item x="426"/>
        <item x="468"/>
        <item x="878"/>
        <item x="193"/>
        <item x="627"/>
        <item x="1020"/>
        <item x="573"/>
        <item x="338"/>
        <item x="814"/>
        <item x="100"/>
        <item x="671"/>
        <item x="323"/>
        <item x="489"/>
        <item x="547"/>
        <item x="492"/>
        <item x="382"/>
        <item x="291"/>
        <item x="194"/>
        <item x="104"/>
        <item x="648"/>
        <item x="116"/>
        <item x="174"/>
        <item x="227"/>
        <item x="507"/>
        <item x="694"/>
        <item x="218"/>
        <item x="986"/>
        <item x="786"/>
        <item x="273"/>
        <item x="832"/>
        <item x="663"/>
        <item x="68"/>
        <item x="367"/>
        <item x="361"/>
        <item x="999"/>
        <item x="425"/>
        <item x="316"/>
        <item x="256"/>
        <item x="714"/>
        <item x="660"/>
        <item x="591"/>
        <item x="476"/>
        <item x="440"/>
        <item x="298"/>
        <item x="345"/>
        <item x="775"/>
        <item x="266"/>
        <item x="211"/>
        <item x="388"/>
        <item x="912"/>
        <item x="610"/>
        <item x="636"/>
        <item x="473"/>
        <item x="74"/>
        <item x="901"/>
        <item x="560"/>
        <item x="206"/>
        <item x="654"/>
        <item x="713"/>
        <item x="185"/>
        <item x="947"/>
        <item x="4"/>
        <item x="830"/>
        <item x="1015"/>
        <item x="630"/>
        <item x="563"/>
        <item x="974"/>
        <item x="514"/>
        <item x="976"/>
        <item x="229"/>
        <item x="238"/>
        <item x="288"/>
        <item x="326"/>
        <item x="53"/>
        <item x="262"/>
        <item x="870"/>
        <item x="778"/>
        <item x="203"/>
        <item x="556"/>
        <item x="145"/>
        <item x="1008"/>
        <item x="231"/>
        <item x="65"/>
        <item x="605"/>
        <item x="578"/>
        <item x="722"/>
        <item x="826"/>
        <item x="1017"/>
        <item x="687"/>
        <item x="819"/>
        <item x="625"/>
        <item x="484"/>
        <item x="130"/>
        <item x="401"/>
        <item x="813"/>
        <item x="126"/>
        <item x="955"/>
        <item x="496"/>
        <item x="565"/>
        <item x="87"/>
        <item x="801"/>
        <item x="6"/>
        <item x="911"/>
        <item x="374"/>
        <item x="771"/>
        <item x="666"/>
        <item x="820"/>
        <item x="437"/>
        <item x="187"/>
        <item x="90"/>
        <item x="44"/>
        <item x="184"/>
        <item x="221"/>
        <item x="748"/>
        <item x="344"/>
        <item x="877"/>
        <item x="913"/>
        <item x="933"/>
        <item x="639"/>
        <item x="925"/>
        <item x="840"/>
        <item x="277"/>
        <item x="899"/>
        <item x="680"/>
        <item x="758"/>
        <item x="109"/>
        <item x="743"/>
        <item x="622"/>
        <item x="435"/>
        <item x="117"/>
        <item x="503"/>
        <item x="205"/>
        <item x="549"/>
        <item x="214"/>
        <item x="453"/>
        <item x="142"/>
        <item x="1010"/>
        <item x="784"/>
        <item x="454"/>
        <item x="683"/>
        <item x="724"/>
        <item x="932"/>
        <item x="233"/>
        <item x="633"/>
        <item x="58"/>
        <item x="433"/>
        <item x="872"/>
        <item x="23"/>
        <item x="677"/>
        <item x="261"/>
        <item x="971"/>
        <item x="447"/>
        <item x="125"/>
        <item x="598"/>
        <item x="634"/>
        <item x="324"/>
        <item x="93"/>
        <item x="413"/>
        <item x="720"/>
        <item x="727"/>
        <item x="534"/>
        <item x="210"/>
        <item x="153"/>
        <item x="629"/>
        <item x="1012"/>
        <item x="236"/>
        <item x="659"/>
        <item x="327"/>
        <item x="781"/>
        <item x="940"/>
        <item x="897"/>
        <item x="919"/>
        <item x="994"/>
        <item x="543"/>
        <item x="669"/>
        <item x="991"/>
        <item x="788"/>
        <item x="80"/>
        <item x="916"/>
        <item x="35"/>
        <item x="418"/>
        <item x="768"/>
        <item x="38"/>
        <item x="847"/>
        <item x="265"/>
        <item x="876"/>
        <item x="670"/>
        <item x="164"/>
        <item x="40"/>
        <item x="260"/>
        <item x="619"/>
        <item x="679"/>
        <item x="729"/>
        <item x="869"/>
        <item x="393"/>
        <item x="135"/>
        <item x="551"/>
        <item x="914"/>
        <item x="56"/>
        <item x="1018"/>
        <item x="575"/>
        <item x="439"/>
        <item x="351"/>
        <item x="817"/>
        <item x="522"/>
        <item x="715"/>
        <item x="9"/>
        <item x="546"/>
        <item x="377"/>
        <item x="1006"/>
        <item x="54"/>
        <item x="794"/>
        <item x="168"/>
        <item x="103"/>
        <item x="601"/>
        <item t="default"/>
      </items>
    </pivotField>
    <pivotField compact="0" numFmtId="10" showAll="0"/>
    <pivotField compact="0" showAll="0"/>
    <pivotField compact="0" showAll="0"/>
    <pivotField compact="0" showAll="0"/>
  </pivotFields>
  <rowFields count="1">
    <field x="2"/>
  </rowFields>
  <rowItems count="6">
    <i>
      <x v="4"/>
    </i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Profit" fld="2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A3:AB16" firstHeaderRow="1" firstDataRow="1" firstDataCol="1"/>
  <pivotFields count="26">
    <pivotField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compact="0" showAll="0"/>
    <pivotField compact="0" showAll="0"/>
    <pivotField axis="axisRow" compact="0" sortType="descending" showAll="0">
      <items count="13">
        <item x="8"/>
        <item x="6"/>
        <item x="0"/>
        <item x="2"/>
        <item x="11"/>
        <item x="10"/>
        <item x="1"/>
        <item x="3"/>
        <item x="9"/>
        <item x="5"/>
        <item x="7"/>
        <item x="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47">
        <item x="82"/>
        <item x="531"/>
        <item x="561"/>
        <item x="78"/>
        <item x="157"/>
        <item x="89"/>
        <item x="496"/>
        <item x="232"/>
        <item x="609"/>
        <item x="188"/>
        <item x="40"/>
        <item x="591"/>
        <item x="431"/>
        <item x="393"/>
        <item x="631"/>
        <item x="518"/>
        <item x="605"/>
        <item x="559"/>
        <item x="528"/>
        <item x="261"/>
        <item x="135"/>
        <item x="620"/>
        <item x="428"/>
        <item x="440"/>
        <item x="443"/>
        <item x="389"/>
        <item x="285"/>
        <item x="317"/>
        <item x="223"/>
        <item x="547"/>
        <item x="432"/>
        <item x="10"/>
        <item x="608"/>
        <item x="365"/>
        <item x="312"/>
        <item x="299"/>
        <item x="103"/>
        <item x="208"/>
        <item x="36"/>
        <item x="618"/>
        <item x="641"/>
        <item x="321"/>
        <item x="442"/>
        <item x="516"/>
        <item x="156"/>
        <item x="331"/>
        <item x="517"/>
        <item x="73"/>
        <item x="56"/>
        <item x="316"/>
        <item x="582"/>
        <item x="376"/>
        <item x="84"/>
        <item x="5"/>
        <item x="212"/>
        <item x="322"/>
        <item x="497"/>
        <item x="54"/>
        <item x="369"/>
        <item x="13"/>
        <item x="42"/>
        <item x="341"/>
        <item x="145"/>
        <item x="353"/>
        <item x="76"/>
        <item x="403"/>
        <item x="329"/>
        <item x="530"/>
        <item x="94"/>
        <item x="424"/>
        <item x="219"/>
        <item x="350"/>
        <item x="109"/>
        <item x="250"/>
        <item x="171"/>
        <item x="173"/>
        <item x="79"/>
        <item x="117"/>
        <item x="619"/>
        <item x="462"/>
        <item x="573"/>
        <item x="134"/>
        <item x="643"/>
        <item x="284"/>
        <item x="38"/>
        <item x="589"/>
        <item x="92"/>
        <item x="366"/>
        <item x="564"/>
        <item x="325"/>
        <item x="406"/>
        <item x="269"/>
        <item x="459"/>
        <item x="21"/>
        <item x="382"/>
        <item x="204"/>
        <item x="19"/>
        <item x="233"/>
        <item x="363"/>
        <item x="549"/>
        <item x="438"/>
        <item x="413"/>
        <item x="191"/>
        <item x="326"/>
        <item x="181"/>
        <item x="425"/>
        <item x="123"/>
        <item x="49"/>
        <item x="315"/>
        <item x="2"/>
        <item x="264"/>
        <item x="148"/>
        <item x="214"/>
        <item x="313"/>
        <item x="68"/>
        <item x="234"/>
        <item x="612"/>
        <item x="544"/>
        <item x="324"/>
        <item x="508"/>
        <item x="16"/>
        <item x="551"/>
        <item x="507"/>
        <item x="456"/>
        <item x="570"/>
        <item x="59"/>
        <item x="132"/>
        <item x="310"/>
        <item x="411"/>
        <item x="244"/>
        <item x="39"/>
        <item x="226"/>
        <item x="430"/>
        <item x="283"/>
        <item x="243"/>
        <item x="282"/>
        <item x="257"/>
        <item x="493"/>
        <item x="81"/>
        <item x="211"/>
        <item x="80"/>
        <item x="152"/>
        <item x="527"/>
        <item x="128"/>
        <item x="160"/>
        <item x="230"/>
        <item x="246"/>
        <item x="342"/>
        <item x="597"/>
        <item x="565"/>
        <item x="397"/>
        <item x="486"/>
        <item x="192"/>
        <item x="133"/>
        <item x="330"/>
        <item x="585"/>
        <item x="525"/>
        <item x="359"/>
        <item x="17"/>
        <item x="571"/>
        <item x="236"/>
        <item x="602"/>
        <item x="445"/>
        <item x="343"/>
        <item x="586"/>
        <item x="136"/>
        <item x="30"/>
        <item x="378"/>
        <item x="90"/>
        <item x="626"/>
        <item x="433"/>
        <item x="538"/>
        <item x="125"/>
        <item x="254"/>
        <item x="31"/>
        <item x="120"/>
        <item x="512"/>
        <item x="113"/>
        <item x="546"/>
        <item x="423"/>
        <item x="521"/>
        <item x="463"/>
        <item x="332"/>
        <item x="555"/>
        <item x="306"/>
        <item x="288"/>
        <item x="480"/>
        <item x="621"/>
        <item x="48"/>
        <item x="567"/>
        <item x="24"/>
        <item x="581"/>
        <item x="270"/>
        <item x="149"/>
        <item x="419"/>
        <item x="357"/>
        <item x="294"/>
        <item x="511"/>
        <item x="375"/>
        <item x="371"/>
        <item x="1"/>
        <item x="427"/>
        <item x="577"/>
        <item x="441"/>
        <item x="91"/>
        <item x="606"/>
        <item x="513"/>
        <item x="381"/>
        <item x="464"/>
        <item x="367"/>
        <item x="562"/>
        <item x="472"/>
        <item x="499"/>
        <item x="444"/>
        <item x="385"/>
        <item x="584"/>
        <item x="112"/>
        <item x="569"/>
        <item x="295"/>
        <item x="558"/>
        <item x="308"/>
        <item x="111"/>
        <item x="201"/>
        <item x="43"/>
        <item x="159"/>
        <item x="534"/>
        <item x="395"/>
        <item x="140"/>
        <item x="556"/>
        <item x="494"/>
        <item x="415"/>
        <item x="435"/>
        <item x="18"/>
        <item x="449"/>
        <item x="291"/>
        <item x="383"/>
        <item x="265"/>
        <item x="292"/>
        <item x="268"/>
        <item x="155"/>
        <item x="86"/>
        <item x="251"/>
        <item x="102"/>
        <item x="504"/>
        <item x="216"/>
        <item x="114"/>
        <item x="106"/>
        <item x="194"/>
        <item x="408"/>
        <item x="83"/>
        <item x="45"/>
        <item x="401"/>
        <item x="177"/>
        <item x="74"/>
        <item x="543"/>
        <item x="20"/>
        <item x="64"/>
        <item x="422"/>
        <item x="360"/>
        <item x="601"/>
        <item x="172"/>
        <item x="302"/>
        <item x="568"/>
        <item x="28"/>
        <item x="603"/>
        <item x="394"/>
        <item x="574"/>
        <item x="352"/>
        <item x="319"/>
        <item x="167"/>
        <item x="25"/>
        <item x="218"/>
        <item x="535"/>
        <item x="165"/>
        <item x="186"/>
        <item x="633"/>
        <item x="217"/>
        <item x="70"/>
        <item x="339"/>
        <item x="467"/>
        <item x="417"/>
        <item x="247"/>
        <item x="34"/>
        <item x="638"/>
        <item x="57"/>
        <item x="29"/>
        <item x="32"/>
        <item x="452"/>
        <item x="587"/>
        <item x="514"/>
        <item x="489"/>
        <item x="477"/>
        <item x="645"/>
        <item x="349"/>
        <item x="354"/>
        <item x="610"/>
        <item x="273"/>
        <item x="407"/>
        <item x="351"/>
        <item x="495"/>
        <item x="139"/>
        <item x="520"/>
        <item x="625"/>
        <item x="490"/>
        <item x="175"/>
        <item x="8"/>
        <item x="144"/>
        <item x="476"/>
        <item x="72"/>
        <item x="454"/>
        <item x="279"/>
        <item x="579"/>
        <item x="482"/>
        <item x="124"/>
        <item x="503"/>
        <item x="616"/>
        <item x="624"/>
        <item x="460"/>
        <item x="553"/>
        <item x="542"/>
        <item x="304"/>
        <item x="429"/>
        <item x="205"/>
        <item x="215"/>
        <item x="293"/>
        <item x="593"/>
        <item x="170"/>
        <item x="154"/>
        <item x="622"/>
        <item x="344"/>
        <item x="373"/>
        <item x="249"/>
        <item x="260"/>
        <item x="259"/>
        <item x="436"/>
        <item x="110"/>
        <item x="502"/>
        <item x="566"/>
        <item x="578"/>
        <item x="266"/>
        <item x="334"/>
        <item x="141"/>
        <item x="12"/>
        <item x="630"/>
        <item x="485"/>
        <item x="346"/>
        <item x="629"/>
        <item x="510"/>
        <item x="290"/>
        <item x="420"/>
        <item x="447"/>
        <item x="541"/>
        <item x="615"/>
        <item x="557"/>
        <item x="599"/>
        <item x="550"/>
        <item x="473"/>
        <item x="457"/>
        <item x="153"/>
        <item x="44"/>
        <item x="416"/>
        <item x="69"/>
        <item x="361"/>
        <item x="237"/>
        <item x="451"/>
        <item x="231"/>
        <item x="210"/>
        <item x="137"/>
        <item x="0"/>
        <item x="640"/>
        <item x="340"/>
        <item x="241"/>
        <item x="370"/>
        <item x="26"/>
        <item x="95"/>
        <item x="227"/>
        <item x="27"/>
        <item x="280"/>
        <item x="488"/>
        <item x="377"/>
        <item x="580"/>
        <item x="635"/>
        <item x="105"/>
        <item x="524"/>
        <item x="126"/>
        <item x="627"/>
        <item x="298"/>
        <item x="143"/>
        <item x="540"/>
        <item x="229"/>
        <item x="323"/>
        <item x="301"/>
        <item x="142"/>
        <item x="388"/>
        <item x="286"/>
        <item x="448"/>
        <item x="287"/>
        <item x="182"/>
        <item x="458"/>
        <item x="15"/>
        <item x="560"/>
        <item x="380"/>
        <item x="500"/>
        <item x="309"/>
        <item x="481"/>
        <item x="474"/>
        <item x="235"/>
        <item x="278"/>
        <item x="632"/>
        <item x="392"/>
        <item x="116"/>
        <item x="118"/>
        <item x="478"/>
        <item x="390"/>
        <item x="99"/>
        <item x="239"/>
        <item x="248"/>
        <item x="297"/>
        <item x="642"/>
        <item x="607"/>
        <item x="590"/>
        <item x="87"/>
        <item x="483"/>
        <item x="307"/>
        <item x="255"/>
        <item x="396"/>
        <item x="47"/>
        <item x="66"/>
        <item x="166"/>
        <item x="58"/>
        <item x="3"/>
        <item x="637"/>
        <item x="52"/>
        <item x="23"/>
        <item x="97"/>
        <item x="563"/>
        <item x="184"/>
        <item x="374"/>
        <item x="193"/>
        <item x="258"/>
        <item x="189"/>
        <item x="506"/>
        <item x="252"/>
        <item x="532"/>
        <item x="358"/>
        <item x="253"/>
        <item x="7"/>
        <item x="617"/>
        <item x="122"/>
        <item x="487"/>
        <item x="336"/>
        <item x="501"/>
        <item x="300"/>
        <item x="314"/>
        <item x="199"/>
        <item x="158"/>
        <item x="400"/>
        <item x="355"/>
        <item x="536"/>
        <item x="213"/>
        <item x="469"/>
        <item x="583"/>
        <item x="418"/>
        <item x="129"/>
        <item x="410"/>
        <item x="195"/>
        <item x="539"/>
        <item x="63"/>
        <item x="67"/>
        <item x="311"/>
        <item x="461"/>
        <item x="104"/>
        <item x="348"/>
        <item x="197"/>
        <item x="545"/>
        <item x="60"/>
        <item x="203"/>
        <item x="426"/>
        <item x="379"/>
        <item x="386"/>
        <item x="628"/>
        <item x="93"/>
        <item x="267"/>
        <item x="484"/>
        <item x="240"/>
        <item x="176"/>
        <item x="130"/>
        <item x="198"/>
        <item x="62"/>
        <item x="522"/>
        <item x="107"/>
        <item x="119"/>
        <item x="228"/>
        <item x="479"/>
        <item x="412"/>
        <item x="409"/>
        <item x="11"/>
        <item x="505"/>
        <item x="364"/>
        <item x="271"/>
        <item x="274"/>
        <item x="180"/>
        <item x="576"/>
        <item x="209"/>
        <item x="398"/>
        <item x="75"/>
        <item x="41"/>
        <item x="515"/>
        <item x="455"/>
        <item x="613"/>
        <item x="187"/>
        <item x="190"/>
        <item x="245"/>
        <item x="4"/>
        <item x="623"/>
        <item x="277"/>
        <item x="437"/>
        <item x="50"/>
        <item x="614"/>
        <item x="61"/>
        <item x="71"/>
        <item x="368"/>
        <item x="588"/>
        <item x="179"/>
        <item x="466"/>
        <item x="592"/>
        <item x="446"/>
        <item x="131"/>
        <item x="554"/>
        <item x="421"/>
        <item x="127"/>
        <item x="387"/>
        <item x="611"/>
        <item x="595"/>
        <item x="453"/>
        <item x="65"/>
        <item x="242"/>
        <item x="46"/>
        <item x="98"/>
        <item x="491"/>
        <item x="206"/>
        <item x="338"/>
        <item x="333"/>
        <item x="328"/>
        <item x="221"/>
        <item x="289"/>
        <item x="164"/>
        <item x="272"/>
        <item x="161"/>
        <item x="168"/>
        <item x="303"/>
        <item x="108"/>
        <item x="362"/>
        <item x="275"/>
        <item x="225"/>
        <item x="402"/>
        <item x="100"/>
        <item x="509"/>
        <item x="475"/>
        <item x="318"/>
        <item x="644"/>
        <item x="414"/>
        <item x="163"/>
        <item x="356"/>
        <item x="345"/>
        <item x="296"/>
        <item x="169"/>
        <item x="391"/>
        <item x="196"/>
        <item x="183"/>
        <item x="548"/>
        <item x="138"/>
        <item x="238"/>
        <item x="185"/>
        <item x="222"/>
        <item x="523"/>
        <item x="405"/>
        <item x="465"/>
        <item x="636"/>
        <item x="526"/>
        <item x="471"/>
        <item x="207"/>
        <item x="572"/>
        <item x="276"/>
        <item x="372"/>
        <item x="594"/>
        <item x="6"/>
        <item x="33"/>
        <item x="174"/>
        <item x="450"/>
        <item x="529"/>
        <item x="263"/>
        <item x="335"/>
        <item x="14"/>
        <item x="162"/>
        <item x="604"/>
        <item x="327"/>
        <item x="256"/>
        <item x="77"/>
        <item x="88"/>
        <item x="35"/>
        <item x="575"/>
        <item x="498"/>
        <item x="121"/>
        <item x="146"/>
        <item x="200"/>
        <item x="320"/>
        <item x="220"/>
        <item x="639"/>
        <item x="85"/>
        <item x="337"/>
        <item x="151"/>
        <item x="600"/>
        <item x="281"/>
        <item x="115"/>
        <item x="533"/>
        <item x="101"/>
        <item x="519"/>
        <item x="470"/>
        <item x="404"/>
        <item x="596"/>
        <item x="53"/>
        <item x="468"/>
        <item x="492"/>
        <item x="305"/>
        <item x="55"/>
        <item x="384"/>
        <item x="9"/>
        <item x="439"/>
        <item x="224"/>
        <item x="537"/>
        <item x="178"/>
        <item x="347"/>
        <item x="37"/>
        <item x="51"/>
        <item x="202"/>
        <item x="634"/>
        <item x="22"/>
        <item x="552"/>
        <item x="96"/>
        <item x="262"/>
        <item x="150"/>
        <item x="598"/>
        <item x="399"/>
        <item x="147"/>
        <item x="434"/>
        <item t="default"/>
      </items>
    </pivotField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compact="0" showAll="0"/>
    <pivotField compact="0" showAll="0"/>
  </pivotFields>
  <rowFields count="1">
    <field x="4"/>
  </rowFields>
  <rowItems count="13">
    <i>
      <x v="9"/>
    </i>
    <i>
      <x v="3"/>
    </i>
    <i>
      <x v="7"/>
    </i>
    <i>
      <x v="4"/>
    </i>
    <i>
      <x v="11"/>
    </i>
    <i>
      <x v="5"/>
    </i>
    <i>
      <x/>
    </i>
    <i>
      <x v="6"/>
    </i>
    <i>
      <x v="10"/>
    </i>
    <i>
      <x v="8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D3:AE7" firstHeaderRow="1" firstDataRow="1" firstDataCol="1"/>
  <pivotFields count="26">
    <pivotField dataField="1" compact="0" showAll="0">
      <items count="1051">
        <item x="944"/>
        <item x="1027"/>
        <item x="338"/>
        <item x="50"/>
        <item x="701"/>
        <item x="890"/>
        <item x="426"/>
        <item x="839"/>
        <item x="279"/>
        <item x="991"/>
        <item x="300"/>
        <item x="664"/>
        <item x="730"/>
        <item x="602"/>
        <item x="437"/>
        <item x="915"/>
        <item x="857"/>
        <item x="254"/>
        <item x="881"/>
        <item x="651"/>
        <item x="277"/>
        <item x="919"/>
        <item x="813"/>
        <item x="77"/>
        <item x="311"/>
        <item x="933"/>
        <item x="345"/>
        <item x="961"/>
        <item x="467"/>
        <item x="743"/>
        <item x="703"/>
        <item x="931"/>
        <item x="498"/>
        <item x="800"/>
        <item x="644"/>
        <item x="1048"/>
        <item x="63"/>
        <item x="560"/>
        <item x="972"/>
        <item x="626"/>
        <item x="355"/>
        <item x="659"/>
        <item x="31"/>
        <item x="555"/>
        <item x="96"/>
        <item x="1013"/>
        <item x="848"/>
        <item x="682"/>
        <item x="383"/>
        <item x="164"/>
        <item x="789"/>
        <item x="74"/>
        <item x="681"/>
        <item x="519"/>
        <item x="584"/>
        <item x="777"/>
        <item x="954"/>
        <item x="990"/>
        <item x="601"/>
        <item x="617"/>
        <item x="115"/>
        <item x="146"/>
        <item x="236"/>
        <item x="895"/>
        <item x="999"/>
        <item x="888"/>
        <item x="1029"/>
        <item x="672"/>
        <item x="343"/>
        <item x="534"/>
        <item x="48"/>
        <item x="822"/>
        <item x="183"/>
        <item x="491"/>
        <item x="40"/>
        <item x="429"/>
        <item x="941"/>
        <item x="960"/>
        <item x="836"/>
        <item x="415"/>
        <item x="367"/>
        <item x="455"/>
        <item x="649"/>
        <item x="503"/>
        <item x="68"/>
        <item x="61"/>
        <item x="1043"/>
        <item x="303"/>
        <item x="539"/>
        <item x="486"/>
        <item x="471"/>
        <item x="690"/>
        <item x="1044"/>
        <item x="414"/>
        <item x="716"/>
        <item x="35"/>
        <item x="713"/>
        <item x="816"/>
        <item x="680"/>
        <item x="585"/>
        <item x="60"/>
        <item x="5"/>
        <item x="258"/>
        <item x="893"/>
        <item x="903"/>
        <item x="592"/>
        <item x="363"/>
        <item x="466"/>
        <item x="1019"/>
        <item x="382"/>
        <item x="91"/>
        <item x="974"/>
        <item x="136"/>
        <item x="215"/>
        <item x="240"/>
        <item x="883"/>
        <item x="853"/>
        <item x="83"/>
        <item x="1006"/>
        <item x="339"/>
        <item x="380"/>
        <item x="144"/>
        <item x="635"/>
        <item x="447"/>
        <item x="176"/>
        <item x="785"/>
        <item x="364"/>
        <item x="137"/>
        <item x="692"/>
        <item x="792"/>
        <item x="510"/>
        <item x="912"/>
        <item x="222"/>
        <item x="673"/>
        <item x="717"/>
        <item x="468"/>
        <item x="946"/>
        <item x="178"/>
        <item x="417"/>
        <item x="423"/>
        <item x="916"/>
        <item x="515"/>
        <item x="379"/>
        <item x="110"/>
        <item x="230"/>
        <item x="669"/>
        <item x="862"/>
        <item x="821"/>
        <item x="1041"/>
        <item x="639"/>
        <item x="577"/>
        <item x="448"/>
        <item x="180"/>
        <item x="266"/>
        <item x="1028"/>
        <item x="2"/>
        <item x="82"/>
        <item x="106"/>
        <item x="424"/>
        <item x="897"/>
        <item x="896"/>
        <item x="779"/>
        <item x="221"/>
        <item x="746"/>
        <item x="760"/>
        <item x="1022"/>
        <item x="772"/>
        <item x="588"/>
        <item x="665"/>
        <item x="661"/>
        <item x="615"/>
        <item x="508"/>
        <item x="407"/>
        <item x="642"/>
        <item x="55"/>
        <item x="499"/>
        <item x="1"/>
        <item x="885"/>
        <item x="401"/>
        <item x="194"/>
        <item x="151"/>
        <item x="352"/>
        <item x="124"/>
        <item x="814"/>
        <item x="434"/>
        <item x="138"/>
        <item x="894"/>
        <item x="170"/>
        <item x="125"/>
        <item x="887"/>
        <item x="780"/>
        <item x="846"/>
        <item x="375"/>
        <item x="1010"/>
        <item x="480"/>
        <item x="483"/>
        <item x="702"/>
        <item x="135"/>
        <item x="505"/>
        <item x="132"/>
        <item x="541"/>
        <item x="594"/>
        <item x="318"/>
        <item x="763"/>
        <item x="863"/>
        <item x="516"/>
        <item x="808"/>
        <item x="586"/>
        <item x="56"/>
        <item x="802"/>
        <item x="547"/>
        <item x="576"/>
        <item x="156"/>
        <item x="796"/>
        <item x="908"/>
        <item x="307"/>
        <item x="442"/>
        <item x="493"/>
        <item x="350"/>
        <item x="79"/>
        <item x="698"/>
        <item x="530"/>
        <item x="319"/>
        <item x="216"/>
        <item x="699"/>
        <item x="942"/>
        <item x="625"/>
        <item x="391"/>
        <item x="812"/>
        <item x="190"/>
        <item x="769"/>
        <item x="637"/>
        <item x="884"/>
        <item x="385"/>
        <item x="162"/>
        <item x="370"/>
        <item x="507"/>
        <item x="264"/>
        <item x="557"/>
        <item x="536"/>
        <item x="433"/>
        <item x="624"/>
        <item x="865"/>
        <item x="42"/>
        <item x="12"/>
        <item x="706"/>
        <item x="985"/>
        <item x="535"/>
        <item x="737"/>
        <item x="381"/>
        <item x="748"/>
        <item x="87"/>
        <item x="231"/>
        <item x="250"/>
        <item x="726"/>
        <item x="587"/>
        <item x="728"/>
        <item x="45"/>
        <item x="378"/>
        <item x="400"/>
        <item x="580"/>
        <item x="809"/>
        <item x="543"/>
        <item x="774"/>
        <item x="220"/>
        <item x="1049"/>
        <item x="711"/>
        <item x="694"/>
        <item x="892"/>
        <item x="932"/>
        <item x="102"/>
        <item x="98"/>
        <item x="192"/>
        <item x="305"/>
        <item x="287"/>
        <item x="546"/>
        <item x="768"/>
        <item x="654"/>
        <item x="653"/>
        <item x="336"/>
        <item x="256"/>
        <item x="608"/>
        <item x="154"/>
        <item x="282"/>
        <item x="360"/>
        <item x="873"/>
        <item x="736"/>
        <item x="994"/>
        <item x="849"/>
        <item x="470"/>
        <item x="525"/>
        <item x="72"/>
        <item x="949"/>
        <item x="981"/>
        <item x="559"/>
        <item x="831"/>
        <item x="996"/>
        <item x="147"/>
        <item x="856"/>
        <item x="349"/>
        <item x="648"/>
        <item x="948"/>
        <item x="223"/>
        <item x="354"/>
        <item x="281"/>
        <item x="476"/>
        <item x="326"/>
        <item x="323"/>
        <item x="920"/>
        <item x="955"/>
        <item x="427"/>
        <item x="973"/>
        <item x="630"/>
        <item x="51"/>
        <item x="334"/>
        <item x="25"/>
        <item x="94"/>
        <item x="801"/>
        <item x="245"/>
        <item x="852"/>
        <item x="272"/>
        <item x="878"/>
        <item x="58"/>
        <item x="504"/>
        <item x="901"/>
        <item x="462"/>
        <item x="582"/>
        <item x="829"/>
        <item x="868"/>
        <item x="198"/>
        <item x="721"/>
        <item x="697"/>
        <item x="167"/>
        <item x="745"/>
        <item x="474"/>
        <item x="803"/>
        <item x="161"/>
        <item x="451"/>
        <item x="209"/>
        <item x="957"/>
        <item x="299"/>
        <item x="787"/>
        <item x="10"/>
        <item x="598"/>
        <item x="650"/>
        <item x="463"/>
        <item x="325"/>
        <item x="485"/>
        <item x="105"/>
        <item x="693"/>
        <item x="143"/>
        <item x="9"/>
        <item x="679"/>
        <item x="6"/>
        <item x="1016"/>
        <item x="899"/>
        <item x="1046"/>
        <item x="19"/>
        <item x="328"/>
        <item x="753"/>
        <item x="450"/>
        <item x="171"/>
        <item x="127"/>
        <item x="976"/>
        <item x="210"/>
        <item x="620"/>
        <item x="260"/>
        <item x="70"/>
        <item x="76"/>
        <item x="724"/>
        <item x="621"/>
        <item x="362"/>
        <item x="762"/>
        <item x="114"/>
        <item x="489"/>
        <item x="647"/>
        <item x="658"/>
        <item x="432"/>
        <item x="880"/>
        <item x="864"/>
        <item x="21"/>
        <item x="172"/>
        <item x="523"/>
        <item x="92"/>
        <item x="337"/>
        <item x="206"/>
        <item x="629"/>
        <item x="306"/>
        <item x="64"/>
        <item x="618"/>
        <item x="14"/>
        <item x="205"/>
        <item x="155"/>
        <item x="23"/>
        <item x="928"/>
        <item x="211"/>
        <item x="175"/>
        <item x="998"/>
        <item x="497"/>
        <item x="902"/>
        <item x="965"/>
        <item x="342"/>
        <item x="393"/>
        <item x="506"/>
        <item x="782"/>
        <item x="1026"/>
        <item x="294"/>
        <item x="408"/>
        <item x="377"/>
        <item x="966"/>
        <item x="707"/>
        <item x="687"/>
        <item x="604"/>
        <item x="458"/>
        <item x="537"/>
        <item x="405"/>
        <item x="579"/>
        <item x="532"/>
        <item x="52"/>
        <item x="131"/>
        <item x="1037"/>
        <item x="520"/>
        <item x="322"/>
        <item x="921"/>
        <item x="755"/>
        <item x="78"/>
        <item x="905"/>
        <item x="113"/>
        <item x="376"/>
        <item x="818"/>
        <item x="970"/>
        <item x="749"/>
        <item x="284"/>
        <item x="685"/>
        <item x="395"/>
        <item x="411"/>
        <item x="238"/>
        <item x="173"/>
        <item x="567"/>
        <item x="967"/>
        <item x="201"/>
        <item x="934"/>
        <item x="111"/>
        <item x="16"/>
        <item x="688"/>
        <item x="280"/>
        <item x="435"/>
        <item x="218"/>
        <item x="439"/>
        <item x="388"/>
        <item x="37"/>
        <item x="374"/>
        <item x="614"/>
        <item x="632"/>
        <item x="117"/>
        <item x="312"/>
        <item x="866"/>
        <item x="108"/>
        <item x="975"/>
        <item x="237"/>
        <item x="502"/>
        <item x="196"/>
        <item x="185"/>
        <item x="666"/>
        <item x="8"/>
        <item x="562"/>
        <item x="478"/>
        <item x="842"/>
        <item x="695"/>
        <item x="963"/>
        <item x="4"/>
        <item x="859"/>
        <item x="361"/>
        <item x="607"/>
        <item x="315"/>
        <item x="656"/>
        <item x="36"/>
        <item x="234"/>
        <item x="719"/>
        <item x="1020"/>
        <item x="854"/>
        <item x="263"/>
        <item x="723"/>
        <item x="122"/>
        <item x="11"/>
        <item x="786"/>
        <item x="475"/>
        <item x="301"/>
        <item x="174"/>
        <item x="431"/>
        <item x="781"/>
        <item x="827"/>
        <item x="169"/>
        <item x="770"/>
        <item x="945"/>
        <item x="936"/>
        <item x="128"/>
        <item x="472"/>
        <item x="159"/>
        <item x="107"/>
        <item x="465"/>
        <item x="877"/>
        <item x="549"/>
        <item x="13"/>
        <item x="751"/>
        <item x="1011"/>
        <item x="1033"/>
        <item x="453"/>
        <item x="112"/>
        <item x="841"/>
        <item x="940"/>
        <item x="819"/>
        <item x="987"/>
        <item x="845"/>
        <item x="686"/>
        <item x="509"/>
        <item x="409"/>
        <item x="242"/>
        <item x="141"/>
        <item x="291"/>
        <item x="663"/>
        <item x="783"/>
        <item x="290"/>
        <item x="321"/>
        <item x="833"/>
        <item x="855"/>
        <item x="545"/>
        <item x="302"/>
        <item x="166"/>
        <item x="599"/>
        <item x="667"/>
        <item x="606"/>
        <item x="204"/>
        <item x="869"/>
        <item x="958"/>
        <item x="330"/>
        <item x="247"/>
        <item x="399"/>
        <item x="759"/>
        <item x="704"/>
        <item x="203"/>
        <item x="436"/>
        <item x="145"/>
        <item x="46"/>
        <item x="109"/>
        <item x="640"/>
        <item x="295"/>
        <item x="636"/>
        <item x="684"/>
        <item x="531"/>
        <item x="572"/>
        <item x="689"/>
        <item x="308"/>
        <item x="477"/>
        <item x="668"/>
        <item x="793"/>
        <item x="553"/>
        <item x="224"/>
        <item x="558"/>
        <item x="134"/>
        <item x="540"/>
        <item x="103"/>
        <item x="988"/>
        <item x="984"/>
        <item x="1034"/>
        <item x="569"/>
        <item x="1036"/>
        <item x="81"/>
        <item x="891"/>
        <item x="720"/>
        <item x="199"/>
        <item x="7"/>
        <item x="244"/>
        <item x="123"/>
        <item x="304"/>
        <item x="910"/>
        <item x="807"/>
        <item x="445"/>
        <item x="765"/>
        <item x="49"/>
        <item x="605"/>
        <item x="252"/>
        <item x="410"/>
        <item x="705"/>
        <item x="314"/>
        <item x="795"/>
        <item x="446"/>
        <item x="438"/>
        <item x="420"/>
        <item x="758"/>
        <item x="590"/>
        <item x="403"/>
        <item x="938"/>
        <item x="93"/>
        <item x="548"/>
        <item x="1008"/>
        <item x="791"/>
        <item x="200"/>
        <item x="283"/>
        <item x="714"/>
        <item x="89"/>
        <item x="838"/>
        <item x="97"/>
        <item x="268"/>
        <item x="351"/>
        <item x="610"/>
        <item x="922"/>
        <item x="95"/>
        <item x="265"/>
        <item x="513"/>
        <item x="67"/>
        <item x="790"/>
        <item x="286"/>
        <item x="139"/>
        <item x="253"/>
        <item x="1014"/>
        <item x="150"/>
        <item x="331"/>
        <item x="248"/>
        <item x="646"/>
        <item x="718"/>
        <item x="228"/>
        <item x="425"/>
        <item x="612"/>
        <item x="522"/>
        <item x="469"/>
        <item x="484"/>
        <item x="597"/>
        <item x="633"/>
        <item x="611"/>
        <item x="805"/>
        <item x="75"/>
        <item x="889"/>
        <item x="550"/>
        <item x="133"/>
        <item x="757"/>
        <item x="214"/>
        <item x="421"/>
        <item x="675"/>
        <item x="356"/>
        <item x="157"/>
        <item x="778"/>
        <item x="15"/>
        <item x="492"/>
        <item x="142"/>
        <item x="100"/>
        <item x="335"/>
        <item x="815"/>
        <item x="578"/>
        <item x="750"/>
        <item x="226"/>
        <item x="913"/>
        <item x="709"/>
        <item x="269"/>
        <item x="735"/>
        <item x="638"/>
        <item x="149"/>
        <item x="1023"/>
        <item x="239"/>
        <item x="634"/>
        <item x="187"/>
        <item x="806"/>
        <item x="182"/>
        <item x="1018"/>
        <item x="359"/>
        <item x="628"/>
        <item x="461"/>
        <item x="443"/>
        <item x="181"/>
        <item x="722"/>
        <item x="907"/>
        <item x="529"/>
        <item x="583"/>
        <item x="104"/>
        <item x="297"/>
        <item x="740"/>
        <item x="752"/>
        <item x="193"/>
        <item x="619"/>
        <item x="512"/>
        <item x="918"/>
        <item x="825"/>
        <item x="581"/>
        <item x="298"/>
        <item x="514"/>
        <item x="372"/>
        <item x="86"/>
        <item x="270"/>
        <item x="293"/>
        <item x="683"/>
        <item x="66"/>
        <item x="267"/>
        <item x="116"/>
        <item x="207"/>
        <item x="712"/>
        <item x="452"/>
        <item x="544"/>
        <item x="554"/>
        <item x="876"/>
        <item x="440"/>
        <item x="858"/>
        <item x="674"/>
        <item x="764"/>
        <item x="676"/>
        <item x="837"/>
        <item x="715"/>
        <item x="444"/>
        <item x="824"/>
        <item x="964"/>
        <item x="993"/>
        <item x="968"/>
        <item x="126"/>
        <item x="402"/>
        <item x="570"/>
        <item x="1047"/>
        <item x="886"/>
        <item x="273"/>
        <item x="776"/>
        <item x="1040"/>
        <item x="85"/>
        <item x="208"/>
        <item x="924"/>
        <item x="609"/>
        <item x="246"/>
        <item x="542"/>
        <item x="165"/>
        <item x="33"/>
        <item x="929"/>
        <item x="168"/>
        <item x="754"/>
        <item x="843"/>
        <item x="744"/>
        <item x="571"/>
        <item x="158"/>
        <item x="978"/>
        <item x="811"/>
        <item x="413"/>
        <item x="186"/>
        <item x="276"/>
        <item x="1030"/>
        <item x="384"/>
        <item x="939"/>
        <item x="564"/>
        <item x="826"/>
        <item x="22"/>
        <item x="700"/>
        <item x="551"/>
        <item x="995"/>
        <item x="18"/>
        <item x="593"/>
        <item x="259"/>
        <item x="368"/>
        <item x="900"/>
        <item x="232"/>
        <item x="274"/>
        <item x="309"/>
        <item x="1021"/>
        <item x="747"/>
        <item x="332"/>
        <item x="756"/>
        <item x="914"/>
        <item x="327"/>
        <item x="28"/>
        <item x="643"/>
        <item x="80"/>
        <item x="197"/>
        <item x="992"/>
        <item x="867"/>
        <item x="43"/>
        <item x="288"/>
        <item x="292"/>
        <item x="473"/>
        <item x="953"/>
        <item x="840"/>
        <item x="317"/>
        <item x="38"/>
        <item x="660"/>
        <item x="101"/>
        <item x="951"/>
        <item x="459"/>
        <item x="904"/>
        <item x="708"/>
        <item x="195"/>
        <item x="943"/>
        <item x="255"/>
        <item x="980"/>
        <item x="784"/>
        <item x="871"/>
        <item x="320"/>
        <item x="348"/>
        <item x="90"/>
        <item x="926"/>
        <item x="528"/>
        <item x="731"/>
        <item x="495"/>
        <item x="163"/>
        <item x="742"/>
        <item x="227"/>
        <item x="844"/>
        <item x="39"/>
        <item x="657"/>
        <item x="387"/>
        <item x="419"/>
        <item x="596"/>
        <item x="189"/>
        <item x="1004"/>
        <item x="3"/>
        <item x="524"/>
        <item x="365"/>
        <item x="828"/>
        <item x="99"/>
        <item x="285"/>
        <item x="729"/>
        <item x="810"/>
        <item x="767"/>
        <item x="494"/>
        <item x="925"/>
        <item x="261"/>
        <item x="739"/>
        <item x="696"/>
        <item x="950"/>
        <item x="1015"/>
        <item x="591"/>
        <item x="511"/>
        <item x="1031"/>
        <item x="962"/>
        <item x="930"/>
        <item x="449"/>
        <item x="457"/>
        <item x="353"/>
        <item x="34"/>
        <item x="1000"/>
        <item x="217"/>
        <item x="627"/>
        <item x="670"/>
        <item x="257"/>
        <item x="390"/>
        <item x="84"/>
        <item x="54"/>
        <item x="44"/>
        <item x="41"/>
        <item x="296"/>
        <item x="952"/>
        <item x="57"/>
        <item x="62"/>
        <item x="191"/>
        <item x="671"/>
        <item x="71"/>
        <item x="404"/>
        <item x="344"/>
        <item x="177"/>
        <item x="710"/>
        <item x="88"/>
        <item x="500"/>
        <item x="997"/>
        <item x="616"/>
        <item x="129"/>
        <item x="600"/>
        <item x="347"/>
        <item x="310"/>
        <item x="1012"/>
        <item x="1017"/>
        <item x="832"/>
        <item x="956"/>
        <item x="202"/>
        <item x="120"/>
        <item x="148"/>
        <item x="1007"/>
        <item x="212"/>
        <item x="517"/>
        <item x="794"/>
        <item x="870"/>
        <item x="460"/>
        <item x="677"/>
        <item x="798"/>
        <item x="241"/>
        <item x="732"/>
        <item x="69"/>
        <item x="313"/>
        <item x="371"/>
        <item x="65"/>
        <item x="324"/>
        <item x="118"/>
        <item x="121"/>
        <item x="488"/>
        <item x="561"/>
        <item x="872"/>
        <item x="369"/>
        <item x="418"/>
        <item x="923"/>
        <item x="741"/>
        <item x="412"/>
        <item x="563"/>
        <item x="416"/>
        <item x="935"/>
        <item x="566"/>
        <item x="733"/>
        <item x="1001"/>
        <item x="847"/>
        <item x="568"/>
        <item x="26"/>
        <item x="738"/>
        <item x="613"/>
        <item x="959"/>
        <item x="130"/>
        <item x="875"/>
        <item x="830"/>
        <item x="820"/>
        <item x="225"/>
        <item x="589"/>
        <item x="691"/>
        <item x="1045"/>
        <item x="817"/>
        <item x="804"/>
        <item x="771"/>
        <item x="219"/>
        <item x="357"/>
        <item x="527"/>
        <item x="1002"/>
        <item x="160"/>
        <item x="595"/>
        <item x="983"/>
        <item x="358"/>
        <item x="479"/>
        <item x="861"/>
        <item x="1032"/>
        <item x="1038"/>
        <item x="538"/>
        <item x="979"/>
        <item x="662"/>
        <item x="29"/>
        <item x="481"/>
        <item x="521"/>
        <item x="645"/>
        <item x="373"/>
        <item x="27"/>
        <item x="441"/>
        <item x="850"/>
        <item x="874"/>
        <item x="501"/>
        <item x="835"/>
        <item x="422"/>
        <item x="603"/>
        <item x="32"/>
        <item x="188"/>
        <item x="262"/>
        <item x="678"/>
        <item x="20"/>
        <item x="977"/>
        <item x="17"/>
        <item x="24"/>
        <item x="229"/>
        <item x="725"/>
        <item x="909"/>
        <item x="1003"/>
        <item x="655"/>
        <item x="734"/>
        <item x="982"/>
        <item x="340"/>
        <item x="464"/>
        <item x="346"/>
        <item x="652"/>
        <item x="394"/>
        <item x="622"/>
        <item x="565"/>
        <item x="456"/>
        <item x="454"/>
        <item x="366"/>
        <item x="1024"/>
        <item x="556"/>
        <item x="119"/>
        <item x="0"/>
        <item x="487"/>
        <item x="389"/>
        <item x="398"/>
        <item x="552"/>
        <item x="969"/>
        <item x="623"/>
        <item x="428"/>
        <item x="386"/>
        <item x="834"/>
        <item x="575"/>
        <item x="333"/>
        <item x="179"/>
        <item x="574"/>
        <item x="271"/>
        <item x="152"/>
        <item x="1009"/>
        <item x="140"/>
        <item x="430"/>
        <item x="986"/>
        <item x="30"/>
        <item x="917"/>
        <item x="316"/>
        <item x="761"/>
        <item x="233"/>
        <item x="788"/>
        <item x="533"/>
        <item x="1005"/>
        <item x="289"/>
        <item x="851"/>
        <item x="906"/>
        <item x="251"/>
        <item x="797"/>
        <item x="213"/>
        <item x="823"/>
        <item x="59"/>
        <item x="766"/>
        <item x="927"/>
        <item x="243"/>
        <item x="1039"/>
        <item x="882"/>
        <item x="947"/>
        <item x="275"/>
        <item x="631"/>
        <item x="573"/>
        <item x="799"/>
        <item x="406"/>
        <item x="73"/>
        <item x="153"/>
        <item x="937"/>
        <item x="235"/>
        <item x="47"/>
        <item x="775"/>
        <item x="392"/>
        <item x="396"/>
        <item x="898"/>
        <item x="329"/>
        <item x="53"/>
        <item x="341"/>
        <item x="397"/>
        <item x="249"/>
        <item x="1035"/>
        <item x="1042"/>
        <item x="641"/>
        <item x="482"/>
        <item x="773"/>
        <item x="496"/>
        <item x="1025"/>
        <item x="518"/>
        <item x="879"/>
        <item x="860"/>
        <item x="278"/>
        <item x="184"/>
        <item x="526"/>
        <item x="989"/>
        <item x="727"/>
        <item x="490"/>
        <item x="911"/>
        <item x="971"/>
        <item t="default"/>
      </items>
    </pivotField>
    <pivotField compact="0" numFmtId="182" showAll="0"/>
    <pivotField compact="0" showAll="0"/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0" showAll="0"/>
    <pivotField compact="0" showAll="0"/>
    <pivotField compact="0" showAll="0"/>
    <pivotField axis="axisRow" compact="0" showAll="0">
      <items count="4">
        <item x="2"/>
        <item x="0"/>
        <item x="1"/>
        <item t="default"/>
      </items>
    </pivotField>
  </pivotFields>
  <rowFields count="1">
    <field x="2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Sales By Region"/>
    <pivotTable tabId="4" name="Monthly Sales Trend"/>
    <pivotTable tabId="4" name="Top 10 Products By Sales"/>
    <pivotTable tabId="4" name="Top 10 Customers By Revenue"/>
    <pivotTable tabId="4" name="Sales vs Profit Analysis"/>
    <pivotTable tabId="4" name="Profit By Category"/>
  </pivotTables>
  <data>
    <tabular pivotCacheId="1">
      <items count="4">
        <i x="1" s="1"/>
        <i x="2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Year" sourceName="Order_Year">
  <pivotTables>
    <pivotTable tabId="4" name="Sales By Region"/>
    <pivotTable tabId="4" name="Monthly Sales Trend"/>
    <pivotTable tabId="4" name="Top 10 Products By Sales"/>
    <pivotTable tabId="4" name="Top 10 Customers By Revenue"/>
    <pivotTable tabId="4" name="Sales vs Profit Analysis"/>
    <pivotTable tabId="4" name="Profit By Category"/>
  </pivotTables>
  <data>
    <tabular pivotCacheId="1">
      <items count="5">
        <i x="3" s="1"/>
        <i x="2" s="1"/>
        <i x="4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Sales By Region"/>
    <pivotTable tabId="4" name="Monthly Sales Trend"/>
    <pivotTable tabId="4" name="Top 10 Products By Sales"/>
    <pivotTable tabId="4" name="Top 10 Customers By Revenue"/>
    <pivotTable tabId="4" name="Sales vs Profit Analysis"/>
    <pivotTable tabId="4" name="Profit By Category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_Method">
  <pivotTables>
    <pivotTable tabId="4" name="Sales By Region"/>
    <pivotTable tabId="4" name="Monthly Sales Trend"/>
    <pivotTable tabId="4" name="Top 10 Products By Sales"/>
    <pivotTable tabId="4" name="Top 10 Customers By Revenue"/>
    <pivotTable tabId="4" name="Sales vs Profit Analysis"/>
    <pivotTable tabId="4" name="Profit By Category"/>
  </pivotTables>
  <data>
    <tabular pivotCacheId="1">
      <items count="9">
        <i x="3" s="1"/>
        <i x="4" s="1"/>
        <i x="7" s="1"/>
        <i x="5" s="1"/>
        <i x="6" s="1"/>
        <i x="0" s="1"/>
        <i x="8" s="1"/>
        <i x="1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ategory" cache="Slicer_Category" caption="Category" rowHeight="225425"/>
  <slicer name="Order_Year" cache="Slicer_Order_Year" caption="Order_Year" rowHeight="225425"/>
  <slicer name="Payment_Method" cache="Slicer_Payment_Method" caption="Payment_Method" rowHeight="225425"/>
</slicers>
</file>

<file path=xl/tables/table1.xml><?xml version="1.0" encoding="utf-8"?>
<table xmlns="http://schemas.openxmlformats.org/spreadsheetml/2006/main" id="1" name="Ecommerce_Data" displayName="Ecommerce_Data" ref="A1:Z1051" totalsRowShown="0">
  <autoFilter xmlns:etc="http://www.wps.cn/officeDocument/2017/etCustomData" ref="A1:Z1051" etc:filterBottomFollowUsedRange="0"/>
  <tableColumns count="26">
    <tableColumn id="1" name="Order_ID"/>
    <tableColumn id="2" name="Order_Date" dataDxfId="0"/>
    <tableColumn id="21" name="Order_Year" dataDxfId="1">
      <calculatedColumnFormula>YEAR(B2)</calculatedColumnFormula>
    </tableColumn>
    <tableColumn id="22" name="Order_Month_No" dataDxfId="2">
      <calculatedColumnFormula>MONTH(B2)</calculatedColumnFormula>
    </tableColumn>
    <tableColumn id="23" name="Order_Month" dataDxfId="3">
      <calculatedColumnFormula>TEXT(B2,"mmmm")</calculatedColumnFormula>
    </tableColumn>
    <tableColumn id="3" name="Ship_Date" dataDxfId="4"/>
    <tableColumn id="4" name="Customer_ID"/>
    <tableColumn id="5" name="Customer_Name"/>
    <tableColumn id="6" name="Segment"/>
    <tableColumn id="7" name="Country"/>
    <tableColumn id="8" name="State"/>
    <tableColumn id="9" name="City"/>
    <tableColumn id="10" name="Region"/>
    <tableColumn id="11" name="Product_ID"/>
    <tableColumn id="12" name="Category"/>
    <tableColumn id="13" name="Sub_Category"/>
    <tableColumn id="14" name="Product_Name"/>
    <tableColumn id="15" name="Sales"/>
    <tableColumn id="16" name="Quantity"/>
    <tableColumn id="17" name="Discount"/>
    <tableColumn id="26" name="Discount_Category" dataDxfId="5">
      <calculatedColumnFormula>IF(T2=0,"No Discount",IF(T2&lt;=0.1,"Low",IF(T2&lt;=0.2,"Medium","High")))</calculatedColumnFormula>
    </tableColumn>
    <tableColumn id="18" name="Profit"/>
    <tableColumn id="24" name="Profit Margin" dataDxfId="6">
      <calculatedColumnFormula>V2/S2</calculatedColumnFormula>
    </tableColumn>
    <tableColumn id="19" name="Shipping_Cost"/>
    <tableColumn id="20" name="Payment_Method"/>
    <tableColumn id="25" name="Order_Size" dataDxfId="7">
      <calculatedColumnFormula>IF(S2&lt;500,"Small",IF(S2&lt;=2000,"Medium","Large"))</calculatedColumn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0:C15" totalsRowShown="0">
  <tableColumns count="3">
    <tableColumn id="1" name="Year"/>
    <tableColumn id="2" name="Sales"/>
    <tableColumn id="3" name="Sales Growth %" dataDxfId="8"/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7" totalsRowShown="0">
  <tableColumns count="2">
    <tableColumn id="1" name="KPI"/>
    <tableColumn id="2" name="Valu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051"/>
  <sheetViews>
    <sheetView zoomScale="70" zoomScaleNormal="70" zoomScaleSheetLayoutView="60" workbookViewId="0">
      <pane ySplit="1" topLeftCell="A2" activePane="bottomLeft" state="frozen"/>
      <selection/>
      <selection pane="bottomLeft" activeCell="E15" sqref="E15"/>
    </sheetView>
  </sheetViews>
  <sheetFormatPr defaultColWidth="9.81818181818182" defaultRowHeight="14.5"/>
  <cols>
    <col min="1" max="1" width="11.0909090909091" customWidth="1"/>
    <col min="2" max="2" width="11.5454545454545" style="44" customWidth="1"/>
    <col min="3" max="3" width="11" style="34" customWidth="1"/>
    <col min="4" max="4" width="17.3636363636364" customWidth="1"/>
    <col min="5" max="5" width="18.8181818181818" customWidth="1"/>
    <col min="6" max="6" width="12.1818181818182" customWidth="1"/>
    <col min="7" max="7" width="12.9090909090909" customWidth="1"/>
    <col min="8" max="8" width="14.3636363636364" customWidth="1"/>
    <col min="9" max="9" width="14.0909090909091" customWidth="1"/>
    <col min="10" max="10" width="7.54545454545455" customWidth="1"/>
    <col min="11" max="11" width="11.0909090909091" customWidth="1"/>
    <col min="12" max="12" width="10.5454545454545" customWidth="1"/>
    <col min="13" max="13" width="17.2727272727273" customWidth="1"/>
    <col min="14" max="14" width="33.3636363636364" customWidth="1"/>
    <col min="15" max="15" width="8.54545454545454" customWidth="1"/>
    <col min="16" max="16" width="8.72727272727273" customWidth="1"/>
    <col min="17" max="17" width="8.81818181818182" customWidth="1"/>
    <col min="18" max="18" width="8.54545454545454" customWidth="1"/>
    <col min="19" max="19" width="13.7272727272727" customWidth="1"/>
    <col min="20" max="20" width="17.2727272727273" customWidth="1"/>
    <col min="21" max="21" width="18.3636363636364" customWidth="1"/>
    <col min="22" max="22" width="13" customWidth="1"/>
    <col min="23" max="23" width="11" style="29" customWidth="1"/>
    <col min="24" max="24" width="17.6363636363636" customWidth="1"/>
    <col min="25" max="26" width="10.7272727272727" customWidth="1"/>
    <col min="28" max="28" width="12.8181818181818"/>
    <col min="29" max="29" width="11"/>
    <col min="30" max="30" width="10.5454545454545"/>
  </cols>
  <sheetData>
    <row r="1" spans="1:36">
      <c r="A1" t="s">
        <v>0</v>
      </c>
      <c r="B1" s="44" t="s">
        <v>1</v>
      </c>
      <c r="C1" s="34" t="s">
        <v>2</v>
      </c>
      <c r="D1" s="34" t="s">
        <v>3</v>
      </c>
      <c r="E1" s="34" t="s">
        <v>4</v>
      </c>
      <c r="F1" s="4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29" t="s">
        <v>22</v>
      </c>
      <c r="X1" t="s">
        <v>23</v>
      </c>
      <c r="Y1" t="s">
        <v>24</v>
      </c>
      <c r="Z1" t="s">
        <v>25</v>
      </c>
    </row>
    <row r="2" spans="1:36">
      <c r="A2" t="s">
        <v>26</v>
      </c>
      <c r="B2" s="44">
        <v>45381</v>
      </c>
      <c r="C2" s="34">
        <f>YEAR(B2)</f>
        <v>2024</v>
      </c>
      <c r="D2" s="34">
        <f t="shared" ref="D2:D65" si="0">MONTH(B2)</f>
        <v>3</v>
      </c>
      <c r="E2" s="34" t="str">
        <f t="shared" ref="E2:E65" si="1">TEXT(B2,"mmmm")</f>
        <v>March</v>
      </c>
      <c r="F2" s="44">
        <v>45383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898</v>
      </c>
      <c r="S2">
        <v>2</v>
      </c>
      <c r="T2">
        <v>0</v>
      </c>
      <c r="U2" s="45" t="str">
        <f t="shared" ref="U2:U65" si="2">IF(T2=0,"No Discount",IF(T2&lt;=0.1,"Low",IF(T2&lt;=0.2,"Medium","High")))</f>
        <v>No Discount</v>
      </c>
      <c r="V2">
        <v>185.07</v>
      </c>
      <c r="W2" s="29">
        <f t="shared" ref="W2:W65" si="3">V2/R2</f>
        <v>0.20609131403118</v>
      </c>
      <c r="X2">
        <v>41.63</v>
      </c>
      <c r="Y2" t="s">
        <v>38</v>
      </c>
      <c r="Z2" s="34" t="str">
        <f>IF(R2&lt;500,"Small",IF(R2&lt;=2000,"Medium","Large"))</f>
        <v>Medium</v>
      </c>
    </row>
    <row r="3" spans="1:36">
      <c r="A3" t="s">
        <v>39</v>
      </c>
      <c r="B3" s="44">
        <v>45138</v>
      </c>
      <c r="C3" s="34">
        <f t="shared" ref="C2:C65" si="4">YEAR(B3)</f>
        <v>2023</v>
      </c>
      <c r="D3" s="34">
        <f t="shared" si="0"/>
        <v>7</v>
      </c>
      <c r="E3" s="34" t="str">
        <f t="shared" si="1"/>
        <v>July</v>
      </c>
      <c r="F3" s="44">
        <v>45145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>
        <v>268.6</v>
      </c>
      <c r="S3">
        <v>4</v>
      </c>
      <c r="T3">
        <v>0.15</v>
      </c>
      <c r="U3" s="34" t="str">
        <f t="shared" si="2"/>
        <v>Medium</v>
      </c>
      <c r="V3">
        <v>45.37</v>
      </c>
      <c r="W3" s="29">
        <f t="shared" si="3"/>
        <v>0.16891288160834</v>
      </c>
      <c r="X3">
        <v>27.83</v>
      </c>
      <c r="Y3" t="s">
        <v>51</v>
      </c>
      <c r="Z3" s="34" t="str">
        <f t="shared" ref="Z2:Z65" si="5">IF(R3&lt;500,"Small",IF(R3&lt;=2000,"Medium","Large"))</f>
        <v>Small</v>
      </c>
      <c r="AB3" s="29"/>
    </row>
    <row r="4" spans="1:36">
      <c r="A4" t="s">
        <v>52</v>
      </c>
      <c r="B4" s="44">
        <v>44296</v>
      </c>
      <c r="C4" s="34">
        <f t="shared" si="4"/>
        <v>2021</v>
      </c>
      <c r="D4" s="34">
        <f t="shared" si="0"/>
        <v>4</v>
      </c>
      <c r="E4" s="34" t="str">
        <f t="shared" si="1"/>
        <v>April</v>
      </c>
      <c r="F4" s="44">
        <v>44301</v>
      </c>
      <c r="G4" t="s">
        <v>53</v>
      </c>
      <c r="H4" t="s">
        <v>54</v>
      </c>
      <c r="I4" t="s">
        <v>55</v>
      </c>
      <c r="J4" t="s">
        <v>43</v>
      </c>
      <c r="K4" t="s">
        <v>56</v>
      </c>
      <c r="L4" t="s">
        <v>57</v>
      </c>
      <c r="M4" t="s">
        <v>58</v>
      </c>
      <c r="N4" t="s">
        <v>59</v>
      </c>
      <c r="O4" t="s">
        <v>48</v>
      </c>
      <c r="P4" t="s">
        <v>60</v>
      </c>
      <c r="Q4" t="s">
        <v>61</v>
      </c>
      <c r="R4">
        <v>139.2</v>
      </c>
      <c r="S4">
        <v>1</v>
      </c>
      <c r="T4">
        <v>0.2</v>
      </c>
      <c r="U4" s="34" t="str">
        <f t="shared" si="2"/>
        <v>Medium</v>
      </c>
      <c r="V4">
        <v>-23.68</v>
      </c>
      <c r="W4" s="29">
        <f t="shared" si="3"/>
        <v>-0.170114942528736</v>
      </c>
      <c r="X4">
        <v>41.83</v>
      </c>
      <c r="Y4" t="s">
        <v>62</v>
      </c>
      <c r="Z4" s="34" t="str">
        <f t="shared" si="5"/>
        <v>Small</v>
      </c>
    </row>
    <row r="5" spans="1:36">
      <c r="A5" t="s">
        <v>63</v>
      </c>
      <c r="B5" s="44">
        <v>44071</v>
      </c>
      <c r="C5" s="34">
        <f t="shared" si="4"/>
        <v>2020</v>
      </c>
      <c r="D5" s="34">
        <f t="shared" si="0"/>
        <v>8</v>
      </c>
      <c r="E5" s="34" t="str">
        <f t="shared" si="1"/>
        <v>August</v>
      </c>
      <c r="F5" s="44">
        <v>44077</v>
      </c>
      <c r="G5" t="s">
        <v>64</v>
      </c>
      <c r="H5" t="s">
        <v>65</v>
      </c>
      <c r="I5" t="s">
        <v>42</v>
      </c>
      <c r="J5" t="s">
        <v>43</v>
      </c>
      <c r="K5" t="s">
        <v>31</v>
      </c>
      <c r="L5" t="s">
        <v>32</v>
      </c>
      <c r="M5" t="s">
        <v>33</v>
      </c>
      <c r="N5" t="s">
        <v>66</v>
      </c>
      <c r="O5" t="s">
        <v>67</v>
      </c>
      <c r="P5" t="s">
        <v>68</v>
      </c>
      <c r="Q5" t="s">
        <v>69</v>
      </c>
      <c r="R5">
        <v>1278.4</v>
      </c>
      <c r="S5">
        <v>2</v>
      </c>
      <c r="T5">
        <v>0.2</v>
      </c>
      <c r="U5" s="34" t="str">
        <f t="shared" si="2"/>
        <v>Medium</v>
      </c>
      <c r="V5">
        <v>-113.67</v>
      </c>
      <c r="W5" s="29">
        <f t="shared" si="3"/>
        <v>-0.0889158322903629</v>
      </c>
      <c r="X5">
        <v>37.99</v>
      </c>
      <c r="Y5" t="s">
        <v>70</v>
      </c>
      <c r="Z5" s="34" t="str">
        <f t="shared" si="5"/>
        <v>Medium</v>
      </c>
    </row>
    <row r="6" spans="1:36">
      <c r="A6" t="s">
        <v>71</v>
      </c>
      <c r="B6" s="44">
        <v>44659</v>
      </c>
      <c r="C6" s="34">
        <f t="shared" si="4"/>
        <v>2022</v>
      </c>
      <c r="D6" s="34">
        <f t="shared" si="0"/>
        <v>4</v>
      </c>
      <c r="E6" s="34" t="str">
        <f t="shared" si="1"/>
        <v>April</v>
      </c>
      <c r="F6" s="44">
        <v>44663</v>
      </c>
      <c r="G6" t="s">
        <v>72</v>
      </c>
      <c r="H6" t="s">
        <v>73</v>
      </c>
      <c r="I6" t="s">
        <v>55</v>
      </c>
      <c r="J6" t="s">
        <v>30</v>
      </c>
      <c r="K6" t="s">
        <v>74</v>
      </c>
      <c r="L6" t="s">
        <v>75</v>
      </c>
      <c r="M6" t="s">
        <v>76</v>
      </c>
      <c r="N6" t="s">
        <v>77</v>
      </c>
      <c r="O6" t="s">
        <v>35</v>
      </c>
      <c r="P6" t="s">
        <v>78</v>
      </c>
      <c r="Q6" t="s">
        <v>79</v>
      </c>
      <c r="R6">
        <v>2092.5</v>
      </c>
      <c r="S6">
        <v>2</v>
      </c>
      <c r="T6">
        <v>0.25</v>
      </c>
      <c r="U6" s="34" t="str">
        <f t="shared" si="2"/>
        <v>High</v>
      </c>
      <c r="V6">
        <v>404.48</v>
      </c>
      <c r="W6" s="29">
        <f t="shared" si="3"/>
        <v>0.193299880525687</v>
      </c>
      <c r="X6">
        <v>46.75</v>
      </c>
      <c r="Y6" t="s">
        <v>80</v>
      </c>
      <c r="Z6" s="34" t="str">
        <f t="shared" si="5"/>
        <v>Large</v>
      </c>
      <c r="AC6" s="46"/>
    </row>
    <row r="7" spans="1:36">
      <c r="A7" t="s">
        <v>81</v>
      </c>
      <c r="B7" s="44">
        <v>45635</v>
      </c>
      <c r="C7" s="34">
        <f t="shared" si="4"/>
        <v>2024</v>
      </c>
      <c r="D7" s="34">
        <f t="shared" si="0"/>
        <v>12</v>
      </c>
      <c r="E7" s="34" t="str">
        <f t="shared" si="1"/>
        <v>December</v>
      </c>
      <c r="F7" s="44">
        <v>45638</v>
      </c>
      <c r="G7" t="s">
        <v>82</v>
      </c>
      <c r="H7" t="s">
        <v>83</v>
      </c>
      <c r="I7" t="s">
        <v>55</v>
      </c>
      <c r="J7" t="s">
        <v>30</v>
      </c>
      <c r="K7" t="s">
        <v>84</v>
      </c>
      <c r="L7" t="s">
        <v>85</v>
      </c>
      <c r="M7" t="s">
        <v>33</v>
      </c>
      <c r="N7" t="s">
        <v>86</v>
      </c>
      <c r="O7" t="s">
        <v>67</v>
      </c>
      <c r="P7" t="s">
        <v>87</v>
      </c>
      <c r="Q7" t="s">
        <v>88</v>
      </c>
      <c r="R7">
        <v>78.4</v>
      </c>
      <c r="S7">
        <v>2</v>
      </c>
      <c r="T7">
        <v>0.2</v>
      </c>
      <c r="U7" s="34" t="str">
        <f t="shared" si="2"/>
        <v>Medium</v>
      </c>
      <c r="V7">
        <v>3.74</v>
      </c>
      <c r="W7" s="29">
        <f t="shared" si="3"/>
        <v>0.0477040816326531</v>
      </c>
      <c r="X7">
        <v>39.81</v>
      </c>
      <c r="Y7" t="s">
        <v>51</v>
      </c>
      <c r="Z7" s="34" t="str">
        <f t="shared" si="5"/>
        <v>Small</v>
      </c>
    </row>
    <row r="8" spans="1:36">
      <c r="A8" t="s">
        <v>89</v>
      </c>
      <c r="B8" s="44">
        <v>44112</v>
      </c>
      <c r="C8" s="34">
        <f t="shared" si="4"/>
        <v>2020</v>
      </c>
      <c r="D8" s="34">
        <f t="shared" si="0"/>
        <v>10</v>
      </c>
      <c r="E8" s="34" t="str">
        <f t="shared" si="1"/>
        <v>October</v>
      </c>
      <c r="F8" s="44">
        <v>44114</v>
      </c>
      <c r="G8" t="s">
        <v>90</v>
      </c>
      <c r="H8" t="s">
        <v>91</v>
      </c>
      <c r="I8" t="s">
        <v>42</v>
      </c>
      <c r="J8" t="s">
        <v>30</v>
      </c>
      <c r="K8" t="s">
        <v>92</v>
      </c>
      <c r="L8" t="s">
        <v>93</v>
      </c>
      <c r="M8" t="s">
        <v>76</v>
      </c>
      <c r="N8" t="s">
        <v>94</v>
      </c>
      <c r="O8" t="s">
        <v>35</v>
      </c>
      <c r="P8" t="s">
        <v>36</v>
      </c>
      <c r="Q8" t="s">
        <v>95</v>
      </c>
      <c r="R8">
        <v>3220.5</v>
      </c>
      <c r="S8">
        <v>2</v>
      </c>
      <c r="T8">
        <v>0.05</v>
      </c>
      <c r="U8" s="34" t="str">
        <f t="shared" si="2"/>
        <v>Low</v>
      </c>
      <c r="V8">
        <v>481.14</v>
      </c>
      <c r="W8" s="29">
        <f t="shared" si="3"/>
        <v>0.149399161620866</v>
      </c>
      <c r="X8">
        <v>6.45</v>
      </c>
      <c r="Y8" t="s">
        <v>96</v>
      </c>
      <c r="Z8" s="34" t="str">
        <f t="shared" si="5"/>
        <v>Large</v>
      </c>
    </row>
    <row r="9" spans="1:36">
      <c r="A9" t="s">
        <v>97</v>
      </c>
      <c r="B9" s="44">
        <v>45568</v>
      </c>
      <c r="C9" s="34">
        <f t="shared" si="4"/>
        <v>2024</v>
      </c>
      <c r="D9" s="34">
        <f t="shared" si="0"/>
        <v>10</v>
      </c>
      <c r="E9" s="34" t="str">
        <f t="shared" si="1"/>
        <v>October</v>
      </c>
      <c r="F9" s="44">
        <v>45572</v>
      </c>
      <c r="G9" t="s">
        <v>98</v>
      </c>
      <c r="H9" t="s">
        <v>99</v>
      </c>
      <c r="I9" t="s">
        <v>55</v>
      </c>
      <c r="J9" t="s">
        <v>43</v>
      </c>
      <c r="K9" t="s">
        <v>100</v>
      </c>
      <c r="L9" t="s">
        <v>101</v>
      </c>
      <c r="M9" t="s">
        <v>33</v>
      </c>
      <c r="N9" t="s">
        <v>102</v>
      </c>
      <c r="O9" t="s">
        <v>67</v>
      </c>
      <c r="P9" t="s">
        <v>103</v>
      </c>
      <c r="Q9" t="s">
        <v>104</v>
      </c>
      <c r="R9">
        <v>1396.5</v>
      </c>
      <c r="S9">
        <v>5</v>
      </c>
      <c r="T9">
        <v>0.3</v>
      </c>
      <c r="U9" s="34" t="str">
        <f t="shared" si="2"/>
        <v>High</v>
      </c>
      <c r="V9">
        <v>194.49</v>
      </c>
      <c r="W9" s="29">
        <f t="shared" si="3"/>
        <v>0.139269602577873</v>
      </c>
      <c r="X9">
        <v>49.96</v>
      </c>
      <c r="Y9" t="s">
        <v>62</v>
      </c>
      <c r="Z9" s="34" t="str">
        <f t="shared" si="5"/>
        <v>Medium</v>
      </c>
      <c r="AJ9" t="str">
        <f t="shared" ref="AJ9:AJ13" si="6">PROPER(AI9)</f>
        <v/>
      </c>
    </row>
    <row r="10" spans="1:36">
      <c r="A10" t="s">
        <v>105</v>
      </c>
      <c r="B10" s="44">
        <v>44801</v>
      </c>
      <c r="C10" s="34">
        <f t="shared" si="4"/>
        <v>2022</v>
      </c>
      <c r="D10" s="34">
        <f t="shared" si="0"/>
        <v>8</v>
      </c>
      <c r="E10" s="34" t="str">
        <f t="shared" si="1"/>
        <v>August</v>
      </c>
      <c r="F10" s="44">
        <v>44804</v>
      </c>
      <c r="G10" t="s">
        <v>106</v>
      </c>
      <c r="H10" t="s">
        <v>107</v>
      </c>
      <c r="I10" t="s">
        <v>29</v>
      </c>
      <c r="J10" t="s">
        <v>30</v>
      </c>
      <c r="K10" t="s">
        <v>108</v>
      </c>
      <c r="L10" t="s">
        <v>109</v>
      </c>
      <c r="M10" t="s">
        <v>58</v>
      </c>
      <c r="N10" t="s">
        <v>110</v>
      </c>
      <c r="O10" t="s">
        <v>35</v>
      </c>
      <c r="P10" t="s">
        <v>111</v>
      </c>
      <c r="Q10" t="s">
        <v>112</v>
      </c>
      <c r="R10">
        <v>597</v>
      </c>
      <c r="S10">
        <v>4</v>
      </c>
      <c r="T10">
        <v>0.25</v>
      </c>
      <c r="U10" s="34" t="str">
        <f t="shared" si="2"/>
        <v>High</v>
      </c>
      <c r="V10">
        <v>78.09</v>
      </c>
      <c r="W10" s="29">
        <f t="shared" si="3"/>
        <v>0.130804020100503</v>
      </c>
      <c r="X10">
        <v>38.2</v>
      </c>
      <c r="Y10" t="s">
        <v>96</v>
      </c>
      <c r="Z10" s="34" t="str">
        <f t="shared" si="5"/>
        <v>Medium</v>
      </c>
      <c r="AJ10" t="str">
        <f t="shared" si="6"/>
        <v/>
      </c>
    </row>
    <row r="11" spans="1:36">
      <c r="A11" t="s">
        <v>113</v>
      </c>
      <c r="B11" s="44">
        <v>43884</v>
      </c>
      <c r="C11" s="34">
        <f t="shared" si="4"/>
        <v>2020</v>
      </c>
      <c r="D11" s="34">
        <f t="shared" si="0"/>
        <v>2</v>
      </c>
      <c r="E11" s="34" t="str">
        <f t="shared" si="1"/>
        <v>February</v>
      </c>
      <c r="F11" s="44">
        <v>43891</v>
      </c>
      <c r="G11" t="s">
        <v>114</v>
      </c>
      <c r="H11" t="s">
        <v>115</v>
      </c>
      <c r="I11" t="s">
        <v>55</v>
      </c>
      <c r="J11" t="s">
        <v>43</v>
      </c>
      <c r="K11" t="s">
        <v>116</v>
      </c>
      <c r="L11" t="s">
        <v>117</v>
      </c>
      <c r="M11" t="s">
        <v>33</v>
      </c>
      <c r="N11" t="s">
        <v>118</v>
      </c>
      <c r="O11" t="s">
        <v>67</v>
      </c>
      <c r="P11" t="s">
        <v>119</v>
      </c>
      <c r="Q11" t="s">
        <v>120</v>
      </c>
      <c r="R11">
        <v>5395.5</v>
      </c>
      <c r="S11">
        <v>5</v>
      </c>
      <c r="T11">
        <v>0.1</v>
      </c>
      <c r="U11" s="34" t="str">
        <f t="shared" si="2"/>
        <v>Low</v>
      </c>
      <c r="V11">
        <v>1177.34</v>
      </c>
      <c r="W11" s="29">
        <f t="shared" si="3"/>
        <v>0.218207765730701</v>
      </c>
      <c r="X11">
        <v>32.25</v>
      </c>
      <c r="Y11" t="s">
        <v>121</v>
      </c>
      <c r="Z11" s="34" t="str">
        <f t="shared" si="5"/>
        <v>Large</v>
      </c>
      <c r="AJ11" t="str">
        <f t="shared" si="6"/>
        <v/>
      </c>
    </row>
    <row r="12" spans="1:36">
      <c r="A12" t="s">
        <v>122</v>
      </c>
      <c r="B12" s="44">
        <v>45601</v>
      </c>
      <c r="C12" s="34">
        <f t="shared" si="4"/>
        <v>2024</v>
      </c>
      <c r="D12" s="34">
        <f t="shared" si="0"/>
        <v>11</v>
      </c>
      <c r="E12" s="34" t="str">
        <f t="shared" si="1"/>
        <v>November</v>
      </c>
      <c r="F12" s="44">
        <v>45602</v>
      </c>
      <c r="G12" t="s">
        <v>123</v>
      </c>
      <c r="H12" t="s">
        <v>124</v>
      </c>
      <c r="I12" t="s">
        <v>29</v>
      </c>
      <c r="J12" t="s">
        <v>43</v>
      </c>
      <c r="K12" t="s">
        <v>125</v>
      </c>
      <c r="L12" t="s">
        <v>126</v>
      </c>
      <c r="M12" t="s">
        <v>58</v>
      </c>
      <c r="N12" t="s">
        <v>127</v>
      </c>
      <c r="O12" t="s">
        <v>48</v>
      </c>
      <c r="P12" t="s">
        <v>128</v>
      </c>
      <c r="Q12" t="s">
        <v>129</v>
      </c>
      <c r="R12">
        <v>58.5</v>
      </c>
      <c r="S12">
        <v>1</v>
      </c>
      <c r="T12">
        <v>0.1</v>
      </c>
      <c r="U12" s="34" t="str">
        <f t="shared" si="2"/>
        <v>Low</v>
      </c>
      <c r="V12">
        <v>-17.89</v>
      </c>
      <c r="W12" s="29">
        <f t="shared" si="3"/>
        <v>-0.305811965811966</v>
      </c>
      <c r="X12">
        <v>44.03</v>
      </c>
      <c r="Y12" t="s">
        <v>121</v>
      </c>
      <c r="Z12" s="34" t="str">
        <f t="shared" si="5"/>
        <v>Small</v>
      </c>
      <c r="AJ12" t="str">
        <f t="shared" si="6"/>
        <v/>
      </c>
    </row>
    <row r="13" spans="1:36">
      <c r="A13" t="s">
        <v>130</v>
      </c>
      <c r="B13" s="44">
        <v>44570</v>
      </c>
      <c r="C13" s="34">
        <f t="shared" si="4"/>
        <v>2022</v>
      </c>
      <c r="D13" s="34">
        <f t="shared" si="0"/>
        <v>1</v>
      </c>
      <c r="E13" s="34" t="str">
        <f t="shared" si="1"/>
        <v>January</v>
      </c>
      <c r="F13" s="44">
        <v>44574</v>
      </c>
      <c r="G13" t="s">
        <v>131</v>
      </c>
      <c r="H13" t="s">
        <v>132</v>
      </c>
      <c r="I13" t="s">
        <v>29</v>
      </c>
      <c r="J13" t="s">
        <v>30</v>
      </c>
      <c r="K13" t="s">
        <v>133</v>
      </c>
      <c r="L13" t="s">
        <v>134</v>
      </c>
      <c r="M13" t="s">
        <v>33</v>
      </c>
      <c r="N13" t="s">
        <v>135</v>
      </c>
      <c r="O13" t="s">
        <v>67</v>
      </c>
      <c r="P13" t="s">
        <v>68</v>
      </c>
      <c r="Q13" t="s">
        <v>136</v>
      </c>
      <c r="R13">
        <v>1947</v>
      </c>
      <c r="S13">
        <v>3</v>
      </c>
      <c r="T13">
        <v>0</v>
      </c>
      <c r="U13" s="34" t="str">
        <f t="shared" si="2"/>
        <v>No Discount</v>
      </c>
      <c r="V13">
        <v>228.23</v>
      </c>
      <c r="W13" s="29">
        <f t="shared" si="3"/>
        <v>0.117221366204417</v>
      </c>
      <c r="X13">
        <v>18.04</v>
      </c>
      <c r="Y13" t="s">
        <v>137</v>
      </c>
      <c r="Z13" s="34" t="str">
        <f t="shared" si="5"/>
        <v>Medium</v>
      </c>
      <c r="AJ13" t="str">
        <f t="shared" si="6"/>
        <v/>
      </c>
    </row>
    <row r="14" spans="1:36">
      <c r="A14" t="s">
        <v>138</v>
      </c>
      <c r="B14" s="44">
        <v>45188</v>
      </c>
      <c r="C14" s="34">
        <f t="shared" si="4"/>
        <v>2023</v>
      </c>
      <c r="D14" s="34">
        <f t="shared" si="0"/>
        <v>9</v>
      </c>
      <c r="E14" s="34" t="str">
        <f t="shared" si="1"/>
        <v>September</v>
      </c>
      <c r="F14" s="44">
        <v>45190</v>
      </c>
      <c r="G14" t="s">
        <v>139</v>
      </c>
      <c r="H14" t="s">
        <v>140</v>
      </c>
      <c r="I14" t="s">
        <v>29</v>
      </c>
      <c r="J14" t="s">
        <v>43</v>
      </c>
      <c r="K14" t="s">
        <v>84</v>
      </c>
      <c r="L14" t="s">
        <v>85</v>
      </c>
      <c r="M14" t="s">
        <v>33</v>
      </c>
      <c r="N14" t="s">
        <v>141</v>
      </c>
      <c r="O14" t="s">
        <v>35</v>
      </c>
      <c r="P14" t="s">
        <v>111</v>
      </c>
      <c r="Q14" t="s">
        <v>142</v>
      </c>
      <c r="R14">
        <v>745</v>
      </c>
      <c r="S14">
        <v>5</v>
      </c>
      <c r="T14">
        <v>0</v>
      </c>
      <c r="U14" s="34" t="str">
        <f t="shared" si="2"/>
        <v>No Discount</v>
      </c>
      <c r="V14">
        <v>137.28</v>
      </c>
      <c r="W14" s="29">
        <f t="shared" si="3"/>
        <v>0.184268456375839</v>
      </c>
      <c r="X14">
        <v>39.07</v>
      </c>
      <c r="Y14" t="s">
        <v>62</v>
      </c>
      <c r="Z14" s="34" t="str">
        <f t="shared" si="5"/>
        <v>Medium</v>
      </c>
    </row>
    <row r="15" spans="1:36">
      <c r="A15" t="s">
        <v>143</v>
      </c>
      <c r="B15" s="44">
        <v>44878</v>
      </c>
      <c r="C15" s="34">
        <f t="shared" si="4"/>
        <v>2022</v>
      </c>
      <c r="D15" s="34">
        <f t="shared" si="0"/>
        <v>11</v>
      </c>
      <c r="E15" s="34" t="str">
        <f t="shared" si="1"/>
        <v>November</v>
      </c>
      <c r="F15" s="44">
        <v>44881</v>
      </c>
      <c r="G15" t="s">
        <v>144</v>
      </c>
      <c r="H15" t="s">
        <v>145</v>
      </c>
      <c r="I15" t="s">
        <v>55</v>
      </c>
      <c r="J15" t="s">
        <v>30</v>
      </c>
      <c r="K15" t="s">
        <v>146</v>
      </c>
      <c r="L15" t="s">
        <v>147</v>
      </c>
      <c r="M15" t="s">
        <v>33</v>
      </c>
      <c r="N15" t="s">
        <v>148</v>
      </c>
      <c r="O15" t="s">
        <v>48</v>
      </c>
      <c r="P15" t="s">
        <v>60</v>
      </c>
      <c r="Q15" t="s">
        <v>149</v>
      </c>
      <c r="R15">
        <v>82.5</v>
      </c>
      <c r="S15">
        <v>2</v>
      </c>
      <c r="T15">
        <v>0.25</v>
      </c>
      <c r="U15" s="34" t="str">
        <f t="shared" si="2"/>
        <v>High</v>
      </c>
      <c r="V15">
        <v>17.67</v>
      </c>
      <c r="W15" s="29">
        <f t="shared" si="3"/>
        <v>0.214181818181818</v>
      </c>
      <c r="X15">
        <v>9.86</v>
      </c>
      <c r="Y15" t="s">
        <v>62</v>
      </c>
      <c r="Z15" s="34" t="str">
        <f t="shared" si="5"/>
        <v>Small</v>
      </c>
    </row>
    <row r="16" spans="1:36">
      <c r="A16" t="s">
        <v>150</v>
      </c>
      <c r="B16" s="44">
        <v>44359</v>
      </c>
      <c r="C16" s="34">
        <f t="shared" si="4"/>
        <v>2021</v>
      </c>
      <c r="D16" s="34">
        <f t="shared" si="0"/>
        <v>6</v>
      </c>
      <c r="E16" s="34" t="str">
        <f t="shared" si="1"/>
        <v>June</v>
      </c>
      <c r="F16" s="44">
        <v>44362</v>
      </c>
      <c r="G16" t="s">
        <v>151</v>
      </c>
      <c r="H16" t="s">
        <v>152</v>
      </c>
      <c r="I16" t="s">
        <v>29</v>
      </c>
      <c r="J16" t="s">
        <v>43</v>
      </c>
      <c r="K16" t="s">
        <v>153</v>
      </c>
      <c r="L16" t="s">
        <v>154</v>
      </c>
      <c r="M16" t="s">
        <v>58</v>
      </c>
      <c r="N16" t="s">
        <v>155</v>
      </c>
      <c r="O16" t="s">
        <v>67</v>
      </c>
      <c r="P16" t="s">
        <v>119</v>
      </c>
      <c r="Q16" t="s">
        <v>156</v>
      </c>
      <c r="R16">
        <v>3396</v>
      </c>
      <c r="S16">
        <v>4</v>
      </c>
      <c r="T16">
        <v>0</v>
      </c>
      <c r="U16" s="34" t="str">
        <f t="shared" si="2"/>
        <v>No Discount</v>
      </c>
      <c r="V16">
        <v>-180.74</v>
      </c>
      <c r="W16" s="29">
        <f t="shared" si="3"/>
        <v>-0.0532214369846879</v>
      </c>
      <c r="X16">
        <v>0</v>
      </c>
      <c r="Y16" t="s">
        <v>70</v>
      </c>
      <c r="Z16" s="34" t="str">
        <f t="shared" si="5"/>
        <v>Large</v>
      </c>
    </row>
    <row r="17" spans="1:26">
      <c r="A17" t="s">
        <v>157</v>
      </c>
      <c r="B17" s="44">
        <v>44251</v>
      </c>
      <c r="C17" s="34">
        <f t="shared" si="4"/>
        <v>2021</v>
      </c>
      <c r="D17" s="34">
        <f t="shared" si="0"/>
        <v>2</v>
      </c>
      <c r="E17" s="34" t="str">
        <f t="shared" si="1"/>
        <v>February</v>
      </c>
      <c r="F17" s="44">
        <v>44255</v>
      </c>
      <c r="G17" t="s">
        <v>158</v>
      </c>
      <c r="H17" t="s">
        <v>159</v>
      </c>
      <c r="I17" t="s">
        <v>42</v>
      </c>
      <c r="J17" t="s">
        <v>30</v>
      </c>
      <c r="K17" t="s">
        <v>160</v>
      </c>
      <c r="L17" t="s">
        <v>161</v>
      </c>
      <c r="M17" t="s">
        <v>76</v>
      </c>
      <c r="N17" t="s">
        <v>162</v>
      </c>
      <c r="O17" t="s">
        <v>35</v>
      </c>
      <c r="P17" t="s">
        <v>163</v>
      </c>
      <c r="Q17" t="s">
        <v>164</v>
      </c>
      <c r="R17">
        <v>1098</v>
      </c>
      <c r="S17">
        <v>2</v>
      </c>
      <c r="T17">
        <v>0</v>
      </c>
      <c r="U17" s="34" t="str">
        <f t="shared" si="2"/>
        <v>No Discount</v>
      </c>
      <c r="V17">
        <v>191.24</v>
      </c>
      <c r="W17" s="29">
        <f t="shared" si="3"/>
        <v>0.174171220400729</v>
      </c>
      <c r="X17">
        <v>21.33</v>
      </c>
      <c r="Y17" t="s">
        <v>70</v>
      </c>
      <c r="Z17" s="34" t="str">
        <f t="shared" si="5"/>
        <v>Medium</v>
      </c>
    </row>
    <row r="18" spans="1:26">
      <c r="A18" t="s">
        <v>165</v>
      </c>
      <c r="B18" s="44">
        <v>43939</v>
      </c>
      <c r="C18" s="34">
        <f t="shared" si="4"/>
        <v>2020</v>
      </c>
      <c r="D18" s="34">
        <f t="shared" si="0"/>
        <v>4</v>
      </c>
      <c r="E18" s="34" t="str">
        <f t="shared" si="1"/>
        <v>April</v>
      </c>
      <c r="F18" s="44">
        <v>43941</v>
      </c>
      <c r="G18" t="s">
        <v>166</v>
      </c>
      <c r="H18" t="s">
        <v>167</v>
      </c>
      <c r="I18" t="s">
        <v>55</v>
      </c>
      <c r="J18" t="s">
        <v>43</v>
      </c>
      <c r="K18" t="s">
        <v>168</v>
      </c>
      <c r="L18" t="s">
        <v>169</v>
      </c>
      <c r="M18" t="s">
        <v>76</v>
      </c>
      <c r="N18" t="s">
        <v>170</v>
      </c>
      <c r="O18" t="s">
        <v>48</v>
      </c>
      <c r="P18" t="s">
        <v>49</v>
      </c>
      <c r="Q18" t="s">
        <v>171</v>
      </c>
      <c r="R18">
        <v>149</v>
      </c>
      <c r="S18">
        <v>1</v>
      </c>
      <c r="T18">
        <v>0</v>
      </c>
      <c r="U18" s="34" t="str">
        <f t="shared" si="2"/>
        <v>No Discount</v>
      </c>
      <c r="V18">
        <v>4.15</v>
      </c>
      <c r="W18" s="29">
        <f t="shared" si="3"/>
        <v>0.0278523489932886</v>
      </c>
      <c r="X18">
        <v>35.84</v>
      </c>
      <c r="Y18" t="s">
        <v>62</v>
      </c>
      <c r="Z18" s="34" t="str">
        <f t="shared" si="5"/>
        <v>Small</v>
      </c>
    </row>
    <row r="19" spans="1:26">
      <c r="A19" t="s">
        <v>172</v>
      </c>
      <c r="B19" s="44">
        <v>45566</v>
      </c>
      <c r="C19" s="34">
        <f t="shared" si="4"/>
        <v>2024</v>
      </c>
      <c r="D19" s="34">
        <f t="shared" si="0"/>
        <v>10</v>
      </c>
      <c r="E19" s="34" t="str">
        <f t="shared" si="1"/>
        <v>October</v>
      </c>
      <c r="F19" s="44">
        <v>45568</v>
      </c>
      <c r="G19" t="s">
        <v>173</v>
      </c>
      <c r="H19" t="s">
        <v>174</v>
      </c>
      <c r="I19" t="s">
        <v>55</v>
      </c>
      <c r="J19" t="s">
        <v>43</v>
      </c>
      <c r="K19" t="s">
        <v>175</v>
      </c>
      <c r="L19" t="s">
        <v>176</v>
      </c>
      <c r="M19" t="s">
        <v>46</v>
      </c>
      <c r="N19" t="s">
        <v>127</v>
      </c>
      <c r="O19" t="s">
        <v>48</v>
      </c>
      <c r="P19" t="s">
        <v>128</v>
      </c>
      <c r="Q19" t="s">
        <v>129</v>
      </c>
      <c r="R19">
        <v>195</v>
      </c>
      <c r="S19">
        <v>4</v>
      </c>
      <c r="T19">
        <v>0.25</v>
      </c>
      <c r="U19" s="34" t="str">
        <f t="shared" si="2"/>
        <v>High</v>
      </c>
      <c r="V19">
        <v>27.52</v>
      </c>
      <c r="W19" s="29">
        <f t="shared" si="3"/>
        <v>0.141128205128205</v>
      </c>
      <c r="X19">
        <v>5.78</v>
      </c>
      <c r="Y19" t="s">
        <v>62</v>
      </c>
      <c r="Z19" s="34" t="str">
        <f t="shared" si="5"/>
        <v>Small</v>
      </c>
    </row>
    <row r="20" spans="1:26">
      <c r="A20" t="s">
        <v>177</v>
      </c>
      <c r="B20" s="44">
        <v>45603</v>
      </c>
      <c r="C20" s="34">
        <f t="shared" si="4"/>
        <v>2024</v>
      </c>
      <c r="D20" s="34">
        <f t="shared" si="0"/>
        <v>11</v>
      </c>
      <c r="E20" s="34" t="str">
        <f t="shared" si="1"/>
        <v>November</v>
      </c>
      <c r="F20" s="44">
        <v>45606</v>
      </c>
      <c r="G20" t="s">
        <v>178</v>
      </c>
      <c r="H20" t="s">
        <v>179</v>
      </c>
      <c r="I20" t="s">
        <v>29</v>
      </c>
      <c r="J20" t="s">
        <v>43</v>
      </c>
      <c r="K20" t="s">
        <v>180</v>
      </c>
      <c r="L20" t="s">
        <v>181</v>
      </c>
      <c r="M20" t="s">
        <v>46</v>
      </c>
      <c r="N20" t="s">
        <v>182</v>
      </c>
      <c r="O20" t="s">
        <v>48</v>
      </c>
      <c r="P20" t="s">
        <v>128</v>
      </c>
      <c r="Q20" t="s">
        <v>183</v>
      </c>
      <c r="R20">
        <v>355.5</v>
      </c>
      <c r="S20">
        <v>5</v>
      </c>
      <c r="T20">
        <v>0.1</v>
      </c>
      <c r="U20" s="34" t="str">
        <f t="shared" si="2"/>
        <v>Low</v>
      </c>
      <c r="V20">
        <v>43.62</v>
      </c>
      <c r="W20" s="29">
        <f t="shared" si="3"/>
        <v>0.122700421940928</v>
      </c>
      <c r="X20">
        <v>32.34</v>
      </c>
      <c r="Y20" t="s">
        <v>51</v>
      </c>
      <c r="Z20" s="34" t="str">
        <f t="shared" si="5"/>
        <v>Small</v>
      </c>
    </row>
    <row r="21" spans="1:26">
      <c r="A21" t="s">
        <v>184</v>
      </c>
      <c r="B21" s="44">
        <v>44427</v>
      </c>
      <c r="C21" s="34">
        <f t="shared" si="4"/>
        <v>2021</v>
      </c>
      <c r="D21" s="34">
        <f t="shared" si="0"/>
        <v>8</v>
      </c>
      <c r="E21" s="34" t="str">
        <f t="shared" si="1"/>
        <v>August</v>
      </c>
      <c r="F21" s="44">
        <v>44431</v>
      </c>
      <c r="G21" t="s">
        <v>185</v>
      </c>
      <c r="H21" t="s">
        <v>186</v>
      </c>
      <c r="I21" t="s">
        <v>42</v>
      </c>
      <c r="J21" t="s">
        <v>43</v>
      </c>
      <c r="K21" t="s">
        <v>187</v>
      </c>
      <c r="L21" t="s">
        <v>188</v>
      </c>
      <c r="M21" t="s">
        <v>33</v>
      </c>
      <c r="N21" t="s">
        <v>189</v>
      </c>
      <c r="O21" t="s">
        <v>48</v>
      </c>
      <c r="P21" t="s">
        <v>190</v>
      </c>
      <c r="Q21" t="s">
        <v>191</v>
      </c>
      <c r="R21">
        <v>126</v>
      </c>
      <c r="S21">
        <v>4</v>
      </c>
      <c r="T21">
        <v>0.1</v>
      </c>
      <c r="U21" s="34" t="str">
        <f t="shared" si="2"/>
        <v>Low</v>
      </c>
      <c r="V21">
        <v>19.55</v>
      </c>
      <c r="W21" s="29">
        <f t="shared" si="3"/>
        <v>0.15515873015873</v>
      </c>
      <c r="X21">
        <v>39.82</v>
      </c>
      <c r="Y21" t="s">
        <v>62</v>
      </c>
      <c r="Z21" s="34" t="str">
        <f t="shared" si="5"/>
        <v>Small</v>
      </c>
    </row>
    <row r="22" spans="1:26">
      <c r="A22" t="s">
        <v>192</v>
      </c>
      <c r="B22" s="44">
        <v>45468</v>
      </c>
      <c r="C22" s="34">
        <f t="shared" si="4"/>
        <v>2024</v>
      </c>
      <c r="D22" s="34">
        <f t="shared" si="0"/>
        <v>6</v>
      </c>
      <c r="E22" s="34" t="str">
        <f t="shared" si="1"/>
        <v>June</v>
      </c>
      <c r="F22" s="44">
        <v>45474</v>
      </c>
      <c r="G22" t="s">
        <v>193</v>
      </c>
      <c r="H22" t="s">
        <v>194</v>
      </c>
      <c r="I22" t="s">
        <v>55</v>
      </c>
      <c r="J22" t="s">
        <v>43</v>
      </c>
      <c r="K22" t="s">
        <v>44</v>
      </c>
      <c r="L22" t="s">
        <v>195</v>
      </c>
      <c r="M22" t="s">
        <v>46</v>
      </c>
      <c r="N22" t="s">
        <v>135</v>
      </c>
      <c r="O22" t="s">
        <v>67</v>
      </c>
      <c r="P22" t="s">
        <v>68</v>
      </c>
      <c r="Q22" t="s">
        <v>136</v>
      </c>
      <c r="R22">
        <v>1947</v>
      </c>
      <c r="S22">
        <v>3</v>
      </c>
      <c r="T22">
        <v>0</v>
      </c>
      <c r="U22" s="34" t="str">
        <f t="shared" si="2"/>
        <v>No Discount</v>
      </c>
      <c r="V22">
        <v>218.65</v>
      </c>
      <c r="W22" s="29">
        <f t="shared" si="3"/>
        <v>0.112300975860298</v>
      </c>
      <c r="X22">
        <v>49.95</v>
      </c>
      <c r="Y22" t="s">
        <v>96</v>
      </c>
      <c r="Z22" s="34" t="str">
        <f t="shared" si="5"/>
        <v>Medium</v>
      </c>
    </row>
    <row r="23" spans="1:26">
      <c r="A23" t="s">
        <v>196</v>
      </c>
      <c r="B23" s="44">
        <v>44597</v>
      </c>
      <c r="C23" s="34">
        <f t="shared" si="4"/>
        <v>2022</v>
      </c>
      <c r="D23" s="34">
        <f t="shared" si="0"/>
        <v>2</v>
      </c>
      <c r="E23" s="34" t="str">
        <f t="shared" si="1"/>
        <v>February</v>
      </c>
      <c r="F23" s="44">
        <v>44604</v>
      </c>
      <c r="G23" t="s">
        <v>197</v>
      </c>
      <c r="H23" t="s">
        <v>198</v>
      </c>
      <c r="I23" t="s">
        <v>55</v>
      </c>
      <c r="J23" t="s">
        <v>43</v>
      </c>
      <c r="K23" t="s">
        <v>199</v>
      </c>
      <c r="L23" t="s">
        <v>200</v>
      </c>
      <c r="M23" t="s">
        <v>46</v>
      </c>
      <c r="N23" t="s">
        <v>201</v>
      </c>
      <c r="O23" t="s">
        <v>35</v>
      </c>
      <c r="P23" t="s">
        <v>202</v>
      </c>
      <c r="Q23" t="s">
        <v>203</v>
      </c>
      <c r="R23">
        <v>426.55</v>
      </c>
      <c r="S23">
        <v>1</v>
      </c>
      <c r="T23">
        <v>0.05</v>
      </c>
      <c r="U23" s="34" t="str">
        <f t="shared" si="2"/>
        <v>Low</v>
      </c>
      <c r="V23">
        <v>28.83</v>
      </c>
      <c r="W23" s="29">
        <f t="shared" si="3"/>
        <v>0.0675887938108076</v>
      </c>
      <c r="X23">
        <v>46.1</v>
      </c>
      <c r="Y23" t="s">
        <v>80</v>
      </c>
      <c r="Z23" s="34" t="str">
        <f t="shared" si="5"/>
        <v>Small</v>
      </c>
    </row>
    <row r="24" spans="1:26">
      <c r="A24" t="s">
        <v>204</v>
      </c>
      <c r="B24" s="44">
        <v>45294</v>
      </c>
      <c r="C24" s="34">
        <f t="shared" si="4"/>
        <v>2024</v>
      </c>
      <c r="D24" s="34">
        <f t="shared" si="0"/>
        <v>1</v>
      </c>
      <c r="E24" s="34" t="str">
        <f t="shared" si="1"/>
        <v>January</v>
      </c>
      <c r="F24" s="44">
        <v>45297</v>
      </c>
      <c r="G24" t="s">
        <v>205</v>
      </c>
      <c r="H24" t="s">
        <v>206</v>
      </c>
      <c r="I24" t="s">
        <v>55</v>
      </c>
      <c r="J24" t="s">
        <v>30</v>
      </c>
      <c r="K24" t="s">
        <v>153</v>
      </c>
      <c r="L24" t="s">
        <v>207</v>
      </c>
      <c r="M24" t="s">
        <v>58</v>
      </c>
      <c r="N24" t="s">
        <v>208</v>
      </c>
      <c r="O24" t="s">
        <v>48</v>
      </c>
      <c r="P24" t="s">
        <v>128</v>
      </c>
      <c r="Q24" t="s">
        <v>209</v>
      </c>
      <c r="R24">
        <v>122.5</v>
      </c>
      <c r="S24">
        <v>5</v>
      </c>
      <c r="T24">
        <v>0.3</v>
      </c>
      <c r="U24" s="34" t="str">
        <f t="shared" si="2"/>
        <v>High</v>
      </c>
      <c r="V24">
        <v>-19.47</v>
      </c>
      <c r="W24" s="29">
        <f t="shared" si="3"/>
        <v>-0.158938775510204</v>
      </c>
      <c r="X24">
        <v>32.22</v>
      </c>
      <c r="Y24" t="s">
        <v>51</v>
      </c>
      <c r="Z24" s="34" t="str">
        <f t="shared" si="5"/>
        <v>Small</v>
      </c>
    </row>
    <row r="25" spans="1:26">
      <c r="A25" t="s">
        <v>210</v>
      </c>
      <c r="B25" s="44">
        <v>44677</v>
      </c>
      <c r="C25" s="34">
        <f t="shared" si="4"/>
        <v>2022</v>
      </c>
      <c r="D25" s="34">
        <f t="shared" si="0"/>
        <v>4</v>
      </c>
      <c r="E25" s="34" t="str">
        <f t="shared" si="1"/>
        <v>April</v>
      </c>
      <c r="F25" s="44">
        <v>44679</v>
      </c>
      <c r="G25" t="s">
        <v>211</v>
      </c>
      <c r="H25" t="s">
        <v>212</v>
      </c>
      <c r="I25" t="s">
        <v>42</v>
      </c>
      <c r="J25" t="s">
        <v>43</v>
      </c>
      <c r="K25" t="s">
        <v>213</v>
      </c>
      <c r="L25" t="s">
        <v>214</v>
      </c>
      <c r="M25" t="s">
        <v>33</v>
      </c>
      <c r="N25" t="s">
        <v>215</v>
      </c>
      <c r="O25" t="s">
        <v>35</v>
      </c>
      <c r="P25" t="s">
        <v>36</v>
      </c>
      <c r="Q25" t="s">
        <v>216</v>
      </c>
      <c r="R25">
        <v>6170.25</v>
      </c>
      <c r="S25">
        <v>5</v>
      </c>
      <c r="T25">
        <v>0.05</v>
      </c>
      <c r="U25" s="34" t="str">
        <f t="shared" si="2"/>
        <v>Low</v>
      </c>
      <c r="V25">
        <v>608.13</v>
      </c>
      <c r="W25" s="29">
        <f t="shared" si="3"/>
        <v>0.0985584052510028</v>
      </c>
      <c r="X25">
        <v>29.66</v>
      </c>
      <c r="Y25" t="s">
        <v>38</v>
      </c>
      <c r="Z25" s="34" t="str">
        <f t="shared" si="5"/>
        <v>Large</v>
      </c>
    </row>
    <row r="26" spans="1:26">
      <c r="A26" t="s">
        <v>217</v>
      </c>
      <c r="B26" s="44">
        <v>44277</v>
      </c>
      <c r="C26" s="34">
        <f t="shared" si="4"/>
        <v>2021</v>
      </c>
      <c r="D26" s="34">
        <f t="shared" si="0"/>
        <v>3</v>
      </c>
      <c r="E26" s="34" t="str">
        <f t="shared" si="1"/>
        <v>March</v>
      </c>
      <c r="F26" s="44">
        <v>44281</v>
      </c>
      <c r="G26" t="s">
        <v>218</v>
      </c>
      <c r="H26" t="s">
        <v>219</v>
      </c>
      <c r="I26" t="s">
        <v>29</v>
      </c>
      <c r="J26" t="s">
        <v>43</v>
      </c>
      <c r="K26" t="s">
        <v>146</v>
      </c>
      <c r="L26" t="s">
        <v>147</v>
      </c>
      <c r="M26" t="s">
        <v>33</v>
      </c>
      <c r="N26" t="s">
        <v>215</v>
      </c>
      <c r="O26" t="s">
        <v>35</v>
      </c>
      <c r="P26" t="s">
        <v>36</v>
      </c>
      <c r="Q26" t="s">
        <v>216</v>
      </c>
      <c r="R26">
        <v>1299</v>
      </c>
      <c r="S26">
        <v>1</v>
      </c>
      <c r="T26">
        <v>0</v>
      </c>
      <c r="U26" s="34" t="str">
        <f t="shared" si="2"/>
        <v>No Discount</v>
      </c>
      <c r="V26">
        <v>150.65</v>
      </c>
      <c r="W26" s="29">
        <f t="shared" si="3"/>
        <v>0.115973826020015</v>
      </c>
      <c r="X26">
        <v>17.44</v>
      </c>
      <c r="Y26" t="s">
        <v>70</v>
      </c>
      <c r="Z26" s="34" t="str">
        <f t="shared" si="5"/>
        <v>Medium</v>
      </c>
    </row>
    <row r="27" spans="1:26">
      <c r="A27" t="s">
        <v>220</v>
      </c>
      <c r="B27" s="44">
        <v>44904</v>
      </c>
      <c r="C27" s="34">
        <f t="shared" si="4"/>
        <v>2022</v>
      </c>
      <c r="D27" s="34">
        <f t="shared" si="0"/>
        <v>12</v>
      </c>
      <c r="E27" s="34" t="str">
        <f t="shared" si="1"/>
        <v>December</v>
      </c>
      <c r="F27" s="44">
        <v>44910</v>
      </c>
      <c r="G27" t="s">
        <v>221</v>
      </c>
      <c r="H27" t="s">
        <v>222</v>
      </c>
      <c r="I27" t="s">
        <v>42</v>
      </c>
      <c r="J27" t="s">
        <v>30</v>
      </c>
      <c r="K27" t="s">
        <v>100</v>
      </c>
      <c r="L27" t="s">
        <v>101</v>
      </c>
      <c r="M27" t="s">
        <v>33</v>
      </c>
      <c r="N27" t="s">
        <v>223</v>
      </c>
      <c r="O27" t="s">
        <v>48</v>
      </c>
      <c r="P27" t="s">
        <v>60</v>
      </c>
      <c r="Q27" t="s">
        <v>224</v>
      </c>
      <c r="R27">
        <v>249.2</v>
      </c>
      <c r="S27">
        <v>4</v>
      </c>
      <c r="T27">
        <v>0.3</v>
      </c>
      <c r="U27" s="34" t="str">
        <f t="shared" si="2"/>
        <v>High</v>
      </c>
      <c r="V27">
        <v>58.72</v>
      </c>
      <c r="W27" s="29">
        <f t="shared" si="3"/>
        <v>0.235634028892456</v>
      </c>
      <c r="X27">
        <v>11.94</v>
      </c>
      <c r="Y27" t="s">
        <v>70</v>
      </c>
      <c r="Z27" s="34" t="str">
        <f t="shared" si="5"/>
        <v>Small</v>
      </c>
    </row>
    <row r="28" spans="1:26">
      <c r="A28" t="s">
        <v>225</v>
      </c>
      <c r="B28" s="44">
        <v>44340</v>
      </c>
      <c r="C28" s="34">
        <f t="shared" si="4"/>
        <v>2021</v>
      </c>
      <c r="D28" s="34">
        <f t="shared" si="0"/>
        <v>5</v>
      </c>
      <c r="E28" s="34" t="str">
        <f t="shared" si="1"/>
        <v>May</v>
      </c>
      <c r="F28" s="44">
        <v>44347</v>
      </c>
      <c r="G28" t="s">
        <v>226</v>
      </c>
      <c r="H28" t="s">
        <v>227</v>
      </c>
      <c r="I28" t="s">
        <v>42</v>
      </c>
      <c r="J28" t="s">
        <v>43</v>
      </c>
      <c r="K28" t="s">
        <v>44</v>
      </c>
      <c r="L28" t="s">
        <v>195</v>
      </c>
      <c r="M28" t="s">
        <v>46</v>
      </c>
      <c r="N28" t="s">
        <v>228</v>
      </c>
      <c r="O28" t="s">
        <v>67</v>
      </c>
      <c r="P28" t="s">
        <v>103</v>
      </c>
      <c r="Q28" t="s">
        <v>229</v>
      </c>
      <c r="R28">
        <v>476.8</v>
      </c>
      <c r="S28">
        <v>4</v>
      </c>
      <c r="T28">
        <v>0</v>
      </c>
      <c r="U28" s="34" t="str">
        <f t="shared" si="2"/>
        <v>No Discount</v>
      </c>
      <c r="V28">
        <v>78.94</v>
      </c>
      <c r="W28" s="29">
        <f t="shared" si="3"/>
        <v>0.165562080536913</v>
      </c>
      <c r="X28">
        <v>22.96</v>
      </c>
      <c r="Y28" t="s">
        <v>96</v>
      </c>
      <c r="Z28" s="34" t="str">
        <f t="shared" si="5"/>
        <v>Small</v>
      </c>
    </row>
    <row r="29" spans="1:26">
      <c r="A29" t="s">
        <v>230</v>
      </c>
      <c r="B29" s="44">
        <v>44584</v>
      </c>
      <c r="C29" s="34">
        <f t="shared" si="4"/>
        <v>2022</v>
      </c>
      <c r="D29" s="34">
        <f t="shared" si="0"/>
        <v>1</v>
      </c>
      <c r="E29" s="34" t="str">
        <f t="shared" si="1"/>
        <v>January</v>
      </c>
      <c r="F29" s="44">
        <v>44587</v>
      </c>
      <c r="G29" t="s">
        <v>231</v>
      </c>
      <c r="H29" t="s">
        <v>232</v>
      </c>
      <c r="I29" t="s">
        <v>55</v>
      </c>
      <c r="J29" t="s">
        <v>43</v>
      </c>
      <c r="K29" t="s">
        <v>233</v>
      </c>
      <c r="L29" t="s">
        <v>234</v>
      </c>
      <c r="M29" t="s">
        <v>46</v>
      </c>
      <c r="N29" t="s">
        <v>235</v>
      </c>
      <c r="O29" t="s">
        <v>35</v>
      </c>
      <c r="P29" t="s">
        <v>78</v>
      </c>
      <c r="Q29" t="s">
        <v>236</v>
      </c>
      <c r="R29">
        <v>933.3</v>
      </c>
      <c r="S29">
        <v>2</v>
      </c>
      <c r="T29">
        <v>0.15</v>
      </c>
      <c r="U29" s="34" t="str">
        <f t="shared" si="2"/>
        <v>Medium</v>
      </c>
      <c r="V29">
        <v>132.6</v>
      </c>
      <c r="W29" s="29">
        <f t="shared" si="3"/>
        <v>0.14207650273224</v>
      </c>
      <c r="X29">
        <v>24.64</v>
      </c>
      <c r="Y29" t="s">
        <v>121</v>
      </c>
      <c r="Z29" s="34" t="str">
        <f t="shared" si="5"/>
        <v>Medium</v>
      </c>
    </row>
    <row r="30" spans="1:26">
      <c r="A30" t="s">
        <v>237</v>
      </c>
      <c r="B30" s="44">
        <v>44597</v>
      </c>
      <c r="C30" s="34">
        <f t="shared" si="4"/>
        <v>2022</v>
      </c>
      <c r="D30" s="34">
        <f t="shared" si="0"/>
        <v>2</v>
      </c>
      <c r="E30" s="34" t="str">
        <f t="shared" si="1"/>
        <v>February</v>
      </c>
      <c r="F30" s="44">
        <v>44600</v>
      </c>
      <c r="G30" t="s">
        <v>238</v>
      </c>
      <c r="H30" t="s">
        <v>239</v>
      </c>
      <c r="I30" t="s">
        <v>55</v>
      </c>
      <c r="J30" t="s">
        <v>43</v>
      </c>
      <c r="K30" t="s">
        <v>240</v>
      </c>
      <c r="L30" t="s">
        <v>241</v>
      </c>
      <c r="M30" t="s">
        <v>46</v>
      </c>
      <c r="N30" t="s">
        <v>102</v>
      </c>
      <c r="O30" t="s">
        <v>67</v>
      </c>
      <c r="P30" t="s">
        <v>103</v>
      </c>
      <c r="Q30" t="s">
        <v>104</v>
      </c>
      <c r="R30">
        <v>957.6</v>
      </c>
      <c r="S30">
        <v>3</v>
      </c>
      <c r="T30">
        <v>0.2</v>
      </c>
      <c r="U30" s="34" t="str">
        <f t="shared" si="2"/>
        <v>Medium</v>
      </c>
      <c r="V30">
        <v>101.37</v>
      </c>
      <c r="W30" s="29">
        <f t="shared" si="3"/>
        <v>0.105858395989975</v>
      </c>
      <c r="X30">
        <v>45.15</v>
      </c>
      <c r="Y30" t="s">
        <v>96</v>
      </c>
      <c r="Z30" s="34" t="str">
        <f t="shared" si="5"/>
        <v>Medium</v>
      </c>
    </row>
    <row r="31" spans="1:26">
      <c r="A31" t="s">
        <v>242</v>
      </c>
      <c r="B31" s="44">
        <v>44241</v>
      </c>
      <c r="C31" s="34">
        <f t="shared" si="4"/>
        <v>2021</v>
      </c>
      <c r="D31" s="34">
        <f t="shared" si="0"/>
        <v>2</v>
      </c>
      <c r="E31" s="34" t="str">
        <f t="shared" si="1"/>
        <v>February</v>
      </c>
      <c r="F31" s="44">
        <v>44244</v>
      </c>
      <c r="G31" t="s">
        <v>243</v>
      </c>
      <c r="H31" t="s">
        <v>244</v>
      </c>
      <c r="I31" t="s">
        <v>55</v>
      </c>
      <c r="J31" t="s">
        <v>43</v>
      </c>
      <c r="K31" t="s">
        <v>245</v>
      </c>
      <c r="L31" t="s">
        <v>246</v>
      </c>
      <c r="M31" t="s">
        <v>76</v>
      </c>
      <c r="N31" t="s">
        <v>34</v>
      </c>
      <c r="O31" t="s">
        <v>35</v>
      </c>
      <c r="P31" t="s">
        <v>36</v>
      </c>
      <c r="Q31" t="s">
        <v>37</v>
      </c>
      <c r="R31">
        <v>449</v>
      </c>
      <c r="S31">
        <v>1</v>
      </c>
      <c r="T31">
        <v>0</v>
      </c>
      <c r="U31" s="34" t="str">
        <f t="shared" si="2"/>
        <v>No Discount</v>
      </c>
      <c r="V31">
        <v>-26.71</v>
      </c>
      <c r="W31" s="29">
        <f t="shared" si="3"/>
        <v>-0.0594877505567929</v>
      </c>
      <c r="X31">
        <v>14.19</v>
      </c>
      <c r="Y31" t="s">
        <v>80</v>
      </c>
      <c r="Z31" s="34" t="str">
        <f t="shared" si="5"/>
        <v>Small</v>
      </c>
    </row>
    <row r="32" spans="1:26">
      <c r="A32" t="s">
        <v>247</v>
      </c>
      <c r="B32" s="44">
        <v>43858</v>
      </c>
      <c r="C32" s="34">
        <f t="shared" si="4"/>
        <v>2020</v>
      </c>
      <c r="D32" s="34">
        <f t="shared" si="0"/>
        <v>1</v>
      </c>
      <c r="E32" s="34" t="str">
        <f t="shared" si="1"/>
        <v>January</v>
      </c>
      <c r="F32" s="44">
        <v>43859</v>
      </c>
      <c r="G32" t="s">
        <v>248</v>
      </c>
      <c r="H32" t="s">
        <v>249</v>
      </c>
      <c r="I32" t="s">
        <v>55</v>
      </c>
      <c r="J32" t="s">
        <v>30</v>
      </c>
      <c r="K32" t="s">
        <v>31</v>
      </c>
      <c r="L32" t="s">
        <v>250</v>
      </c>
      <c r="M32" t="s">
        <v>33</v>
      </c>
      <c r="N32" t="s">
        <v>251</v>
      </c>
      <c r="O32" t="s">
        <v>67</v>
      </c>
      <c r="P32" t="s">
        <v>252</v>
      </c>
      <c r="Q32" t="s">
        <v>253</v>
      </c>
      <c r="R32">
        <v>523.6</v>
      </c>
      <c r="S32">
        <v>1</v>
      </c>
      <c r="T32">
        <v>0.3</v>
      </c>
      <c r="U32" s="34" t="str">
        <f t="shared" si="2"/>
        <v>High</v>
      </c>
      <c r="V32">
        <v>-44.77</v>
      </c>
      <c r="W32" s="29">
        <f t="shared" si="3"/>
        <v>-0.0855042016806723</v>
      </c>
      <c r="X32">
        <v>9.61</v>
      </c>
      <c r="Y32" t="s">
        <v>62</v>
      </c>
      <c r="Z32" s="34" t="str">
        <f t="shared" si="5"/>
        <v>Medium</v>
      </c>
    </row>
    <row r="33" spans="1:26">
      <c r="A33" t="s">
        <v>254</v>
      </c>
      <c r="B33" s="44">
        <v>45620</v>
      </c>
      <c r="C33" s="34">
        <f t="shared" si="4"/>
        <v>2024</v>
      </c>
      <c r="D33" s="34">
        <f t="shared" si="0"/>
        <v>11</v>
      </c>
      <c r="E33" s="34" t="str">
        <f t="shared" si="1"/>
        <v>November</v>
      </c>
      <c r="F33" s="44">
        <v>45621</v>
      </c>
      <c r="G33" t="s">
        <v>255</v>
      </c>
      <c r="H33" t="s">
        <v>256</v>
      </c>
      <c r="I33" t="s">
        <v>29</v>
      </c>
      <c r="J33" t="s">
        <v>43</v>
      </c>
      <c r="K33" t="s">
        <v>257</v>
      </c>
      <c r="L33" t="s">
        <v>258</v>
      </c>
      <c r="M33" t="s">
        <v>76</v>
      </c>
      <c r="N33" t="s">
        <v>141</v>
      </c>
      <c r="O33" t="s">
        <v>35</v>
      </c>
      <c r="P33" t="s">
        <v>111</v>
      </c>
      <c r="Q33" t="s">
        <v>142</v>
      </c>
      <c r="R33">
        <v>208.6</v>
      </c>
      <c r="S33">
        <v>2</v>
      </c>
      <c r="T33">
        <v>0.3</v>
      </c>
      <c r="U33" s="34" t="str">
        <f t="shared" si="2"/>
        <v>High</v>
      </c>
      <c r="V33">
        <v>41.46</v>
      </c>
      <c r="W33" s="29">
        <f t="shared" si="3"/>
        <v>0.198753595397891</v>
      </c>
      <c r="X33">
        <v>14.77</v>
      </c>
      <c r="Y33" t="s">
        <v>70</v>
      </c>
      <c r="Z33" s="34" t="str">
        <f t="shared" si="5"/>
        <v>Small</v>
      </c>
    </row>
    <row r="34" spans="1:26">
      <c r="A34" t="s">
        <v>259</v>
      </c>
      <c r="B34" s="44">
        <v>44617</v>
      </c>
      <c r="C34" s="34">
        <f t="shared" si="4"/>
        <v>2022</v>
      </c>
      <c r="D34" s="34">
        <f t="shared" si="0"/>
        <v>2</v>
      </c>
      <c r="E34" s="34" t="str">
        <f t="shared" si="1"/>
        <v>February</v>
      </c>
      <c r="F34" s="44">
        <v>44621</v>
      </c>
      <c r="G34" t="s">
        <v>260</v>
      </c>
      <c r="H34" t="s">
        <v>261</v>
      </c>
      <c r="I34" t="s">
        <v>42</v>
      </c>
      <c r="J34" t="s">
        <v>43</v>
      </c>
      <c r="K34" t="s">
        <v>262</v>
      </c>
      <c r="L34" t="s">
        <v>263</v>
      </c>
      <c r="M34" t="s">
        <v>58</v>
      </c>
      <c r="N34" t="s">
        <v>264</v>
      </c>
      <c r="O34" t="s">
        <v>67</v>
      </c>
      <c r="P34" t="s">
        <v>87</v>
      </c>
      <c r="Q34" t="s">
        <v>265</v>
      </c>
      <c r="R34">
        <v>223.2</v>
      </c>
      <c r="S34">
        <v>1</v>
      </c>
      <c r="T34">
        <v>0.2</v>
      </c>
      <c r="U34" s="34" t="str">
        <f t="shared" si="2"/>
        <v>Medium</v>
      </c>
      <c r="V34">
        <v>26.79</v>
      </c>
      <c r="W34" s="29">
        <f t="shared" si="3"/>
        <v>0.12002688172043</v>
      </c>
      <c r="X34">
        <v>22.31</v>
      </c>
      <c r="Y34" t="s">
        <v>121</v>
      </c>
      <c r="Z34" s="34" t="str">
        <f t="shared" si="5"/>
        <v>Small</v>
      </c>
    </row>
    <row r="35" spans="1:26">
      <c r="A35" t="s">
        <v>266</v>
      </c>
      <c r="B35" s="44">
        <v>45500</v>
      </c>
      <c r="C35" s="34">
        <f t="shared" si="4"/>
        <v>2024</v>
      </c>
      <c r="D35" s="34">
        <f t="shared" si="0"/>
        <v>7</v>
      </c>
      <c r="E35" s="34" t="str">
        <f t="shared" si="1"/>
        <v>July</v>
      </c>
      <c r="F35" s="44">
        <v>45506</v>
      </c>
      <c r="G35" t="s">
        <v>267</v>
      </c>
      <c r="H35" t="s">
        <v>268</v>
      </c>
      <c r="I35" t="s">
        <v>42</v>
      </c>
      <c r="J35" t="s">
        <v>43</v>
      </c>
      <c r="K35" t="s">
        <v>92</v>
      </c>
      <c r="L35" t="s">
        <v>269</v>
      </c>
      <c r="M35" t="s">
        <v>76</v>
      </c>
      <c r="N35" t="s">
        <v>34</v>
      </c>
      <c r="O35" t="s">
        <v>35</v>
      </c>
      <c r="P35" t="s">
        <v>36</v>
      </c>
      <c r="Q35" t="s">
        <v>37</v>
      </c>
      <c r="R35">
        <v>898</v>
      </c>
      <c r="S35">
        <v>2</v>
      </c>
      <c r="T35">
        <v>0</v>
      </c>
      <c r="U35" s="34" t="str">
        <f t="shared" si="2"/>
        <v>No Discount</v>
      </c>
      <c r="V35">
        <v>-53.8</v>
      </c>
      <c r="W35" s="29">
        <f t="shared" si="3"/>
        <v>-0.0599109131403118</v>
      </c>
      <c r="X35">
        <v>29.66</v>
      </c>
      <c r="Y35" t="s">
        <v>38</v>
      </c>
      <c r="Z35" s="34" t="str">
        <f t="shared" si="5"/>
        <v>Medium</v>
      </c>
    </row>
    <row r="36" spans="1:26">
      <c r="A36" t="s">
        <v>270</v>
      </c>
      <c r="B36" s="44">
        <v>44401</v>
      </c>
      <c r="C36" s="34">
        <f t="shared" si="4"/>
        <v>2021</v>
      </c>
      <c r="D36" s="34">
        <f t="shared" si="0"/>
        <v>7</v>
      </c>
      <c r="E36" s="34" t="str">
        <f t="shared" si="1"/>
        <v>July</v>
      </c>
      <c r="F36" s="44">
        <v>44405</v>
      </c>
      <c r="G36" t="s">
        <v>271</v>
      </c>
      <c r="H36" t="s">
        <v>272</v>
      </c>
      <c r="I36" t="s">
        <v>55</v>
      </c>
      <c r="J36" t="s">
        <v>30</v>
      </c>
      <c r="K36" t="s">
        <v>273</v>
      </c>
      <c r="L36" t="s">
        <v>274</v>
      </c>
      <c r="M36" t="s">
        <v>46</v>
      </c>
      <c r="N36" t="s">
        <v>275</v>
      </c>
      <c r="O36" t="s">
        <v>67</v>
      </c>
      <c r="P36" t="s">
        <v>103</v>
      </c>
      <c r="Q36" t="s">
        <v>276</v>
      </c>
      <c r="R36">
        <v>524.3</v>
      </c>
      <c r="S36">
        <v>1</v>
      </c>
      <c r="T36">
        <v>0.3</v>
      </c>
      <c r="U36" s="34" t="str">
        <f t="shared" si="2"/>
        <v>High</v>
      </c>
      <c r="V36">
        <v>48.83</v>
      </c>
      <c r="W36" s="29">
        <f t="shared" si="3"/>
        <v>0.0931337020789624</v>
      </c>
      <c r="X36">
        <v>12.01</v>
      </c>
      <c r="Y36" t="s">
        <v>51</v>
      </c>
      <c r="Z36" s="34" t="str">
        <f t="shared" si="5"/>
        <v>Medium</v>
      </c>
    </row>
    <row r="37" spans="1:26">
      <c r="A37" t="s">
        <v>277</v>
      </c>
      <c r="B37" s="44">
        <v>45520</v>
      </c>
      <c r="C37" s="34">
        <f t="shared" si="4"/>
        <v>2024</v>
      </c>
      <c r="D37" s="34">
        <f t="shared" si="0"/>
        <v>8</v>
      </c>
      <c r="E37" s="34" t="str">
        <f t="shared" si="1"/>
        <v>August</v>
      </c>
      <c r="F37" s="44">
        <v>45522</v>
      </c>
      <c r="G37" t="s">
        <v>72</v>
      </c>
      <c r="H37" t="s">
        <v>73</v>
      </c>
      <c r="I37" t="s">
        <v>55</v>
      </c>
      <c r="J37" t="s">
        <v>30</v>
      </c>
      <c r="K37" t="s">
        <v>74</v>
      </c>
      <c r="L37" t="s">
        <v>75</v>
      </c>
      <c r="M37" t="s">
        <v>76</v>
      </c>
      <c r="N37" t="s">
        <v>278</v>
      </c>
      <c r="O37" t="s">
        <v>35</v>
      </c>
      <c r="P37" t="s">
        <v>202</v>
      </c>
      <c r="Q37" t="s">
        <v>279</v>
      </c>
      <c r="R37">
        <v>3236.4</v>
      </c>
      <c r="S37">
        <v>4</v>
      </c>
      <c r="T37">
        <v>0.1</v>
      </c>
      <c r="U37" s="34" t="str">
        <f t="shared" si="2"/>
        <v>Low</v>
      </c>
      <c r="V37">
        <v>803.24</v>
      </c>
      <c r="W37" s="29">
        <f t="shared" si="3"/>
        <v>0.248189346187121</v>
      </c>
      <c r="X37">
        <v>19.53</v>
      </c>
      <c r="Y37" t="s">
        <v>70</v>
      </c>
      <c r="Z37" s="34" t="str">
        <f t="shared" si="5"/>
        <v>Large</v>
      </c>
    </row>
    <row r="38" spans="1:26">
      <c r="A38" t="s">
        <v>280</v>
      </c>
      <c r="B38" s="44">
        <v>45621</v>
      </c>
      <c r="C38" s="34">
        <f t="shared" si="4"/>
        <v>2024</v>
      </c>
      <c r="D38" s="34">
        <f t="shared" si="0"/>
        <v>11</v>
      </c>
      <c r="E38" s="34" t="str">
        <f t="shared" si="1"/>
        <v>November</v>
      </c>
      <c r="F38" s="44">
        <v>45626</v>
      </c>
      <c r="G38" t="s">
        <v>53</v>
      </c>
      <c r="H38" t="s">
        <v>54</v>
      </c>
      <c r="I38" t="s">
        <v>55</v>
      </c>
      <c r="J38" t="s">
        <v>43</v>
      </c>
      <c r="K38" t="s">
        <v>56</v>
      </c>
      <c r="L38" t="s">
        <v>57</v>
      </c>
      <c r="M38" t="s">
        <v>58</v>
      </c>
      <c r="N38" t="s">
        <v>162</v>
      </c>
      <c r="O38" t="s">
        <v>35</v>
      </c>
      <c r="P38" t="s">
        <v>163</v>
      </c>
      <c r="Q38" t="s">
        <v>164</v>
      </c>
      <c r="R38">
        <v>521.55</v>
      </c>
      <c r="S38">
        <v>1</v>
      </c>
      <c r="T38">
        <v>0.05</v>
      </c>
      <c r="U38" s="34" t="str">
        <f t="shared" si="2"/>
        <v>Low</v>
      </c>
      <c r="V38">
        <v>40.83</v>
      </c>
      <c r="W38" s="29">
        <f t="shared" si="3"/>
        <v>0.0782858786310037</v>
      </c>
      <c r="X38">
        <v>37.75</v>
      </c>
      <c r="Y38" t="s">
        <v>38</v>
      </c>
      <c r="Z38" s="34" t="str">
        <f t="shared" si="5"/>
        <v>Medium</v>
      </c>
    </row>
    <row r="39" spans="1:26">
      <c r="A39" t="s">
        <v>281</v>
      </c>
      <c r="B39" s="44">
        <v>44281</v>
      </c>
      <c r="C39" s="34">
        <f t="shared" si="4"/>
        <v>2021</v>
      </c>
      <c r="D39" s="34">
        <f t="shared" si="0"/>
        <v>3</v>
      </c>
      <c r="E39" s="34" t="str">
        <f t="shared" si="1"/>
        <v>March</v>
      </c>
      <c r="F39" s="44">
        <v>44284</v>
      </c>
      <c r="G39" t="s">
        <v>282</v>
      </c>
      <c r="H39" t="s">
        <v>283</v>
      </c>
      <c r="I39" t="s">
        <v>55</v>
      </c>
      <c r="J39" t="s">
        <v>43</v>
      </c>
      <c r="K39" t="s">
        <v>284</v>
      </c>
      <c r="L39" t="s">
        <v>285</v>
      </c>
      <c r="M39" t="s">
        <v>76</v>
      </c>
      <c r="N39" t="s">
        <v>286</v>
      </c>
      <c r="O39" t="s">
        <v>35</v>
      </c>
      <c r="P39" t="s">
        <v>202</v>
      </c>
      <c r="Q39" t="s">
        <v>287</v>
      </c>
      <c r="R39">
        <v>745</v>
      </c>
      <c r="S39">
        <v>5</v>
      </c>
      <c r="T39">
        <v>0</v>
      </c>
      <c r="U39" s="34" t="str">
        <f t="shared" si="2"/>
        <v>No Discount</v>
      </c>
      <c r="V39">
        <v>136.84</v>
      </c>
      <c r="W39" s="29">
        <f t="shared" si="3"/>
        <v>0.183677852348993</v>
      </c>
      <c r="X39">
        <v>40.53</v>
      </c>
      <c r="Y39" t="s">
        <v>121</v>
      </c>
      <c r="Z39" s="34" t="str">
        <f t="shared" si="5"/>
        <v>Medium</v>
      </c>
    </row>
    <row r="40" spans="1:26">
      <c r="A40" t="s">
        <v>288</v>
      </c>
      <c r="B40" s="44">
        <v>44914</v>
      </c>
      <c r="C40" s="34">
        <f t="shared" si="4"/>
        <v>2022</v>
      </c>
      <c r="D40" s="34">
        <f t="shared" si="0"/>
        <v>12</v>
      </c>
      <c r="E40" s="34" t="str">
        <f t="shared" si="1"/>
        <v>December</v>
      </c>
      <c r="F40" s="44">
        <v>44919</v>
      </c>
      <c r="G40" t="s">
        <v>289</v>
      </c>
      <c r="H40" t="s">
        <v>290</v>
      </c>
      <c r="I40" t="s">
        <v>29</v>
      </c>
      <c r="J40" t="s">
        <v>43</v>
      </c>
      <c r="K40" t="s">
        <v>180</v>
      </c>
      <c r="L40" t="s">
        <v>291</v>
      </c>
      <c r="M40" t="s">
        <v>46</v>
      </c>
      <c r="N40" t="s">
        <v>292</v>
      </c>
      <c r="O40" t="s">
        <v>35</v>
      </c>
      <c r="P40" t="s">
        <v>163</v>
      </c>
      <c r="Q40" t="s">
        <v>293</v>
      </c>
      <c r="R40">
        <v>3702.15</v>
      </c>
      <c r="S40">
        <v>3</v>
      </c>
      <c r="T40">
        <v>0.05</v>
      </c>
      <c r="U40" s="34" t="str">
        <f t="shared" si="2"/>
        <v>Low</v>
      </c>
      <c r="V40">
        <v>804.2</v>
      </c>
      <c r="W40" s="29">
        <f t="shared" si="3"/>
        <v>0.217225125940332</v>
      </c>
      <c r="X40">
        <v>34.26</v>
      </c>
      <c r="Y40" t="s">
        <v>38</v>
      </c>
      <c r="Z40" s="34" t="str">
        <f t="shared" si="5"/>
        <v>Large</v>
      </c>
    </row>
    <row r="41" spans="1:26">
      <c r="A41" t="s">
        <v>294</v>
      </c>
      <c r="B41" s="44">
        <v>45491</v>
      </c>
      <c r="C41" s="34">
        <f t="shared" si="4"/>
        <v>2024</v>
      </c>
      <c r="D41" s="34">
        <f t="shared" si="0"/>
        <v>7</v>
      </c>
      <c r="E41" s="34" t="str">
        <f t="shared" si="1"/>
        <v>July</v>
      </c>
      <c r="F41" s="44">
        <v>45497</v>
      </c>
      <c r="G41" t="s">
        <v>295</v>
      </c>
      <c r="H41" t="s">
        <v>296</v>
      </c>
      <c r="I41" t="s">
        <v>29</v>
      </c>
      <c r="J41" t="s">
        <v>30</v>
      </c>
      <c r="K41" t="s">
        <v>297</v>
      </c>
      <c r="L41" t="s">
        <v>298</v>
      </c>
      <c r="M41" t="s">
        <v>46</v>
      </c>
      <c r="N41" t="s">
        <v>127</v>
      </c>
      <c r="O41" t="s">
        <v>48</v>
      </c>
      <c r="P41" t="s">
        <v>128</v>
      </c>
      <c r="Q41" t="s">
        <v>129</v>
      </c>
      <c r="R41">
        <v>65</v>
      </c>
      <c r="S41">
        <v>1</v>
      </c>
      <c r="T41">
        <v>0</v>
      </c>
      <c r="U41" s="34" t="str">
        <f t="shared" si="2"/>
        <v>No Discount</v>
      </c>
      <c r="V41">
        <v>-0.13</v>
      </c>
      <c r="W41" s="29">
        <f t="shared" si="3"/>
        <v>-0.002</v>
      </c>
      <c r="X41">
        <v>43.78</v>
      </c>
      <c r="Y41" t="s">
        <v>51</v>
      </c>
      <c r="Z41" s="34" t="str">
        <f t="shared" si="5"/>
        <v>Small</v>
      </c>
    </row>
    <row r="42" spans="1:26">
      <c r="A42" t="s">
        <v>299</v>
      </c>
      <c r="B42" s="44">
        <v>45412</v>
      </c>
      <c r="C42" s="34">
        <f t="shared" si="4"/>
        <v>2024</v>
      </c>
      <c r="D42" s="34">
        <f t="shared" si="0"/>
        <v>4</v>
      </c>
      <c r="E42" s="34" t="str">
        <f t="shared" si="1"/>
        <v>April</v>
      </c>
      <c r="F42" s="44">
        <v>45418</v>
      </c>
      <c r="G42" t="s">
        <v>300</v>
      </c>
      <c r="H42" t="s">
        <v>301</v>
      </c>
      <c r="I42" t="s">
        <v>29</v>
      </c>
      <c r="J42" t="s">
        <v>43</v>
      </c>
      <c r="K42" t="s">
        <v>302</v>
      </c>
      <c r="L42" t="s">
        <v>303</v>
      </c>
      <c r="M42" t="s">
        <v>76</v>
      </c>
      <c r="N42" t="s">
        <v>94</v>
      </c>
      <c r="O42" t="s">
        <v>35</v>
      </c>
      <c r="P42" t="s">
        <v>36</v>
      </c>
      <c r="Q42" t="s">
        <v>95</v>
      </c>
      <c r="R42">
        <v>5932.5</v>
      </c>
      <c r="S42">
        <v>5</v>
      </c>
      <c r="T42">
        <v>0.3</v>
      </c>
      <c r="U42" s="34" t="str">
        <f t="shared" si="2"/>
        <v>High</v>
      </c>
      <c r="V42">
        <v>886.34</v>
      </c>
      <c r="W42" s="29">
        <f t="shared" si="3"/>
        <v>0.14940412979351</v>
      </c>
      <c r="X42">
        <v>11.78</v>
      </c>
      <c r="Y42" t="s">
        <v>62</v>
      </c>
      <c r="Z42" s="34" t="str">
        <f t="shared" si="5"/>
        <v>Large</v>
      </c>
    </row>
    <row r="43" spans="1:26">
      <c r="A43" t="s">
        <v>304</v>
      </c>
      <c r="B43" s="44">
        <v>44671</v>
      </c>
      <c r="C43" s="34">
        <f t="shared" si="4"/>
        <v>2022</v>
      </c>
      <c r="D43" s="34">
        <f t="shared" si="0"/>
        <v>4</v>
      </c>
      <c r="E43" s="34" t="str">
        <f t="shared" si="1"/>
        <v>April</v>
      </c>
      <c r="F43" s="44">
        <v>44674</v>
      </c>
      <c r="G43" t="s">
        <v>295</v>
      </c>
      <c r="H43" t="s">
        <v>296</v>
      </c>
      <c r="I43" t="s">
        <v>29</v>
      </c>
      <c r="J43" t="s">
        <v>30</v>
      </c>
      <c r="K43" t="s">
        <v>297</v>
      </c>
      <c r="L43" t="s">
        <v>246</v>
      </c>
      <c r="M43" t="s">
        <v>46</v>
      </c>
      <c r="N43" t="s">
        <v>148</v>
      </c>
      <c r="O43" t="s">
        <v>48</v>
      </c>
      <c r="P43" t="s">
        <v>60</v>
      </c>
      <c r="Q43" t="s">
        <v>149</v>
      </c>
      <c r="R43">
        <v>115.5</v>
      </c>
      <c r="S43">
        <v>3</v>
      </c>
      <c r="T43">
        <v>0.3</v>
      </c>
      <c r="U43" s="34" t="str">
        <f t="shared" si="2"/>
        <v>High</v>
      </c>
      <c r="V43">
        <v>-13.02</v>
      </c>
      <c r="W43" s="29">
        <f t="shared" si="3"/>
        <v>-0.112727272727273</v>
      </c>
      <c r="X43">
        <v>24.16</v>
      </c>
      <c r="Y43" t="s">
        <v>137</v>
      </c>
      <c r="Z43" s="34" t="str">
        <f t="shared" si="5"/>
        <v>Small</v>
      </c>
    </row>
    <row r="44" spans="1:26">
      <c r="A44" t="s">
        <v>305</v>
      </c>
      <c r="B44" s="44">
        <v>44580</v>
      </c>
      <c r="C44" s="34">
        <f t="shared" si="4"/>
        <v>2022</v>
      </c>
      <c r="D44" s="34">
        <f t="shared" si="0"/>
        <v>1</v>
      </c>
      <c r="E44" s="34" t="str">
        <f t="shared" si="1"/>
        <v>January</v>
      </c>
      <c r="F44" s="44">
        <v>44584</v>
      </c>
      <c r="G44" t="s">
        <v>306</v>
      </c>
      <c r="H44" t="s">
        <v>307</v>
      </c>
      <c r="I44" t="s">
        <v>55</v>
      </c>
      <c r="J44" t="s">
        <v>43</v>
      </c>
      <c r="K44" t="s">
        <v>116</v>
      </c>
      <c r="L44" t="s">
        <v>117</v>
      </c>
      <c r="M44" t="s">
        <v>33</v>
      </c>
      <c r="N44" t="s">
        <v>223</v>
      </c>
      <c r="O44" t="s">
        <v>48</v>
      </c>
      <c r="P44" t="s">
        <v>60</v>
      </c>
      <c r="Q44" t="s">
        <v>224</v>
      </c>
      <c r="R44">
        <v>160.2</v>
      </c>
      <c r="S44">
        <v>2</v>
      </c>
      <c r="T44">
        <v>0.1</v>
      </c>
      <c r="U44" s="34" t="str">
        <f t="shared" si="2"/>
        <v>Low</v>
      </c>
      <c r="V44">
        <v>15.92</v>
      </c>
      <c r="W44" s="29">
        <f t="shared" si="3"/>
        <v>0.0993757802746567</v>
      </c>
      <c r="X44">
        <v>11.02</v>
      </c>
      <c r="Y44" t="s">
        <v>137</v>
      </c>
      <c r="Z44" s="34" t="str">
        <f t="shared" si="5"/>
        <v>Small</v>
      </c>
    </row>
    <row r="45" spans="1:26">
      <c r="A45" t="s">
        <v>308</v>
      </c>
      <c r="B45" s="44">
        <v>44406</v>
      </c>
      <c r="C45" s="34">
        <f t="shared" si="4"/>
        <v>2021</v>
      </c>
      <c r="D45" s="34">
        <f t="shared" si="0"/>
        <v>7</v>
      </c>
      <c r="E45" s="34" t="str">
        <f t="shared" si="1"/>
        <v>July</v>
      </c>
      <c r="F45" s="44">
        <v>44413</v>
      </c>
      <c r="G45" t="s">
        <v>309</v>
      </c>
      <c r="H45" t="s">
        <v>310</v>
      </c>
      <c r="I45" t="s">
        <v>29</v>
      </c>
      <c r="J45" t="s">
        <v>43</v>
      </c>
      <c r="K45" t="s">
        <v>175</v>
      </c>
      <c r="L45" t="s">
        <v>311</v>
      </c>
      <c r="M45" t="s">
        <v>46</v>
      </c>
      <c r="N45" t="s">
        <v>312</v>
      </c>
      <c r="O45" t="s">
        <v>48</v>
      </c>
      <c r="P45" t="s">
        <v>49</v>
      </c>
      <c r="Q45" t="s">
        <v>313</v>
      </c>
      <c r="R45">
        <v>35.1</v>
      </c>
      <c r="S45">
        <v>1</v>
      </c>
      <c r="T45">
        <v>0.1</v>
      </c>
      <c r="U45" s="34" t="str">
        <f t="shared" si="2"/>
        <v>Low</v>
      </c>
      <c r="V45">
        <v>-7.2</v>
      </c>
      <c r="W45" s="29">
        <f t="shared" si="3"/>
        <v>-0.205128205128205</v>
      </c>
      <c r="X45">
        <v>49.74</v>
      </c>
      <c r="Y45" t="s">
        <v>38</v>
      </c>
      <c r="Z45" s="34" t="str">
        <f t="shared" si="5"/>
        <v>Small</v>
      </c>
    </row>
    <row r="46" spans="1:26">
      <c r="A46" t="s">
        <v>314</v>
      </c>
      <c r="B46" s="44">
        <v>44589</v>
      </c>
      <c r="C46" s="34">
        <f t="shared" si="4"/>
        <v>2022</v>
      </c>
      <c r="D46" s="34">
        <f t="shared" si="0"/>
        <v>1</v>
      </c>
      <c r="E46" s="34" t="str">
        <f t="shared" si="1"/>
        <v>January</v>
      </c>
      <c r="F46" s="44">
        <v>44596</v>
      </c>
      <c r="G46" t="s">
        <v>64</v>
      </c>
      <c r="H46" t="s">
        <v>65</v>
      </c>
      <c r="I46" t="s">
        <v>42</v>
      </c>
      <c r="J46" t="s">
        <v>43</v>
      </c>
      <c r="K46" t="s">
        <v>31</v>
      </c>
      <c r="L46" t="s">
        <v>32</v>
      </c>
      <c r="M46" t="s">
        <v>33</v>
      </c>
      <c r="N46" t="s">
        <v>315</v>
      </c>
      <c r="O46" t="s">
        <v>67</v>
      </c>
      <c r="P46" t="s">
        <v>252</v>
      </c>
      <c r="Q46" t="s">
        <v>316</v>
      </c>
      <c r="R46">
        <v>2037</v>
      </c>
      <c r="S46">
        <v>3</v>
      </c>
      <c r="T46">
        <v>0</v>
      </c>
      <c r="U46" s="34" t="str">
        <f t="shared" si="2"/>
        <v>No Discount</v>
      </c>
      <c r="V46">
        <v>503.67</v>
      </c>
      <c r="W46" s="29">
        <f t="shared" si="3"/>
        <v>0.247260677466863</v>
      </c>
      <c r="X46">
        <v>18.59</v>
      </c>
      <c r="Y46" t="s">
        <v>137</v>
      </c>
      <c r="Z46" s="34" t="str">
        <f t="shared" si="5"/>
        <v>Large</v>
      </c>
    </row>
    <row r="47" spans="1:26">
      <c r="A47" t="s">
        <v>317</v>
      </c>
      <c r="B47" s="44">
        <v>44818</v>
      </c>
      <c r="C47" s="34">
        <f t="shared" si="4"/>
        <v>2022</v>
      </c>
      <c r="D47" s="34">
        <f t="shared" si="0"/>
        <v>9</v>
      </c>
      <c r="E47" s="34" t="str">
        <f t="shared" si="1"/>
        <v>September</v>
      </c>
      <c r="F47" s="44">
        <v>44824</v>
      </c>
      <c r="G47" t="s">
        <v>318</v>
      </c>
      <c r="H47" t="s">
        <v>319</v>
      </c>
      <c r="I47" t="s">
        <v>42</v>
      </c>
      <c r="J47" t="s">
        <v>30</v>
      </c>
      <c r="K47" t="s">
        <v>320</v>
      </c>
      <c r="L47" t="s">
        <v>181</v>
      </c>
      <c r="M47" t="s">
        <v>46</v>
      </c>
      <c r="N47" t="s">
        <v>321</v>
      </c>
      <c r="O47" t="s">
        <v>48</v>
      </c>
      <c r="P47" t="s">
        <v>190</v>
      </c>
      <c r="Q47" t="s">
        <v>322</v>
      </c>
      <c r="R47">
        <v>82.6</v>
      </c>
      <c r="S47">
        <v>2</v>
      </c>
      <c r="T47">
        <v>0.3</v>
      </c>
      <c r="U47" s="34" t="str">
        <f t="shared" si="2"/>
        <v>High</v>
      </c>
      <c r="V47">
        <v>-19.28</v>
      </c>
      <c r="W47" s="29">
        <f t="shared" si="3"/>
        <v>-0.233414043583535</v>
      </c>
      <c r="X47">
        <v>42.24</v>
      </c>
      <c r="Y47" t="s">
        <v>38</v>
      </c>
      <c r="Z47" s="34" t="str">
        <f t="shared" si="5"/>
        <v>Small</v>
      </c>
    </row>
    <row r="48" spans="1:26">
      <c r="A48" t="s">
        <v>323</v>
      </c>
      <c r="B48" s="44">
        <v>45291</v>
      </c>
      <c r="C48" s="34">
        <f t="shared" si="4"/>
        <v>2023</v>
      </c>
      <c r="D48" s="34">
        <f t="shared" si="0"/>
        <v>12</v>
      </c>
      <c r="E48" s="34" t="str">
        <f t="shared" si="1"/>
        <v>December</v>
      </c>
      <c r="F48" s="44">
        <v>45295</v>
      </c>
      <c r="G48" t="s">
        <v>324</v>
      </c>
      <c r="H48" t="s">
        <v>325</v>
      </c>
      <c r="I48" t="s">
        <v>55</v>
      </c>
      <c r="J48" t="s">
        <v>43</v>
      </c>
      <c r="K48" t="s">
        <v>326</v>
      </c>
      <c r="L48" t="s">
        <v>327</v>
      </c>
      <c r="M48" t="s">
        <v>58</v>
      </c>
      <c r="N48" t="s">
        <v>223</v>
      </c>
      <c r="O48" t="s">
        <v>48</v>
      </c>
      <c r="P48" t="s">
        <v>60</v>
      </c>
      <c r="Q48" t="s">
        <v>224</v>
      </c>
      <c r="R48">
        <v>320.4</v>
      </c>
      <c r="S48">
        <v>4</v>
      </c>
      <c r="T48">
        <v>0.1</v>
      </c>
      <c r="U48" s="34" t="str">
        <f t="shared" si="2"/>
        <v>Low</v>
      </c>
      <c r="V48">
        <v>35.96</v>
      </c>
      <c r="W48" s="29">
        <f t="shared" si="3"/>
        <v>0.112234706616729</v>
      </c>
      <c r="X48">
        <v>8.29</v>
      </c>
      <c r="Y48" t="s">
        <v>80</v>
      </c>
      <c r="Z48" s="34" t="str">
        <f t="shared" si="5"/>
        <v>Small</v>
      </c>
    </row>
    <row r="49" spans="1:26">
      <c r="A49" t="s">
        <v>328</v>
      </c>
      <c r="B49" s="44">
        <v>44030</v>
      </c>
      <c r="C49" s="34">
        <f t="shared" si="4"/>
        <v>2020</v>
      </c>
      <c r="D49" s="34">
        <f t="shared" si="0"/>
        <v>7</v>
      </c>
      <c r="E49" s="34" t="str">
        <f t="shared" si="1"/>
        <v>July</v>
      </c>
      <c r="F49" s="44">
        <v>44037</v>
      </c>
      <c r="G49" t="s">
        <v>329</v>
      </c>
      <c r="H49" t="s">
        <v>330</v>
      </c>
      <c r="I49" t="s">
        <v>29</v>
      </c>
      <c r="J49" t="s">
        <v>43</v>
      </c>
      <c r="K49" t="s">
        <v>331</v>
      </c>
      <c r="L49" t="s">
        <v>332</v>
      </c>
      <c r="M49" t="s">
        <v>58</v>
      </c>
      <c r="N49" t="s">
        <v>333</v>
      </c>
      <c r="O49" t="s">
        <v>48</v>
      </c>
      <c r="P49" t="s">
        <v>190</v>
      </c>
      <c r="Q49" t="s">
        <v>334</v>
      </c>
      <c r="R49">
        <v>850.5</v>
      </c>
      <c r="S49">
        <v>5</v>
      </c>
      <c r="T49">
        <v>0.1</v>
      </c>
      <c r="U49" s="34" t="str">
        <f t="shared" si="2"/>
        <v>Low</v>
      </c>
      <c r="V49">
        <v>172.34</v>
      </c>
      <c r="W49" s="29">
        <f t="shared" si="3"/>
        <v>0.202633744855967</v>
      </c>
      <c r="X49">
        <v>49.25</v>
      </c>
      <c r="Y49" t="s">
        <v>80</v>
      </c>
      <c r="Z49" s="34" t="str">
        <f t="shared" si="5"/>
        <v>Medium</v>
      </c>
    </row>
    <row r="50" spans="1:26">
      <c r="A50" t="s">
        <v>335</v>
      </c>
      <c r="B50" s="44">
        <v>45209</v>
      </c>
      <c r="C50" s="34">
        <f t="shared" si="4"/>
        <v>2023</v>
      </c>
      <c r="D50" s="34">
        <f t="shared" si="0"/>
        <v>10</v>
      </c>
      <c r="E50" s="34" t="str">
        <f t="shared" si="1"/>
        <v>October</v>
      </c>
      <c r="F50" s="44">
        <v>45213</v>
      </c>
      <c r="G50" t="s">
        <v>336</v>
      </c>
      <c r="H50" t="s">
        <v>337</v>
      </c>
      <c r="I50" t="s">
        <v>55</v>
      </c>
      <c r="J50" t="s">
        <v>43</v>
      </c>
      <c r="K50" t="s">
        <v>153</v>
      </c>
      <c r="L50" t="s">
        <v>338</v>
      </c>
      <c r="M50" t="s">
        <v>58</v>
      </c>
      <c r="N50" t="s">
        <v>339</v>
      </c>
      <c r="O50" t="s">
        <v>35</v>
      </c>
      <c r="P50" t="s">
        <v>78</v>
      </c>
      <c r="Q50" t="s">
        <v>340</v>
      </c>
      <c r="R50">
        <v>412.2</v>
      </c>
      <c r="S50">
        <v>2</v>
      </c>
      <c r="T50">
        <v>0.1</v>
      </c>
      <c r="U50" s="34" t="str">
        <f t="shared" si="2"/>
        <v>Low</v>
      </c>
      <c r="V50">
        <v>77.67</v>
      </c>
      <c r="W50" s="29">
        <f t="shared" si="3"/>
        <v>0.188427947598253</v>
      </c>
      <c r="X50">
        <v>15.89</v>
      </c>
      <c r="Y50" t="s">
        <v>38</v>
      </c>
      <c r="Z50" s="34" t="str">
        <f t="shared" si="5"/>
        <v>Small</v>
      </c>
    </row>
    <row r="51" spans="1:26">
      <c r="A51" t="s">
        <v>341</v>
      </c>
      <c r="B51" s="44">
        <v>45408</v>
      </c>
      <c r="C51" s="34">
        <f t="shared" si="4"/>
        <v>2024</v>
      </c>
      <c r="D51" s="34">
        <f t="shared" si="0"/>
        <v>4</v>
      </c>
      <c r="E51" s="34" t="str">
        <f t="shared" si="1"/>
        <v>April</v>
      </c>
      <c r="F51" s="44">
        <v>45413</v>
      </c>
      <c r="G51" t="s">
        <v>342</v>
      </c>
      <c r="H51" t="s">
        <v>343</v>
      </c>
      <c r="I51" t="s">
        <v>55</v>
      </c>
      <c r="J51" t="s">
        <v>43</v>
      </c>
      <c r="K51" t="s">
        <v>199</v>
      </c>
      <c r="L51" t="s">
        <v>200</v>
      </c>
      <c r="M51" t="s">
        <v>46</v>
      </c>
      <c r="N51" t="s">
        <v>344</v>
      </c>
      <c r="O51" t="s">
        <v>35</v>
      </c>
      <c r="P51" t="s">
        <v>163</v>
      </c>
      <c r="Q51" t="s">
        <v>345</v>
      </c>
      <c r="R51">
        <v>2397</v>
      </c>
      <c r="S51">
        <v>3</v>
      </c>
      <c r="T51">
        <v>0</v>
      </c>
      <c r="U51" s="34" t="str">
        <f t="shared" si="2"/>
        <v>No Discount</v>
      </c>
      <c r="V51">
        <v>274.62</v>
      </c>
      <c r="W51" s="29">
        <f t="shared" si="3"/>
        <v>0.114568210262829</v>
      </c>
      <c r="X51">
        <v>43.4</v>
      </c>
      <c r="Y51" t="s">
        <v>137</v>
      </c>
      <c r="Z51" s="34" t="str">
        <f t="shared" si="5"/>
        <v>Large</v>
      </c>
    </row>
    <row r="52" spans="1:26">
      <c r="A52" t="s">
        <v>346</v>
      </c>
      <c r="B52" s="44">
        <v>44595</v>
      </c>
      <c r="C52" s="34">
        <f t="shared" si="4"/>
        <v>2022</v>
      </c>
      <c r="D52" s="34">
        <f t="shared" si="0"/>
        <v>2</v>
      </c>
      <c r="E52" s="34" t="str">
        <f t="shared" si="1"/>
        <v>February</v>
      </c>
      <c r="F52" s="44">
        <v>44602</v>
      </c>
      <c r="G52" t="s">
        <v>347</v>
      </c>
      <c r="H52" t="s">
        <v>348</v>
      </c>
      <c r="I52" t="s">
        <v>55</v>
      </c>
      <c r="J52" t="s">
        <v>43</v>
      </c>
      <c r="K52" t="s">
        <v>349</v>
      </c>
      <c r="L52" t="s">
        <v>350</v>
      </c>
      <c r="M52" t="s">
        <v>33</v>
      </c>
      <c r="N52" t="s">
        <v>351</v>
      </c>
      <c r="O52" t="s">
        <v>67</v>
      </c>
      <c r="P52" t="s">
        <v>68</v>
      </c>
      <c r="Q52" t="s">
        <v>352</v>
      </c>
      <c r="R52">
        <v>1257.9</v>
      </c>
      <c r="S52">
        <v>3</v>
      </c>
      <c r="T52">
        <v>0.3</v>
      </c>
      <c r="U52" s="34" t="str">
        <f t="shared" si="2"/>
        <v>High</v>
      </c>
      <c r="V52">
        <v>237.41</v>
      </c>
      <c r="W52" s="29">
        <f t="shared" si="3"/>
        <v>0.188735193576596</v>
      </c>
      <c r="X52">
        <v>47.25</v>
      </c>
      <c r="Y52" t="s">
        <v>121</v>
      </c>
      <c r="Z52" s="34" t="str">
        <f t="shared" si="5"/>
        <v>Medium</v>
      </c>
    </row>
    <row r="53" spans="1:26">
      <c r="A53" t="s">
        <v>353</v>
      </c>
      <c r="B53" s="44">
        <v>44918</v>
      </c>
      <c r="C53" s="34">
        <f t="shared" si="4"/>
        <v>2022</v>
      </c>
      <c r="D53" s="34">
        <f t="shared" si="0"/>
        <v>12</v>
      </c>
      <c r="E53" s="34" t="str">
        <f t="shared" si="1"/>
        <v>December</v>
      </c>
      <c r="F53" s="44">
        <v>44920</v>
      </c>
      <c r="G53" t="s">
        <v>354</v>
      </c>
      <c r="H53" t="s">
        <v>355</v>
      </c>
      <c r="I53" t="s">
        <v>29</v>
      </c>
      <c r="J53" t="s">
        <v>43</v>
      </c>
      <c r="K53" t="s">
        <v>213</v>
      </c>
      <c r="L53" t="s">
        <v>356</v>
      </c>
      <c r="M53" t="s">
        <v>33</v>
      </c>
      <c r="N53" t="s">
        <v>357</v>
      </c>
      <c r="O53" t="s">
        <v>48</v>
      </c>
      <c r="P53" t="s">
        <v>49</v>
      </c>
      <c r="Q53" t="s">
        <v>358</v>
      </c>
      <c r="R53">
        <v>248.4</v>
      </c>
      <c r="S53">
        <v>4</v>
      </c>
      <c r="T53">
        <v>0.1</v>
      </c>
      <c r="U53" s="34" t="str">
        <f t="shared" si="2"/>
        <v>Low</v>
      </c>
      <c r="V53">
        <v>17.25</v>
      </c>
      <c r="W53" s="29">
        <f t="shared" si="3"/>
        <v>0.0694444444444444</v>
      </c>
      <c r="X53">
        <v>41.87</v>
      </c>
      <c r="Y53" t="s">
        <v>70</v>
      </c>
      <c r="Z53" s="34" t="str">
        <f t="shared" si="5"/>
        <v>Small</v>
      </c>
    </row>
    <row r="54" spans="1:26">
      <c r="A54" t="s">
        <v>359</v>
      </c>
      <c r="B54" s="44">
        <v>44522</v>
      </c>
      <c r="C54" s="34">
        <f t="shared" si="4"/>
        <v>2021</v>
      </c>
      <c r="D54" s="34">
        <f t="shared" si="0"/>
        <v>11</v>
      </c>
      <c r="E54" s="34" t="str">
        <f t="shared" si="1"/>
        <v>November</v>
      </c>
      <c r="F54" s="44">
        <v>44528</v>
      </c>
      <c r="G54" t="s">
        <v>360</v>
      </c>
      <c r="H54" t="s">
        <v>361</v>
      </c>
      <c r="I54" t="s">
        <v>42</v>
      </c>
      <c r="J54" t="s">
        <v>30</v>
      </c>
      <c r="K54" t="s">
        <v>168</v>
      </c>
      <c r="L54" t="s">
        <v>362</v>
      </c>
      <c r="M54" t="s">
        <v>76</v>
      </c>
      <c r="N54" t="s">
        <v>47</v>
      </c>
      <c r="O54" t="s">
        <v>48</v>
      </c>
      <c r="P54" t="s">
        <v>49</v>
      </c>
      <c r="Q54" t="s">
        <v>50</v>
      </c>
      <c r="R54">
        <v>134.3</v>
      </c>
      <c r="S54">
        <v>2</v>
      </c>
      <c r="T54">
        <v>0.15</v>
      </c>
      <c r="U54" s="34" t="str">
        <f t="shared" si="2"/>
        <v>Medium</v>
      </c>
      <c r="V54">
        <v>11.25</v>
      </c>
      <c r="W54" s="29">
        <f t="shared" si="3"/>
        <v>0.0837676842889054</v>
      </c>
      <c r="X54">
        <v>29.64</v>
      </c>
      <c r="Y54" t="s">
        <v>137</v>
      </c>
      <c r="Z54" s="34" t="str">
        <f t="shared" si="5"/>
        <v>Small</v>
      </c>
    </row>
    <row r="55" spans="1:26">
      <c r="A55" t="s">
        <v>363</v>
      </c>
      <c r="B55" s="44">
        <v>44466</v>
      </c>
      <c r="C55" s="34">
        <f t="shared" si="4"/>
        <v>2021</v>
      </c>
      <c r="D55" s="34">
        <f t="shared" si="0"/>
        <v>9</v>
      </c>
      <c r="E55" s="34" t="str">
        <f t="shared" si="1"/>
        <v>September</v>
      </c>
      <c r="F55" s="44">
        <v>44467</v>
      </c>
      <c r="G55" t="s">
        <v>364</v>
      </c>
      <c r="H55" t="s">
        <v>365</v>
      </c>
      <c r="I55" t="s">
        <v>42</v>
      </c>
      <c r="J55" t="s">
        <v>30</v>
      </c>
      <c r="K55" t="s">
        <v>84</v>
      </c>
      <c r="L55" t="s">
        <v>366</v>
      </c>
      <c r="M55" t="s">
        <v>33</v>
      </c>
      <c r="N55" t="s">
        <v>367</v>
      </c>
      <c r="O55" t="s">
        <v>35</v>
      </c>
      <c r="P55" t="s">
        <v>202</v>
      </c>
      <c r="Q55" t="s">
        <v>368</v>
      </c>
      <c r="R55">
        <v>2156.4</v>
      </c>
      <c r="S55">
        <v>4</v>
      </c>
      <c r="T55">
        <v>0.1</v>
      </c>
      <c r="U55" s="34" t="str">
        <f t="shared" si="2"/>
        <v>Low</v>
      </c>
      <c r="V55">
        <v>427.38</v>
      </c>
      <c r="W55" s="29">
        <f t="shared" si="3"/>
        <v>0.19819143016138</v>
      </c>
      <c r="X55">
        <v>13.01</v>
      </c>
      <c r="Y55" t="s">
        <v>70</v>
      </c>
      <c r="Z55" s="34" t="str">
        <f t="shared" si="5"/>
        <v>Large</v>
      </c>
    </row>
    <row r="56" spans="1:26">
      <c r="A56" t="s">
        <v>369</v>
      </c>
      <c r="B56" s="44">
        <v>44691</v>
      </c>
      <c r="C56" s="34">
        <f t="shared" si="4"/>
        <v>2022</v>
      </c>
      <c r="D56" s="34">
        <f t="shared" si="0"/>
        <v>5</v>
      </c>
      <c r="E56" s="34" t="str">
        <f t="shared" si="1"/>
        <v>May</v>
      </c>
      <c r="F56" s="44">
        <v>44697</v>
      </c>
      <c r="G56" t="s">
        <v>370</v>
      </c>
      <c r="H56" t="s">
        <v>371</v>
      </c>
      <c r="I56" t="s">
        <v>42</v>
      </c>
      <c r="J56" t="s">
        <v>43</v>
      </c>
      <c r="K56" t="s">
        <v>44</v>
      </c>
      <c r="L56" t="s">
        <v>195</v>
      </c>
      <c r="M56" t="s">
        <v>46</v>
      </c>
      <c r="N56" t="s">
        <v>118</v>
      </c>
      <c r="O56" t="s">
        <v>67</v>
      </c>
      <c r="P56" t="s">
        <v>119</v>
      </c>
      <c r="Q56" t="s">
        <v>120</v>
      </c>
      <c r="R56">
        <v>5995</v>
      </c>
      <c r="S56">
        <v>5</v>
      </c>
      <c r="T56">
        <v>0</v>
      </c>
      <c r="U56" s="34" t="str">
        <f t="shared" si="2"/>
        <v>No Discount</v>
      </c>
      <c r="V56">
        <v>1309.29</v>
      </c>
      <c r="W56" s="29">
        <f t="shared" si="3"/>
        <v>0.218396997497915</v>
      </c>
      <c r="X56">
        <v>32.04</v>
      </c>
      <c r="Y56" t="s">
        <v>70</v>
      </c>
      <c r="Z56" s="34" t="str">
        <f t="shared" si="5"/>
        <v>Large</v>
      </c>
    </row>
    <row r="57" spans="1:26">
      <c r="A57" t="s">
        <v>372</v>
      </c>
      <c r="B57" s="44">
        <v>44138</v>
      </c>
      <c r="C57" s="34">
        <f t="shared" si="4"/>
        <v>2020</v>
      </c>
      <c r="D57" s="34">
        <f t="shared" si="0"/>
        <v>11</v>
      </c>
      <c r="E57" s="34" t="str">
        <f t="shared" si="1"/>
        <v>November</v>
      </c>
      <c r="F57" s="44">
        <v>44143</v>
      </c>
      <c r="G57" t="s">
        <v>373</v>
      </c>
      <c r="H57" t="s">
        <v>374</v>
      </c>
      <c r="I57" t="s">
        <v>42</v>
      </c>
      <c r="J57" t="s">
        <v>43</v>
      </c>
      <c r="K57" t="s">
        <v>74</v>
      </c>
      <c r="L57" t="s">
        <v>75</v>
      </c>
      <c r="M57" t="s">
        <v>76</v>
      </c>
      <c r="N57" t="s">
        <v>375</v>
      </c>
      <c r="O57" t="s">
        <v>35</v>
      </c>
      <c r="P57" t="s">
        <v>163</v>
      </c>
      <c r="Q57" t="s">
        <v>376</v>
      </c>
      <c r="R57">
        <v>1298</v>
      </c>
      <c r="S57">
        <v>2</v>
      </c>
      <c r="T57">
        <v>0</v>
      </c>
      <c r="U57" s="34" t="str">
        <f t="shared" si="2"/>
        <v>No Discount</v>
      </c>
      <c r="V57">
        <v>-116.21</v>
      </c>
      <c r="W57" s="29">
        <f t="shared" si="3"/>
        <v>-0.0895300462249615</v>
      </c>
      <c r="X57">
        <v>41.24</v>
      </c>
      <c r="Y57" t="s">
        <v>70</v>
      </c>
      <c r="Z57" s="34" t="str">
        <f t="shared" si="5"/>
        <v>Medium</v>
      </c>
    </row>
    <row r="58" spans="1:26">
      <c r="A58" t="s">
        <v>377</v>
      </c>
      <c r="B58" s="44">
        <v>44118</v>
      </c>
      <c r="C58" s="34">
        <f t="shared" si="4"/>
        <v>2020</v>
      </c>
      <c r="D58" s="34">
        <f t="shared" si="0"/>
        <v>10</v>
      </c>
      <c r="E58" s="34" t="str">
        <f t="shared" si="1"/>
        <v>October</v>
      </c>
      <c r="F58" s="44">
        <v>44125</v>
      </c>
      <c r="G58" t="s">
        <v>378</v>
      </c>
      <c r="H58" t="s">
        <v>379</v>
      </c>
      <c r="I58" t="s">
        <v>55</v>
      </c>
      <c r="J58" t="s">
        <v>30</v>
      </c>
      <c r="K58" t="s">
        <v>380</v>
      </c>
      <c r="L58" t="s">
        <v>381</v>
      </c>
      <c r="M58" t="s">
        <v>58</v>
      </c>
      <c r="N58" t="s">
        <v>382</v>
      </c>
      <c r="O58" t="s">
        <v>67</v>
      </c>
      <c r="P58" t="s">
        <v>119</v>
      </c>
      <c r="Q58" t="s">
        <v>383</v>
      </c>
      <c r="R58">
        <v>4596</v>
      </c>
      <c r="S58">
        <v>4</v>
      </c>
      <c r="T58">
        <v>0</v>
      </c>
      <c r="U58" s="34" t="str">
        <f t="shared" si="2"/>
        <v>No Discount</v>
      </c>
      <c r="V58">
        <v>1006.19</v>
      </c>
      <c r="W58" s="29">
        <f t="shared" si="3"/>
        <v>0.218927328111401</v>
      </c>
      <c r="X58">
        <v>16.44</v>
      </c>
      <c r="Y58" t="s">
        <v>121</v>
      </c>
      <c r="Z58" s="34" t="str">
        <f t="shared" si="5"/>
        <v>Large</v>
      </c>
    </row>
    <row r="59" spans="1:26">
      <c r="A59" t="s">
        <v>384</v>
      </c>
      <c r="B59" s="44">
        <v>44861</v>
      </c>
      <c r="C59" s="34">
        <f t="shared" si="4"/>
        <v>2022</v>
      </c>
      <c r="D59" s="34">
        <f t="shared" si="0"/>
        <v>10</v>
      </c>
      <c r="E59" s="34" t="str">
        <f t="shared" si="1"/>
        <v>October</v>
      </c>
      <c r="F59" s="44">
        <v>44866</v>
      </c>
      <c r="G59" t="s">
        <v>385</v>
      </c>
      <c r="H59" t="s">
        <v>386</v>
      </c>
      <c r="I59" t="s">
        <v>29</v>
      </c>
      <c r="J59" t="s">
        <v>43</v>
      </c>
      <c r="K59" t="s">
        <v>74</v>
      </c>
      <c r="L59" t="s">
        <v>387</v>
      </c>
      <c r="M59" t="s">
        <v>76</v>
      </c>
      <c r="N59" t="s">
        <v>388</v>
      </c>
      <c r="O59" t="s">
        <v>48</v>
      </c>
      <c r="P59" t="s">
        <v>190</v>
      </c>
      <c r="Q59" t="s">
        <v>389</v>
      </c>
      <c r="R59">
        <v>80.1</v>
      </c>
      <c r="S59">
        <v>1</v>
      </c>
      <c r="T59">
        <v>0.1</v>
      </c>
      <c r="U59" s="34" t="str">
        <f t="shared" si="2"/>
        <v>Low</v>
      </c>
      <c r="V59">
        <v>4.62</v>
      </c>
      <c r="W59" s="29">
        <f t="shared" si="3"/>
        <v>0.0576779026217228</v>
      </c>
      <c r="X59">
        <v>43.33</v>
      </c>
      <c r="Y59" t="s">
        <v>121</v>
      </c>
      <c r="Z59" s="34" t="str">
        <f t="shared" si="5"/>
        <v>Small</v>
      </c>
    </row>
    <row r="60" spans="1:26">
      <c r="A60" t="s">
        <v>390</v>
      </c>
      <c r="B60" s="44">
        <v>44957</v>
      </c>
      <c r="C60" s="34">
        <f t="shared" si="4"/>
        <v>2023</v>
      </c>
      <c r="D60" s="34">
        <f t="shared" si="0"/>
        <v>1</v>
      </c>
      <c r="E60" s="34" t="str">
        <f t="shared" si="1"/>
        <v>January</v>
      </c>
      <c r="F60" s="44">
        <v>44961</v>
      </c>
      <c r="G60" t="s">
        <v>391</v>
      </c>
      <c r="H60" t="s">
        <v>392</v>
      </c>
      <c r="I60" t="s">
        <v>42</v>
      </c>
      <c r="J60" t="s">
        <v>43</v>
      </c>
      <c r="K60" t="s">
        <v>320</v>
      </c>
      <c r="L60" t="s">
        <v>181</v>
      </c>
      <c r="M60" t="s">
        <v>46</v>
      </c>
      <c r="N60" t="s">
        <v>118</v>
      </c>
      <c r="O60" t="s">
        <v>67</v>
      </c>
      <c r="P60" t="s">
        <v>119</v>
      </c>
      <c r="Q60" t="s">
        <v>120</v>
      </c>
      <c r="R60">
        <v>5095.75</v>
      </c>
      <c r="S60">
        <v>5</v>
      </c>
      <c r="T60">
        <v>0.15</v>
      </c>
      <c r="U60" s="34" t="str">
        <f t="shared" si="2"/>
        <v>Medium</v>
      </c>
      <c r="V60">
        <v>601.11</v>
      </c>
      <c r="W60" s="29">
        <f t="shared" si="3"/>
        <v>0.117963008389344</v>
      </c>
      <c r="X60">
        <v>34.59</v>
      </c>
      <c r="Y60" t="s">
        <v>62</v>
      </c>
      <c r="Z60" s="34" t="str">
        <f t="shared" si="5"/>
        <v>Large</v>
      </c>
    </row>
    <row r="61" spans="1:26">
      <c r="A61" t="s">
        <v>393</v>
      </c>
      <c r="B61" s="44">
        <v>44778</v>
      </c>
      <c r="C61" s="34">
        <f t="shared" si="4"/>
        <v>2022</v>
      </c>
      <c r="D61" s="34">
        <f t="shared" si="0"/>
        <v>8</v>
      </c>
      <c r="E61" s="34" t="str">
        <f t="shared" si="1"/>
        <v>August</v>
      </c>
      <c r="F61" s="44">
        <v>44780</v>
      </c>
      <c r="G61" t="s">
        <v>394</v>
      </c>
      <c r="H61" t="s">
        <v>395</v>
      </c>
      <c r="I61" t="s">
        <v>29</v>
      </c>
      <c r="J61" t="s">
        <v>30</v>
      </c>
      <c r="K61" t="s">
        <v>199</v>
      </c>
      <c r="L61" t="s">
        <v>396</v>
      </c>
      <c r="M61" t="s">
        <v>46</v>
      </c>
      <c r="N61" t="s">
        <v>397</v>
      </c>
      <c r="O61" t="s">
        <v>48</v>
      </c>
      <c r="P61" t="s">
        <v>128</v>
      </c>
      <c r="Q61" t="s">
        <v>398</v>
      </c>
      <c r="R61">
        <v>75</v>
      </c>
      <c r="S61">
        <v>3</v>
      </c>
      <c r="T61">
        <v>0</v>
      </c>
      <c r="U61" s="34" t="str">
        <f t="shared" si="2"/>
        <v>No Discount</v>
      </c>
      <c r="V61">
        <v>3.78</v>
      </c>
      <c r="W61" s="29">
        <f t="shared" si="3"/>
        <v>0.0504</v>
      </c>
      <c r="X61">
        <v>12.39</v>
      </c>
      <c r="Y61" t="s">
        <v>80</v>
      </c>
      <c r="Z61" s="34" t="str">
        <f t="shared" si="5"/>
        <v>Small</v>
      </c>
    </row>
    <row r="62" spans="1:26">
      <c r="A62" t="s">
        <v>399</v>
      </c>
      <c r="B62" s="44">
        <v>45592</v>
      </c>
      <c r="C62" s="34">
        <f t="shared" si="4"/>
        <v>2024</v>
      </c>
      <c r="D62" s="34">
        <f t="shared" si="0"/>
        <v>10</v>
      </c>
      <c r="E62" s="34" t="str">
        <f t="shared" si="1"/>
        <v>October</v>
      </c>
      <c r="F62" s="44">
        <v>45596</v>
      </c>
      <c r="G62" t="s">
        <v>98</v>
      </c>
      <c r="H62" t="s">
        <v>99</v>
      </c>
      <c r="I62" t="s">
        <v>55</v>
      </c>
      <c r="J62" t="s">
        <v>43</v>
      </c>
      <c r="K62" t="s">
        <v>100</v>
      </c>
      <c r="L62" t="s">
        <v>101</v>
      </c>
      <c r="M62" t="s">
        <v>33</v>
      </c>
      <c r="N62" t="s">
        <v>400</v>
      </c>
      <c r="O62" t="s">
        <v>67</v>
      </c>
      <c r="P62" t="s">
        <v>87</v>
      </c>
      <c r="Q62" t="s">
        <v>401</v>
      </c>
      <c r="R62">
        <v>523.5</v>
      </c>
      <c r="S62">
        <v>2</v>
      </c>
      <c r="T62">
        <v>0.25</v>
      </c>
      <c r="U62" s="34" t="str">
        <f t="shared" si="2"/>
        <v>High</v>
      </c>
      <c r="V62">
        <v>-44.34</v>
      </c>
      <c r="W62" s="29">
        <f t="shared" si="3"/>
        <v>-0.0846991404011461</v>
      </c>
      <c r="X62">
        <v>8.19</v>
      </c>
      <c r="Y62" t="s">
        <v>137</v>
      </c>
      <c r="Z62" s="34" t="str">
        <f t="shared" si="5"/>
        <v>Medium</v>
      </c>
    </row>
    <row r="63" spans="1:26">
      <c r="A63" t="s">
        <v>402</v>
      </c>
      <c r="B63" s="44">
        <v>44668</v>
      </c>
      <c r="C63" s="34">
        <f t="shared" si="4"/>
        <v>2022</v>
      </c>
      <c r="D63" s="34">
        <f t="shared" si="0"/>
        <v>4</v>
      </c>
      <c r="E63" s="34" t="str">
        <f t="shared" si="1"/>
        <v>April</v>
      </c>
      <c r="F63" s="44">
        <v>44674</v>
      </c>
      <c r="G63" t="s">
        <v>403</v>
      </c>
      <c r="H63" t="s">
        <v>404</v>
      </c>
      <c r="I63" t="s">
        <v>29</v>
      </c>
      <c r="J63" t="s">
        <v>43</v>
      </c>
      <c r="K63" t="s">
        <v>187</v>
      </c>
      <c r="L63" t="s">
        <v>188</v>
      </c>
      <c r="M63" t="s">
        <v>33</v>
      </c>
      <c r="N63" t="s">
        <v>102</v>
      </c>
      <c r="O63" t="s">
        <v>67</v>
      </c>
      <c r="P63" t="s">
        <v>103</v>
      </c>
      <c r="Q63" t="s">
        <v>104</v>
      </c>
      <c r="R63">
        <v>1276.8</v>
      </c>
      <c r="S63">
        <v>4</v>
      </c>
      <c r="T63">
        <v>0.2</v>
      </c>
      <c r="U63" s="34" t="str">
        <f t="shared" si="2"/>
        <v>Medium</v>
      </c>
      <c r="V63">
        <v>116.59</v>
      </c>
      <c r="W63" s="29">
        <f t="shared" si="3"/>
        <v>0.0913142230576441</v>
      </c>
      <c r="X63">
        <v>36.96</v>
      </c>
      <c r="Y63" t="s">
        <v>62</v>
      </c>
      <c r="Z63" s="34" t="str">
        <f t="shared" si="5"/>
        <v>Medium</v>
      </c>
    </row>
    <row r="64" spans="1:26">
      <c r="A64" t="s">
        <v>405</v>
      </c>
      <c r="B64" s="44">
        <v>44231</v>
      </c>
      <c r="C64" s="34">
        <f t="shared" si="4"/>
        <v>2021</v>
      </c>
      <c r="D64" s="34">
        <f t="shared" si="0"/>
        <v>2</v>
      </c>
      <c r="E64" s="34" t="str">
        <f t="shared" si="1"/>
        <v>February</v>
      </c>
      <c r="F64" s="44">
        <v>44238</v>
      </c>
      <c r="G64" t="s">
        <v>406</v>
      </c>
      <c r="H64" t="s">
        <v>407</v>
      </c>
      <c r="I64" t="s">
        <v>55</v>
      </c>
      <c r="J64" t="s">
        <v>43</v>
      </c>
      <c r="K64" t="s">
        <v>213</v>
      </c>
      <c r="L64" t="s">
        <v>408</v>
      </c>
      <c r="M64" t="s">
        <v>33</v>
      </c>
      <c r="N64" t="s">
        <v>409</v>
      </c>
      <c r="O64" t="s">
        <v>48</v>
      </c>
      <c r="P64" t="s">
        <v>60</v>
      </c>
      <c r="Q64" t="s">
        <v>410</v>
      </c>
      <c r="R64">
        <v>156</v>
      </c>
      <c r="S64">
        <v>4</v>
      </c>
      <c r="T64">
        <v>0</v>
      </c>
      <c r="U64" s="34" t="str">
        <f t="shared" si="2"/>
        <v>No Discount</v>
      </c>
      <c r="V64">
        <v>9.37</v>
      </c>
      <c r="W64" s="29">
        <f t="shared" si="3"/>
        <v>0.0600641025641026</v>
      </c>
      <c r="X64">
        <v>20.78</v>
      </c>
      <c r="Y64" t="s">
        <v>38</v>
      </c>
      <c r="Z64" s="34" t="str">
        <f t="shared" si="5"/>
        <v>Small</v>
      </c>
    </row>
    <row r="65" spans="1:26">
      <c r="A65" t="s">
        <v>411</v>
      </c>
      <c r="B65" s="44">
        <v>44310</v>
      </c>
      <c r="C65" s="34">
        <f t="shared" si="4"/>
        <v>2021</v>
      </c>
      <c r="D65" s="34">
        <f t="shared" si="0"/>
        <v>4</v>
      </c>
      <c r="E65" s="34" t="str">
        <f t="shared" si="1"/>
        <v>April</v>
      </c>
      <c r="F65" s="44">
        <v>44317</v>
      </c>
      <c r="G65" t="s">
        <v>412</v>
      </c>
      <c r="H65" t="s">
        <v>413</v>
      </c>
      <c r="I65" t="s">
        <v>55</v>
      </c>
      <c r="J65" t="s">
        <v>30</v>
      </c>
      <c r="K65" t="s">
        <v>284</v>
      </c>
      <c r="L65" t="s">
        <v>414</v>
      </c>
      <c r="M65" t="s">
        <v>76</v>
      </c>
      <c r="N65" t="s">
        <v>415</v>
      </c>
      <c r="O65" t="s">
        <v>67</v>
      </c>
      <c r="P65" t="s">
        <v>252</v>
      </c>
      <c r="Q65" t="s">
        <v>416</v>
      </c>
      <c r="R65">
        <v>1695.75</v>
      </c>
      <c r="S65">
        <v>5</v>
      </c>
      <c r="T65">
        <v>0.15</v>
      </c>
      <c r="U65" s="34" t="str">
        <f t="shared" si="2"/>
        <v>Medium</v>
      </c>
      <c r="V65">
        <v>-94.08</v>
      </c>
      <c r="W65" s="29">
        <f t="shared" si="3"/>
        <v>-0.0554798761609907</v>
      </c>
      <c r="X65">
        <v>30.99</v>
      </c>
      <c r="Y65" t="s">
        <v>121</v>
      </c>
      <c r="Z65" s="34" t="str">
        <f t="shared" si="5"/>
        <v>Medium</v>
      </c>
    </row>
    <row r="66" spans="1:26">
      <c r="A66" t="s">
        <v>417</v>
      </c>
      <c r="B66" s="44">
        <v>45093</v>
      </c>
      <c r="C66" s="34">
        <f t="shared" ref="C66:C129" si="7">YEAR(B66)</f>
        <v>2023</v>
      </c>
      <c r="D66" s="34">
        <f t="shared" ref="D66:D129" si="8">MONTH(B66)</f>
        <v>6</v>
      </c>
      <c r="E66" s="34" t="str">
        <f t="shared" ref="E66:E129" si="9">TEXT(B66,"mmmm")</f>
        <v>June</v>
      </c>
      <c r="F66" s="44">
        <v>45096</v>
      </c>
      <c r="G66" t="s">
        <v>418</v>
      </c>
      <c r="H66" t="s">
        <v>419</v>
      </c>
      <c r="I66" t="s">
        <v>42</v>
      </c>
      <c r="J66" t="s">
        <v>43</v>
      </c>
      <c r="K66" t="s">
        <v>100</v>
      </c>
      <c r="L66" t="s">
        <v>420</v>
      </c>
      <c r="M66" t="s">
        <v>33</v>
      </c>
      <c r="N66" t="s">
        <v>421</v>
      </c>
      <c r="O66" t="s">
        <v>67</v>
      </c>
      <c r="P66" t="s">
        <v>252</v>
      </c>
      <c r="Q66" t="s">
        <v>422</v>
      </c>
      <c r="R66">
        <v>2182.8</v>
      </c>
      <c r="S66">
        <v>3</v>
      </c>
      <c r="T66">
        <v>0.15</v>
      </c>
      <c r="U66" s="34" t="str">
        <f t="shared" ref="U66:U129" si="10">IF(T66=0,"No Discount",IF(T66&lt;=0.1,"Low",IF(T66&lt;=0.2,"Medium","High")))</f>
        <v>Medium</v>
      </c>
      <c r="V66">
        <v>249.4</v>
      </c>
      <c r="W66" s="29">
        <f t="shared" ref="W66:W129" si="11">V66/R66</f>
        <v>0.114256917720359</v>
      </c>
      <c r="X66">
        <v>41.78</v>
      </c>
      <c r="Y66" t="s">
        <v>137</v>
      </c>
      <c r="Z66" s="34" t="str">
        <f t="shared" ref="Z66:Z129" si="12">IF(R66&lt;500,"Small",IF(R66&lt;=2000,"Medium","Large"))</f>
        <v>Large</v>
      </c>
    </row>
    <row r="67" spans="1:26">
      <c r="A67" t="s">
        <v>423</v>
      </c>
      <c r="B67" s="44">
        <v>44377</v>
      </c>
      <c r="C67" s="34">
        <f t="shared" si="7"/>
        <v>2021</v>
      </c>
      <c r="D67" s="34">
        <f t="shared" si="8"/>
        <v>6</v>
      </c>
      <c r="E67" s="34" t="str">
        <f t="shared" si="9"/>
        <v>June</v>
      </c>
      <c r="F67" s="44">
        <v>44378</v>
      </c>
      <c r="G67" t="s">
        <v>360</v>
      </c>
      <c r="H67" t="s">
        <v>361</v>
      </c>
      <c r="I67" t="s">
        <v>42</v>
      </c>
      <c r="J67" t="s">
        <v>30</v>
      </c>
      <c r="K67" t="s">
        <v>168</v>
      </c>
      <c r="L67" t="s">
        <v>362</v>
      </c>
      <c r="M67" t="s">
        <v>76</v>
      </c>
      <c r="N67" t="s">
        <v>424</v>
      </c>
      <c r="O67" t="s">
        <v>67</v>
      </c>
      <c r="P67" t="s">
        <v>103</v>
      </c>
      <c r="Q67" t="s">
        <v>425</v>
      </c>
      <c r="R67">
        <v>1817.2</v>
      </c>
      <c r="S67">
        <v>4</v>
      </c>
      <c r="T67">
        <v>0.3</v>
      </c>
      <c r="U67" s="34" t="str">
        <f t="shared" si="10"/>
        <v>High</v>
      </c>
      <c r="V67">
        <v>446.69</v>
      </c>
      <c r="W67" s="29">
        <f t="shared" si="11"/>
        <v>0.245812238608849</v>
      </c>
      <c r="X67">
        <v>25.37</v>
      </c>
      <c r="Y67" t="s">
        <v>137</v>
      </c>
      <c r="Z67" s="34" t="str">
        <f t="shared" si="12"/>
        <v>Medium</v>
      </c>
    </row>
    <row r="68" spans="1:26">
      <c r="A68" t="s">
        <v>426</v>
      </c>
      <c r="B68" s="44">
        <v>43941</v>
      </c>
      <c r="C68" s="34">
        <f t="shared" si="7"/>
        <v>2020</v>
      </c>
      <c r="D68" s="34">
        <f t="shared" si="8"/>
        <v>4</v>
      </c>
      <c r="E68" s="34" t="str">
        <f t="shared" si="9"/>
        <v>April</v>
      </c>
      <c r="F68" s="44">
        <v>43947</v>
      </c>
      <c r="G68" t="s">
        <v>40</v>
      </c>
      <c r="H68" t="s">
        <v>41</v>
      </c>
      <c r="I68" t="s">
        <v>42</v>
      </c>
      <c r="J68" t="s">
        <v>43</v>
      </c>
      <c r="K68" t="s">
        <v>44</v>
      </c>
      <c r="L68" t="s">
        <v>246</v>
      </c>
      <c r="M68" t="s">
        <v>46</v>
      </c>
      <c r="N68" t="s">
        <v>155</v>
      </c>
      <c r="O68" t="s">
        <v>67</v>
      </c>
      <c r="P68" t="s">
        <v>119</v>
      </c>
      <c r="Q68" t="s">
        <v>156</v>
      </c>
      <c r="R68">
        <v>1613.1</v>
      </c>
      <c r="S68">
        <v>2</v>
      </c>
      <c r="T68">
        <v>0.05</v>
      </c>
      <c r="U68" s="34" t="str">
        <f t="shared" si="10"/>
        <v>Low</v>
      </c>
      <c r="V68">
        <v>-138.76</v>
      </c>
      <c r="W68" s="29">
        <f t="shared" si="11"/>
        <v>-0.0860207054739322</v>
      </c>
      <c r="X68">
        <v>32.36</v>
      </c>
      <c r="Y68" t="s">
        <v>70</v>
      </c>
      <c r="Z68" s="34" t="str">
        <f t="shared" si="12"/>
        <v>Medium</v>
      </c>
    </row>
    <row r="69" spans="1:26">
      <c r="A69" t="s">
        <v>427</v>
      </c>
      <c r="B69" s="44">
        <v>44676</v>
      </c>
      <c r="C69" s="34">
        <f t="shared" si="7"/>
        <v>2022</v>
      </c>
      <c r="D69" s="34">
        <f t="shared" si="8"/>
        <v>4</v>
      </c>
      <c r="E69" s="34" t="str">
        <f t="shared" si="9"/>
        <v>April</v>
      </c>
      <c r="F69" s="44">
        <v>44679</v>
      </c>
      <c r="G69" t="s">
        <v>428</v>
      </c>
      <c r="H69" t="s">
        <v>429</v>
      </c>
      <c r="I69" t="s">
        <v>29</v>
      </c>
      <c r="J69" t="s">
        <v>30</v>
      </c>
      <c r="K69" t="s">
        <v>380</v>
      </c>
      <c r="L69" t="s">
        <v>381</v>
      </c>
      <c r="M69" t="s">
        <v>58</v>
      </c>
      <c r="N69" t="s">
        <v>430</v>
      </c>
      <c r="O69" t="s">
        <v>67</v>
      </c>
      <c r="P69" t="s">
        <v>87</v>
      </c>
      <c r="Q69" t="s">
        <v>431</v>
      </c>
      <c r="R69">
        <v>429.6</v>
      </c>
      <c r="S69">
        <v>3</v>
      </c>
      <c r="T69">
        <v>0.2</v>
      </c>
      <c r="U69" s="34" t="str">
        <f t="shared" si="10"/>
        <v>Medium</v>
      </c>
      <c r="V69">
        <v>63.12</v>
      </c>
      <c r="W69" s="29">
        <f t="shared" si="11"/>
        <v>0.146927374301676</v>
      </c>
      <c r="X69">
        <v>47.37</v>
      </c>
      <c r="Y69" t="s">
        <v>80</v>
      </c>
      <c r="Z69" s="34" t="str">
        <f t="shared" si="12"/>
        <v>Small</v>
      </c>
    </row>
    <row r="70" spans="1:26">
      <c r="A70" t="s">
        <v>432</v>
      </c>
      <c r="B70" s="44">
        <v>44475</v>
      </c>
      <c r="C70" s="34">
        <f t="shared" si="7"/>
        <v>2021</v>
      </c>
      <c r="D70" s="34">
        <f t="shared" si="8"/>
        <v>10</v>
      </c>
      <c r="E70" s="34" t="str">
        <f t="shared" si="9"/>
        <v>October</v>
      </c>
      <c r="F70" s="44">
        <v>44482</v>
      </c>
      <c r="G70" t="s">
        <v>433</v>
      </c>
      <c r="H70" t="s">
        <v>434</v>
      </c>
      <c r="I70" t="s">
        <v>42</v>
      </c>
      <c r="J70" t="s">
        <v>43</v>
      </c>
      <c r="K70" t="s">
        <v>257</v>
      </c>
      <c r="L70" t="s">
        <v>258</v>
      </c>
      <c r="M70" t="s">
        <v>76</v>
      </c>
      <c r="N70" t="s">
        <v>367</v>
      </c>
      <c r="O70" t="s">
        <v>35</v>
      </c>
      <c r="P70" t="s">
        <v>202</v>
      </c>
      <c r="Q70" t="s">
        <v>368</v>
      </c>
      <c r="R70">
        <v>2396</v>
      </c>
      <c r="S70">
        <v>4</v>
      </c>
      <c r="T70">
        <v>0</v>
      </c>
      <c r="U70" s="34" t="str">
        <f t="shared" si="10"/>
        <v>No Discount</v>
      </c>
      <c r="V70">
        <v>346.21</v>
      </c>
      <c r="W70" s="29">
        <f t="shared" si="11"/>
        <v>0.144494991652755</v>
      </c>
      <c r="X70">
        <v>43.95</v>
      </c>
      <c r="Y70" t="s">
        <v>62</v>
      </c>
      <c r="Z70" s="34" t="str">
        <f t="shared" si="12"/>
        <v>Large</v>
      </c>
    </row>
    <row r="71" spans="1:26">
      <c r="A71" t="s">
        <v>435</v>
      </c>
      <c r="B71" s="44">
        <v>44045</v>
      </c>
      <c r="C71" s="34">
        <f t="shared" si="7"/>
        <v>2020</v>
      </c>
      <c r="D71" s="34">
        <f t="shared" si="8"/>
        <v>8</v>
      </c>
      <c r="E71" s="34" t="str">
        <f t="shared" si="9"/>
        <v>August</v>
      </c>
      <c r="F71" s="44">
        <v>44048</v>
      </c>
      <c r="G71" t="s">
        <v>436</v>
      </c>
      <c r="H71" t="s">
        <v>437</v>
      </c>
      <c r="I71" t="s">
        <v>55</v>
      </c>
      <c r="J71" t="s">
        <v>43</v>
      </c>
      <c r="K71" t="s">
        <v>438</v>
      </c>
      <c r="L71" t="s">
        <v>439</v>
      </c>
      <c r="M71" t="s">
        <v>76</v>
      </c>
      <c r="N71" t="s">
        <v>278</v>
      </c>
      <c r="O71" t="s">
        <v>35</v>
      </c>
      <c r="P71" t="s">
        <v>202</v>
      </c>
      <c r="Q71" t="s">
        <v>279</v>
      </c>
      <c r="R71">
        <v>1258.6</v>
      </c>
      <c r="S71">
        <v>2</v>
      </c>
      <c r="T71">
        <v>0.3</v>
      </c>
      <c r="U71" s="34" t="str">
        <f t="shared" si="10"/>
        <v>High</v>
      </c>
      <c r="V71">
        <v>-71.37</v>
      </c>
      <c r="W71" s="29">
        <f t="shared" si="11"/>
        <v>-0.0567058636580327</v>
      </c>
      <c r="X71">
        <v>28.13</v>
      </c>
      <c r="Y71" t="s">
        <v>96</v>
      </c>
      <c r="Z71" s="34" t="str">
        <f t="shared" si="12"/>
        <v>Medium</v>
      </c>
    </row>
    <row r="72" spans="1:26">
      <c r="A72" t="s">
        <v>440</v>
      </c>
      <c r="B72" s="44">
        <v>44684</v>
      </c>
      <c r="C72" s="34">
        <f t="shared" si="7"/>
        <v>2022</v>
      </c>
      <c r="D72" s="34">
        <f t="shared" si="8"/>
        <v>5</v>
      </c>
      <c r="E72" s="34" t="str">
        <f t="shared" si="9"/>
        <v>May</v>
      </c>
      <c r="F72" s="44">
        <v>44686</v>
      </c>
      <c r="G72" t="s">
        <v>289</v>
      </c>
      <c r="H72" t="s">
        <v>290</v>
      </c>
      <c r="I72" t="s">
        <v>29</v>
      </c>
      <c r="J72" t="s">
        <v>43</v>
      </c>
      <c r="K72" t="s">
        <v>180</v>
      </c>
      <c r="L72" t="s">
        <v>291</v>
      </c>
      <c r="M72" t="s">
        <v>46</v>
      </c>
      <c r="N72" t="s">
        <v>441</v>
      </c>
      <c r="O72" t="s">
        <v>67</v>
      </c>
      <c r="P72" t="s">
        <v>68</v>
      </c>
      <c r="Q72" t="s">
        <v>442</v>
      </c>
      <c r="R72">
        <v>1618.2</v>
      </c>
      <c r="S72">
        <v>2</v>
      </c>
      <c r="T72">
        <v>0.1</v>
      </c>
      <c r="U72" s="34" t="str">
        <f t="shared" si="10"/>
        <v>Low</v>
      </c>
      <c r="V72">
        <v>184.43</v>
      </c>
      <c r="W72" s="29">
        <f t="shared" si="11"/>
        <v>0.11397231491781</v>
      </c>
      <c r="X72">
        <v>32.5</v>
      </c>
      <c r="Y72" t="s">
        <v>51</v>
      </c>
      <c r="Z72" s="34" t="str">
        <f t="shared" si="12"/>
        <v>Medium</v>
      </c>
    </row>
    <row r="73" spans="1:26">
      <c r="A73" t="s">
        <v>443</v>
      </c>
      <c r="B73" s="44">
        <v>44969</v>
      </c>
      <c r="C73" s="34">
        <f t="shared" si="7"/>
        <v>2023</v>
      </c>
      <c r="D73" s="34">
        <f t="shared" si="8"/>
        <v>2</v>
      </c>
      <c r="E73" s="34" t="str">
        <f t="shared" si="9"/>
        <v>February</v>
      </c>
      <c r="F73" s="44">
        <v>44973</v>
      </c>
      <c r="G73" t="s">
        <v>444</v>
      </c>
      <c r="H73" t="s">
        <v>445</v>
      </c>
      <c r="I73" t="s">
        <v>42</v>
      </c>
      <c r="J73" t="s">
        <v>43</v>
      </c>
      <c r="K73" t="s">
        <v>213</v>
      </c>
      <c r="L73" t="s">
        <v>356</v>
      </c>
      <c r="M73" t="s">
        <v>33</v>
      </c>
      <c r="N73" t="s">
        <v>223</v>
      </c>
      <c r="O73" t="s">
        <v>48</v>
      </c>
      <c r="P73" t="s">
        <v>60</v>
      </c>
      <c r="Q73" t="s">
        <v>224</v>
      </c>
      <c r="R73">
        <v>142.4</v>
      </c>
      <c r="S73">
        <v>2</v>
      </c>
      <c r="T73">
        <v>0.2</v>
      </c>
      <c r="U73" s="34" t="str">
        <f t="shared" si="10"/>
        <v>Medium</v>
      </c>
      <c r="V73">
        <v>-24.08</v>
      </c>
      <c r="W73" s="29">
        <f t="shared" si="11"/>
        <v>-0.169101123595506</v>
      </c>
      <c r="X73">
        <v>42.28</v>
      </c>
      <c r="Y73" t="s">
        <v>51</v>
      </c>
      <c r="Z73" s="34" t="str">
        <f t="shared" si="12"/>
        <v>Small</v>
      </c>
    </row>
    <row r="74" spans="1:26">
      <c r="A74" t="s">
        <v>446</v>
      </c>
      <c r="B74" s="44">
        <v>44041</v>
      </c>
      <c r="C74" s="34">
        <f t="shared" si="7"/>
        <v>2020</v>
      </c>
      <c r="D74" s="34">
        <f t="shared" si="8"/>
        <v>7</v>
      </c>
      <c r="E74" s="34" t="str">
        <f t="shared" si="9"/>
        <v>July</v>
      </c>
      <c r="F74" s="44">
        <v>44042</v>
      </c>
      <c r="G74" t="s">
        <v>447</v>
      </c>
      <c r="H74" t="s">
        <v>448</v>
      </c>
      <c r="I74" t="s">
        <v>55</v>
      </c>
      <c r="J74" t="s">
        <v>43</v>
      </c>
      <c r="K74" t="s">
        <v>331</v>
      </c>
      <c r="L74" t="s">
        <v>332</v>
      </c>
      <c r="M74" t="s">
        <v>58</v>
      </c>
      <c r="N74" t="s">
        <v>382</v>
      </c>
      <c r="O74" t="s">
        <v>67</v>
      </c>
      <c r="P74" t="s">
        <v>119</v>
      </c>
      <c r="Q74" t="s">
        <v>383</v>
      </c>
      <c r="R74">
        <v>861.75</v>
      </c>
      <c r="S74">
        <v>1</v>
      </c>
      <c r="T74">
        <v>0.25</v>
      </c>
      <c r="U74" s="34" t="str">
        <f t="shared" si="10"/>
        <v>High</v>
      </c>
      <c r="V74">
        <v>120.36</v>
      </c>
      <c r="W74" s="29">
        <f t="shared" si="11"/>
        <v>0.139669277632724</v>
      </c>
      <c r="X74">
        <v>29.68</v>
      </c>
      <c r="Y74" t="s">
        <v>38</v>
      </c>
      <c r="Z74" s="34" t="str">
        <f t="shared" si="12"/>
        <v>Medium</v>
      </c>
    </row>
    <row r="75" spans="1:26">
      <c r="A75" t="s">
        <v>449</v>
      </c>
      <c r="B75" s="44">
        <v>43842</v>
      </c>
      <c r="C75" s="34">
        <f t="shared" si="7"/>
        <v>2020</v>
      </c>
      <c r="D75" s="34">
        <f t="shared" si="8"/>
        <v>1</v>
      </c>
      <c r="E75" s="34" t="str">
        <f t="shared" si="9"/>
        <v>January</v>
      </c>
      <c r="F75" s="44">
        <v>43847</v>
      </c>
      <c r="G75" t="s">
        <v>450</v>
      </c>
      <c r="H75" t="s">
        <v>451</v>
      </c>
      <c r="I75" t="s">
        <v>42</v>
      </c>
      <c r="J75" t="s">
        <v>43</v>
      </c>
      <c r="K75" t="s">
        <v>199</v>
      </c>
      <c r="L75" t="s">
        <v>396</v>
      </c>
      <c r="M75" t="s">
        <v>46</v>
      </c>
      <c r="N75" t="s">
        <v>110</v>
      </c>
      <c r="O75" t="s">
        <v>35</v>
      </c>
      <c r="P75" t="s">
        <v>111</v>
      </c>
      <c r="Q75" t="s">
        <v>112</v>
      </c>
      <c r="R75">
        <v>507.45</v>
      </c>
      <c r="S75">
        <v>3</v>
      </c>
      <c r="T75">
        <v>0.15</v>
      </c>
      <c r="U75" s="34" t="str">
        <f t="shared" si="10"/>
        <v>Medium</v>
      </c>
      <c r="V75">
        <v>-28.14</v>
      </c>
      <c r="W75" s="29">
        <f t="shared" si="11"/>
        <v>-0.0554537392846586</v>
      </c>
      <c r="X75">
        <v>9.23</v>
      </c>
      <c r="Y75" t="s">
        <v>96</v>
      </c>
      <c r="Z75" s="34" t="str">
        <f t="shared" si="12"/>
        <v>Medium</v>
      </c>
    </row>
    <row r="76" spans="1:26">
      <c r="A76" t="s">
        <v>452</v>
      </c>
      <c r="B76" s="44">
        <v>45496</v>
      </c>
      <c r="C76" s="34">
        <f t="shared" si="7"/>
        <v>2024</v>
      </c>
      <c r="D76" s="34">
        <f t="shared" si="8"/>
        <v>7</v>
      </c>
      <c r="E76" s="34" t="str">
        <f t="shared" si="9"/>
        <v>July</v>
      </c>
      <c r="F76" s="44">
        <v>45502</v>
      </c>
      <c r="G76" t="s">
        <v>453</v>
      </c>
      <c r="H76" t="s">
        <v>454</v>
      </c>
      <c r="I76" t="s">
        <v>29</v>
      </c>
      <c r="J76" t="s">
        <v>43</v>
      </c>
      <c r="K76" t="s">
        <v>44</v>
      </c>
      <c r="L76" t="s">
        <v>45</v>
      </c>
      <c r="M76" t="s">
        <v>46</v>
      </c>
      <c r="N76" t="s">
        <v>235</v>
      </c>
      <c r="O76" t="s">
        <v>35</v>
      </c>
      <c r="P76" t="s">
        <v>78</v>
      </c>
      <c r="Q76" t="s">
        <v>236</v>
      </c>
      <c r="R76">
        <v>2196</v>
      </c>
      <c r="S76">
        <v>4</v>
      </c>
      <c r="T76">
        <v>0</v>
      </c>
      <c r="U76" s="34" t="str">
        <f t="shared" si="10"/>
        <v>No Discount</v>
      </c>
      <c r="V76">
        <v>392.33</v>
      </c>
      <c r="W76" s="29">
        <f t="shared" si="11"/>
        <v>0.17865664845173</v>
      </c>
      <c r="X76">
        <v>9.82</v>
      </c>
      <c r="Y76" t="s">
        <v>51</v>
      </c>
      <c r="Z76" s="34" t="str">
        <f t="shared" si="12"/>
        <v>Large</v>
      </c>
    </row>
    <row r="77" spans="1:26">
      <c r="A77" t="s">
        <v>455</v>
      </c>
      <c r="B77" s="44">
        <v>44006</v>
      </c>
      <c r="C77" s="34">
        <f t="shared" si="7"/>
        <v>2020</v>
      </c>
      <c r="D77" s="34">
        <f t="shared" si="8"/>
        <v>6</v>
      </c>
      <c r="E77" s="34" t="str">
        <f t="shared" si="9"/>
        <v>June</v>
      </c>
      <c r="F77" s="44">
        <v>44007</v>
      </c>
      <c r="G77" t="s">
        <v>336</v>
      </c>
      <c r="H77" t="s">
        <v>337</v>
      </c>
      <c r="I77" t="s">
        <v>55</v>
      </c>
      <c r="J77" t="s">
        <v>43</v>
      </c>
      <c r="K77" t="s">
        <v>153</v>
      </c>
      <c r="L77" t="s">
        <v>338</v>
      </c>
      <c r="M77" t="s">
        <v>58</v>
      </c>
      <c r="N77" t="s">
        <v>275</v>
      </c>
      <c r="O77" t="s">
        <v>67</v>
      </c>
      <c r="P77" t="s">
        <v>103</v>
      </c>
      <c r="Q77" t="s">
        <v>276</v>
      </c>
      <c r="R77">
        <v>599.2</v>
      </c>
      <c r="S77">
        <v>1</v>
      </c>
      <c r="T77">
        <v>0.2</v>
      </c>
      <c r="U77" s="34" t="str">
        <f t="shared" si="10"/>
        <v>Medium</v>
      </c>
      <c r="V77">
        <v>102.13</v>
      </c>
      <c r="W77" s="29">
        <f t="shared" si="11"/>
        <v>0.170443925233645</v>
      </c>
      <c r="X77">
        <v>19.1</v>
      </c>
      <c r="Y77" t="s">
        <v>51</v>
      </c>
      <c r="Z77" s="34" t="str">
        <f t="shared" si="12"/>
        <v>Medium</v>
      </c>
    </row>
    <row r="78" spans="1:26">
      <c r="A78" t="s">
        <v>456</v>
      </c>
      <c r="B78" s="44">
        <v>44021</v>
      </c>
      <c r="C78" s="34">
        <f t="shared" si="7"/>
        <v>2020</v>
      </c>
      <c r="D78" s="34">
        <f t="shared" si="8"/>
        <v>7</v>
      </c>
      <c r="E78" s="34" t="str">
        <f t="shared" si="9"/>
        <v>July</v>
      </c>
      <c r="F78" s="44">
        <v>44028</v>
      </c>
      <c r="G78" t="s">
        <v>457</v>
      </c>
      <c r="H78" t="s">
        <v>458</v>
      </c>
      <c r="I78" t="s">
        <v>29</v>
      </c>
      <c r="J78" t="s">
        <v>43</v>
      </c>
      <c r="K78" t="s">
        <v>153</v>
      </c>
      <c r="L78" t="s">
        <v>207</v>
      </c>
      <c r="M78" t="s">
        <v>58</v>
      </c>
      <c r="N78" t="s">
        <v>459</v>
      </c>
      <c r="O78" t="s">
        <v>48</v>
      </c>
      <c r="P78" t="s">
        <v>128</v>
      </c>
      <c r="Q78" t="s">
        <v>460</v>
      </c>
      <c r="R78">
        <v>73.95</v>
      </c>
      <c r="S78">
        <v>3</v>
      </c>
      <c r="T78">
        <v>0.15</v>
      </c>
      <c r="U78" s="34" t="str">
        <f t="shared" si="10"/>
        <v>Medium</v>
      </c>
      <c r="V78">
        <v>-12.39</v>
      </c>
      <c r="W78" s="29">
        <f t="shared" si="11"/>
        <v>-0.167545638945233</v>
      </c>
      <c r="X78">
        <v>21.59</v>
      </c>
      <c r="Y78" t="s">
        <v>137</v>
      </c>
      <c r="Z78" s="34" t="str">
        <f t="shared" si="12"/>
        <v>Small</v>
      </c>
    </row>
    <row r="79" spans="1:26">
      <c r="A79" t="s">
        <v>461</v>
      </c>
      <c r="B79" s="44">
        <v>44366</v>
      </c>
      <c r="C79" s="34">
        <f t="shared" si="7"/>
        <v>2021</v>
      </c>
      <c r="D79" s="34">
        <f t="shared" si="8"/>
        <v>6</v>
      </c>
      <c r="E79" s="34" t="str">
        <f t="shared" si="9"/>
        <v>June</v>
      </c>
      <c r="F79" s="44">
        <v>44372</v>
      </c>
      <c r="G79" t="s">
        <v>462</v>
      </c>
      <c r="H79" t="s">
        <v>463</v>
      </c>
      <c r="I79" t="s">
        <v>55</v>
      </c>
      <c r="J79" t="s">
        <v>43</v>
      </c>
      <c r="K79" t="s">
        <v>44</v>
      </c>
      <c r="L79" t="s">
        <v>45</v>
      </c>
      <c r="M79" t="s">
        <v>46</v>
      </c>
      <c r="N79" t="s">
        <v>141</v>
      </c>
      <c r="O79" t="s">
        <v>35</v>
      </c>
      <c r="P79" t="s">
        <v>111</v>
      </c>
      <c r="Q79" t="s">
        <v>142</v>
      </c>
      <c r="R79">
        <v>424.65</v>
      </c>
      <c r="S79">
        <v>3</v>
      </c>
      <c r="T79">
        <v>0.05</v>
      </c>
      <c r="U79" s="34" t="str">
        <f t="shared" si="10"/>
        <v>Low</v>
      </c>
      <c r="V79">
        <v>74.1</v>
      </c>
      <c r="W79" s="29">
        <f t="shared" si="11"/>
        <v>0.174496644295302</v>
      </c>
      <c r="X79">
        <v>7.8</v>
      </c>
      <c r="Y79" t="s">
        <v>62</v>
      </c>
      <c r="Z79" s="34" t="str">
        <f t="shared" si="12"/>
        <v>Small</v>
      </c>
    </row>
    <row r="80" spans="1:26">
      <c r="A80" t="s">
        <v>464</v>
      </c>
      <c r="B80" s="44">
        <v>43975</v>
      </c>
      <c r="C80" s="34">
        <f t="shared" si="7"/>
        <v>2020</v>
      </c>
      <c r="D80" s="34">
        <f t="shared" si="8"/>
        <v>5</v>
      </c>
      <c r="E80" s="34" t="str">
        <f t="shared" si="9"/>
        <v>May</v>
      </c>
      <c r="F80" s="44">
        <v>43980</v>
      </c>
      <c r="G80" t="s">
        <v>342</v>
      </c>
      <c r="H80" t="s">
        <v>343</v>
      </c>
      <c r="I80" t="s">
        <v>55</v>
      </c>
      <c r="J80" t="s">
        <v>43</v>
      </c>
      <c r="K80" t="s">
        <v>199</v>
      </c>
      <c r="L80" t="s">
        <v>200</v>
      </c>
      <c r="M80" t="s">
        <v>46</v>
      </c>
      <c r="N80" t="s">
        <v>441</v>
      </c>
      <c r="O80" t="s">
        <v>67</v>
      </c>
      <c r="P80" t="s">
        <v>68</v>
      </c>
      <c r="Q80" t="s">
        <v>442</v>
      </c>
      <c r="R80">
        <v>2022.75</v>
      </c>
      <c r="S80">
        <v>3</v>
      </c>
      <c r="T80">
        <v>0.25</v>
      </c>
      <c r="U80" s="34" t="str">
        <f t="shared" si="10"/>
        <v>High</v>
      </c>
      <c r="V80">
        <v>200.52</v>
      </c>
      <c r="W80" s="29">
        <f t="shared" si="11"/>
        <v>0.0991323692992214</v>
      </c>
      <c r="X80">
        <v>5.84</v>
      </c>
      <c r="Y80" t="s">
        <v>51</v>
      </c>
      <c r="Z80" s="34" t="str">
        <f t="shared" si="12"/>
        <v>Large</v>
      </c>
    </row>
    <row r="81" spans="1:26">
      <c r="A81" t="s">
        <v>465</v>
      </c>
      <c r="B81" s="44">
        <v>45354</v>
      </c>
      <c r="C81" s="34">
        <f t="shared" si="7"/>
        <v>2024</v>
      </c>
      <c r="D81" s="34">
        <f t="shared" si="8"/>
        <v>3</v>
      </c>
      <c r="E81" s="34" t="str">
        <f t="shared" si="9"/>
        <v>March</v>
      </c>
      <c r="F81" s="44">
        <v>45357</v>
      </c>
      <c r="G81" t="s">
        <v>466</v>
      </c>
      <c r="H81" t="s">
        <v>467</v>
      </c>
      <c r="I81" t="s">
        <v>42</v>
      </c>
      <c r="J81" t="s">
        <v>43</v>
      </c>
      <c r="K81" t="s">
        <v>273</v>
      </c>
      <c r="L81" t="s">
        <v>468</v>
      </c>
      <c r="M81" t="s">
        <v>46</v>
      </c>
      <c r="N81" t="s">
        <v>321</v>
      </c>
      <c r="O81" t="s">
        <v>48</v>
      </c>
      <c r="P81" t="s">
        <v>190</v>
      </c>
      <c r="Q81" t="s">
        <v>322</v>
      </c>
      <c r="R81">
        <v>88.5</v>
      </c>
      <c r="S81">
        <v>2</v>
      </c>
      <c r="T81">
        <v>0.25</v>
      </c>
      <c r="U81" s="34" t="str">
        <f t="shared" si="10"/>
        <v>High</v>
      </c>
      <c r="V81">
        <v>-17.13</v>
      </c>
      <c r="W81" s="29">
        <f t="shared" si="11"/>
        <v>-0.193559322033898</v>
      </c>
      <c r="X81">
        <v>42.35</v>
      </c>
      <c r="Y81" t="s">
        <v>121</v>
      </c>
      <c r="Z81" s="34" t="str">
        <f t="shared" si="12"/>
        <v>Small</v>
      </c>
    </row>
    <row r="82" spans="1:26">
      <c r="A82" t="s">
        <v>469</v>
      </c>
      <c r="B82" s="44">
        <v>44639</v>
      </c>
      <c r="C82" s="34">
        <f t="shared" si="7"/>
        <v>2022</v>
      </c>
      <c r="D82" s="34">
        <f t="shared" si="8"/>
        <v>3</v>
      </c>
      <c r="E82" s="34" t="str">
        <f t="shared" si="9"/>
        <v>March</v>
      </c>
      <c r="F82" s="44">
        <v>44643</v>
      </c>
      <c r="G82" t="s">
        <v>470</v>
      </c>
      <c r="H82" t="s">
        <v>471</v>
      </c>
      <c r="I82" t="s">
        <v>29</v>
      </c>
      <c r="J82" t="s">
        <v>43</v>
      </c>
      <c r="K82" t="s">
        <v>472</v>
      </c>
      <c r="L82" t="s">
        <v>473</v>
      </c>
      <c r="M82" t="s">
        <v>58</v>
      </c>
      <c r="N82" t="s">
        <v>474</v>
      </c>
      <c r="O82" t="s">
        <v>35</v>
      </c>
      <c r="P82" t="s">
        <v>78</v>
      </c>
      <c r="Q82" t="s">
        <v>475</v>
      </c>
      <c r="R82">
        <v>3597</v>
      </c>
      <c r="S82">
        <v>3</v>
      </c>
      <c r="T82">
        <v>0</v>
      </c>
      <c r="U82" s="34" t="str">
        <f t="shared" si="10"/>
        <v>No Discount</v>
      </c>
      <c r="V82">
        <v>787.68</v>
      </c>
      <c r="W82" s="29">
        <f t="shared" si="11"/>
        <v>0.218982485404504</v>
      </c>
      <c r="X82">
        <v>12.21</v>
      </c>
      <c r="Y82" t="s">
        <v>62</v>
      </c>
      <c r="Z82" s="34" t="str">
        <f t="shared" si="12"/>
        <v>Large</v>
      </c>
    </row>
    <row r="83" spans="1:26">
      <c r="A83" t="s">
        <v>476</v>
      </c>
      <c r="B83" s="44">
        <v>45478</v>
      </c>
      <c r="C83" s="34">
        <f t="shared" si="7"/>
        <v>2024</v>
      </c>
      <c r="D83" s="34">
        <f t="shared" si="8"/>
        <v>7</v>
      </c>
      <c r="E83" s="34" t="str">
        <f t="shared" si="9"/>
        <v>July</v>
      </c>
      <c r="F83" s="44">
        <v>45481</v>
      </c>
      <c r="G83" t="s">
        <v>477</v>
      </c>
      <c r="H83" t="s">
        <v>478</v>
      </c>
      <c r="I83" t="s">
        <v>55</v>
      </c>
      <c r="J83" t="s">
        <v>43</v>
      </c>
      <c r="K83" t="s">
        <v>84</v>
      </c>
      <c r="L83" t="s">
        <v>366</v>
      </c>
      <c r="M83" t="s">
        <v>33</v>
      </c>
      <c r="N83" t="s">
        <v>397</v>
      </c>
      <c r="O83" t="s">
        <v>48</v>
      </c>
      <c r="P83" t="s">
        <v>128</v>
      </c>
      <c r="Q83" t="s">
        <v>398</v>
      </c>
      <c r="R83">
        <v>25</v>
      </c>
      <c r="S83">
        <v>1</v>
      </c>
      <c r="T83">
        <v>0</v>
      </c>
      <c r="U83" s="34" t="str">
        <f t="shared" si="10"/>
        <v>No Discount</v>
      </c>
      <c r="V83">
        <v>2.18</v>
      </c>
      <c r="W83" s="29">
        <f t="shared" si="11"/>
        <v>0.0872</v>
      </c>
      <c r="X83">
        <v>11.08</v>
      </c>
      <c r="Y83" t="s">
        <v>137</v>
      </c>
      <c r="Z83" s="34" t="str">
        <f t="shared" si="12"/>
        <v>Small</v>
      </c>
    </row>
    <row r="84" spans="1:26">
      <c r="A84" t="s">
        <v>479</v>
      </c>
      <c r="B84" s="44">
        <v>43992</v>
      </c>
      <c r="C84" s="34">
        <f t="shared" si="7"/>
        <v>2020</v>
      </c>
      <c r="D84" s="34">
        <f t="shared" si="8"/>
        <v>6</v>
      </c>
      <c r="E84" s="34" t="str">
        <f t="shared" si="9"/>
        <v>June</v>
      </c>
      <c r="F84" s="44">
        <v>43996</v>
      </c>
      <c r="G84" t="s">
        <v>480</v>
      </c>
      <c r="H84" t="s">
        <v>481</v>
      </c>
      <c r="I84" t="s">
        <v>29</v>
      </c>
      <c r="J84" t="s">
        <v>43</v>
      </c>
      <c r="K84" t="s">
        <v>257</v>
      </c>
      <c r="L84" t="s">
        <v>258</v>
      </c>
      <c r="M84" t="s">
        <v>76</v>
      </c>
      <c r="N84" t="s">
        <v>228</v>
      </c>
      <c r="O84" t="s">
        <v>67</v>
      </c>
      <c r="P84" t="s">
        <v>103</v>
      </c>
      <c r="Q84" t="s">
        <v>229</v>
      </c>
      <c r="R84">
        <v>104.3</v>
      </c>
      <c r="S84">
        <v>1</v>
      </c>
      <c r="T84">
        <v>0.3</v>
      </c>
      <c r="U84" s="34" t="str">
        <f t="shared" si="10"/>
        <v>High</v>
      </c>
      <c r="V84">
        <v>3.31</v>
      </c>
      <c r="W84" s="29">
        <f t="shared" si="11"/>
        <v>0.0317353787152445</v>
      </c>
      <c r="X84">
        <v>30.7</v>
      </c>
      <c r="Y84" t="s">
        <v>51</v>
      </c>
      <c r="Z84" s="34" t="str">
        <f t="shared" si="12"/>
        <v>Small</v>
      </c>
    </row>
    <row r="85" spans="1:26">
      <c r="A85" t="s">
        <v>482</v>
      </c>
      <c r="B85" s="44">
        <v>44288</v>
      </c>
      <c r="C85" s="34">
        <f t="shared" si="7"/>
        <v>2021</v>
      </c>
      <c r="D85" s="34">
        <f t="shared" si="8"/>
        <v>4</v>
      </c>
      <c r="E85" s="34" t="str">
        <f t="shared" si="9"/>
        <v>April</v>
      </c>
      <c r="F85" s="44">
        <v>44295</v>
      </c>
      <c r="G85" t="s">
        <v>483</v>
      </c>
      <c r="H85" t="s">
        <v>484</v>
      </c>
      <c r="I85" t="s">
        <v>42</v>
      </c>
      <c r="J85" t="s">
        <v>43</v>
      </c>
      <c r="K85" t="s">
        <v>108</v>
      </c>
      <c r="L85" t="s">
        <v>485</v>
      </c>
      <c r="M85" t="s">
        <v>58</v>
      </c>
      <c r="N85" t="s">
        <v>189</v>
      </c>
      <c r="O85" t="s">
        <v>48</v>
      </c>
      <c r="P85" t="s">
        <v>190</v>
      </c>
      <c r="Q85" t="s">
        <v>191</v>
      </c>
      <c r="R85">
        <v>175</v>
      </c>
      <c r="S85">
        <v>5</v>
      </c>
      <c r="T85">
        <v>0</v>
      </c>
      <c r="U85" s="34" t="str">
        <f t="shared" si="10"/>
        <v>No Discount</v>
      </c>
      <c r="V85">
        <v>17.12</v>
      </c>
      <c r="W85" s="29">
        <f t="shared" si="11"/>
        <v>0.0978285714285714</v>
      </c>
      <c r="X85">
        <v>47.93</v>
      </c>
      <c r="Y85" t="s">
        <v>62</v>
      </c>
      <c r="Z85" s="34" t="str">
        <f t="shared" si="12"/>
        <v>Small</v>
      </c>
    </row>
    <row r="86" spans="1:26">
      <c r="A86" t="s">
        <v>486</v>
      </c>
      <c r="B86" s="44">
        <v>44369</v>
      </c>
      <c r="C86" s="34">
        <f t="shared" si="7"/>
        <v>2021</v>
      </c>
      <c r="D86" s="34">
        <f t="shared" si="8"/>
        <v>6</v>
      </c>
      <c r="E86" s="34" t="str">
        <f t="shared" si="9"/>
        <v>June</v>
      </c>
      <c r="F86" s="44">
        <v>44374</v>
      </c>
      <c r="G86" t="s">
        <v>295</v>
      </c>
      <c r="H86" t="s">
        <v>296</v>
      </c>
      <c r="I86" t="s">
        <v>29</v>
      </c>
      <c r="J86" t="s">
        <v>30</v>
      </c>
      <c r="K86" t="s">
        <v>297</v>
      </c>
      <c r="L86" t="s">
        <v>298</v>
      </c>
      <c r="M86" t="s">
        <v>46</v>
      </c>
      <c r="N86" t="s">
        <v>339</v>
      </c>
      <c r="O86" t="s">
        <v>35</v>
      </c>
      <c r="P86" t="s">
        <v>78</v>
      </c>
      <c r="Q86" t="s">
        <v>340</v>
      </c>
      <c r="R86">
        <v>171.75</v>
      </c>
      <c r="S86">
        <v>1</v>
      </c>
      <c r="T86">
        <v>0.25</v>
      </c>
      <c r="U86" s="34" t="str">
        <f t="shared" si="10"/>
        <v>High</v>
      </c>
      <c r="V86">
        <v>20.12</v>
      </c>
      <c r="W86" s="29">
        <f t="shared" si="11"/>
        <v>0.117147016011645</v>
      </c>
      <c r="X86">
        <v>47.45</v>
      </c>
      <c r="Y86" t="s">
        <v>62</v>
      </c>
      <c r="Z86" s="34" t="str">
        <f t="shared" si="12"/>
        <v>Small</v>
      </c>
    </row>
    <row r="87" spans="1:26">
      <c r="A87" t="s">
        <v>487</v>
      </c>
      <c r="B87" s="44">
        <v>45010</v>
      </c>
      <c r="C87" s="34">
        <f t="shared" si="7"/>
        <v>2023</v>
      </c>
      <c r="D87" s="34">
        <f t="shared" si="8"/>
        <v>3</v>
      </c>
      <c r="E87" s="34" t="str">
        <f t="shared" si="9"/>
        <v>March</v>
      </c>
      <c r="F87" s="44">
        <v>45017</v>
      </c>
      <c r="G87" t="s">
        <v>488</v>
      </c>
      <c r="H87" t="s">
        <v>489</v>
      </c>
      <c r="I87" t="s">
        <v>55</v>
      </c>
      <c r="J87" t="s">
        <v>43</v>
      </c>
      <c r="K87" t="s">
        <v>380</v>
      </c>
      <c r="L87" t="s">
        <v>381</v>
      </c>
      <c r="M87" t="s">
        <v>58</v>
      </c>
      <c r="N87" t="s">
        <v>208</v>
      </c>
      <c r="O87" t="s">
        <v>48</v>
      </c>
      <c r="P87" t="s">
        <v>128</v>
      </c>
      <c r="Q87" t="s">
        <v>209</v>
      </c>
      <c r="R87">
        <v>175</v>
      </c>
      <c r="S87">
        <v>5</v>
      </c>
      <c r="T87">
        <v>0</v>
      </c>
      <c r="U87" s="34" t="str">
        <f t="shared" si="10"/>
        <v>No Discount</v>
      </c>
      <c r="V87">
        <v>-24.19</v>
      </c>
      <c r="W87" s="29">
        <f t="shared" si="11"/>
        <v>-0.138228571428571</v>
      </c>
      <c r="X87">
        <v>33.98</v>
      </c>
      <c r="Y87" t="s">
        <v>38</v>
      </c>
      <c r="Z87" s="34" t="str">
        <f t="shared" si="12"/>
        <v>Small</v>
      </c>
    </row>
    <row r="88" spans="1:26">
      <c r="A88" t="s">
        <v>490</v>
      </c>
      <c r="B88" s="44">
        <v>43969</v>
      </c>
      <c r="C88" s="34">
        <f t="shared" si="7"/>
        <v>2020</v>
      </c>
      <c r="D88" s="34">
        <f t="shared" si="8"/>
        <v>5</v>
      </c>
      <c r="E88" s="34" t="str">
        <f t="shared" si="9"/>
        <v>May</v>
      </c>
      <c r="F88" s="44">
        <v>43972</v>
      </c>
      <c r="G88" t="s">
        <v>491</v>
      </c>
      <c r="H88" t="s">
        <v>492</v>
      </c>
      <c r="I88" t="s">
        <v>29</v>
      </c>
      <c r="J88" t="s">
        <v>43</v>
      </c>
      <c r="K88" t="s">
        <v>56</v>
      </c>
      <c r="L88" t="s">
        <v>493</v>
      </c>
      <c r="M88" t="s">
        <v>58</v>
      </c>
      <c r="N88" t="s">
        <v>397</v>
      </c>
      <c r="O88" t="s">
        <v>48</v>
      </c>
      <c r="P88" t="s">
        <v>128</v>
      </c>
      <c r="Q88" t="s">
        <v>398</v>
      </c>
      <c r="R88">
        <v>18.75</v>
      </c>
      <c r="S88">
        <v>1</v>
      </c>
      <c r="T88">
        <v>0.25</v>
      </c>
      <c r="U88" s="34" t="str">
        <f t="shared" si="10"/>
        <v>High</v>
      </c>
      <c r="V88">
        <v>-2.54</v>
      </c>
      <c r="W88" s="29">
        <f t="shared" si="11"/>
        <v>-0.135466666666667</v>
      </c>
      <c r="X88">
        <v>22.21</v>
      </c>
      <c r="Y88" t="s">
        <v>80</v>
      </c>
      <c r="Z88" s="34" t="str">
        <f t="shared" si="12"/>
        <v>Small</v>
      </c>
    </row>
    <row r="89" spans="1:26">
      <c r="A89" t="s">
        <v>494</v>
      </c>
      <c r="B89" s="44">
        <v>44817</v>
      </c>
      <c r="C89" s="34">
        <f t="shared" si="7"/>
        <v>2022</v>
      </c>
      <c r="D89" s="34">
        <f t="shared" si="8"/>
        <v>9</v>
      </c>
      <c r="E89" s="34" t="str">
        <f t="shared" si="9"/>
        <v>September</v>
      </c>
      <c r="F89" s="44">
        <v>44823</v>
      </c>
      <c r="G89" t="s">
        <v>495</v>
      </c>
      <c r="H89" t="s">
        <v>496</v>
      </c>
      <c r="I89" t="s">
        <v>29</v>
      </c>
      <c r="J89" t="s">
        <v>30</v>
      </c>
      <c r="K89" t="s">
        <v>125</v>
      </c>
      <c r="L89" t="s">
        <v>126</v>
      </c>
      <c r="M89" t="s">
        <v>58</v>
      </c>
      <c r="N89" t="s">
        <v>344</v>
      </c>
      <c r="O89" t="s">
        <v>35</v>
      </c>
      <c r="P89" t="s">
        <v>163</v>
      </c>
      <c r="Q89" t="s">
        <v>345</v>
      </c>
      <c r="R89">
        <v>2397</v>
      </c>
      <c r="S89">
        <v>4</v>
      </c>
      <c r="T89">
        <v>0.25</v>
      </c>
      <c r="U89" s="34" t="str">
        <f t="shared" si="10"/>
        <v>High</v>
      </c>
      <c r="V89">
        <v>475.06</v>
      </c>
      <c r="W89" s="29">
        <f t="shared" si="11"/>
        <v>0.198189403420943</v>
      </c>
      <c r="X89">
        <v>14.48</v>
      </c>
      <c r="Y89" t="s">
        <v>38</v>
      </c>
      <c r="Z89" s="34" t="str">
        <f t="shared" si="12"/>
        <v>Large</v>
      </c>
    </row>
    <row r="90" spans="1:26">
      <c r="A90" t="s">
        <v>497</v>
      </c>
      <c r="B90" s="44">
        <v>45606</v>
      </c>
      <c r="C90" s="34">
        <f t="shared" si="7"/>
        <v>2024</v>
      </c>
      <c r="D90" s="34">
        <f t="shared" si="8"/>
        <v>11</v>
      </c>
      <c r="E90" s="34" t="str">
        <f t="shared" si="9"/>
        <v>November</v>
      </c>
      <c r="F90" s="44">
        <v>45607</v>
      </c>
      <c r="G90" t="s">
        <v>498</v>
      </c>
      <c r="H90" t="s">
        <v>499</v>
      </c>
      <c r="I90" t="s">
        <v>55</v>
      </c>
      <c r="J90" t="s">
        <v>43</v>
      </c>
      <c r="K90" t="s">
        <v>108</v>
      </c>
      <c r="L90" t="s">
        <v>485</v>
      </c>
      <c r="M90" t="s">
        <v>58</v>
      </c>
      <c r="N90" t="s">
        <v>500</v>
      </c>
      <c r="O90" t="s">
        <v>67</v>
      </c>
      <c r="P90" t="s">
        <v>68</v>
      </c>
      <c r="Q90" t="s">
        <v>501</v>
      </c>
      <c r="R90">
        <v>411.75</v>
      </c>
      <c r="S90">
        <v>1</v>
      </c>
      <c r="T90">
        <v>0.25</v>
      </c>
      <c r="U90" s="34" t="str">
        <f t="shared" si="10"/>
        <v>High</v>
      </c>
      <c r="V90">
        <v>60.1</v>
      </c>
      <c r="W90" s="29">
        <f t="shared" si="11"/>
        <v>0.145962355798421</v>
      </c>
      <c r="X90">
        <v>46.72</v>
      </c>
      <c r="Y90" t="s">
        <v>137</v>
      </c>
      <c r="Z90" s="34" t="str">
        <f t="shared" si="12"/>
        <v>Small</v>
      </c>
    </row>
    <row r="91" spans="1:26">
      <c r="A91" t="s">
        <v>502</v>
      </c>
      <c r="B91" s="44">
        <v>44455</v>
      </c>
      <c r="C91" s="34">
        <f t="shared" si="7"/>
        <v>2021</v>
      </c>
      <c r="D91" s="34">
        <f t="shared" si="8"/>
        <v>9</v>
      </c>
      <c r="E91" s="34" t="str">
        <f t="shared" si="9"/>
        <v>September</v>
      </c>
      <c r="F91" s="44">
        <v>44458</v>
      </c>
      <c r="G91" t="s">
        <v>503</v>
      </c>
      <c r="H91" t="s">
        <v>283</v>
      </c>
      <c r="I91" t="s">
        <v>29</v>
      </c>
      <c r="J91" t="s">
        <v>43</v>
      </c>
      <c r="K91" t="s">
        <v>74</v>
      </c>
      <c r="L91" t="s">
        <v>75</v>
      </c>
      <c r="M91" t="s">
        <v>76</v>
      </c>
      <c r="N91" t="s">
        <v>409</v>
      </c>
      <c r="O91" t="s">
        <v>48</v>
      </c>
      <c r="P91" t="s">
        <v>60</v>
      </c>
      <c r="Q91" t="s">
        <v>410</v>
      </c>
      <c r="R91">
        <v>78</v>
      </c>
      <c r="S91">
        <v>2</v>
      </c>
      <c r="T91">
        <v>0</v>
      </c>
      <c r="U91" s="34" t="str">
        <f t="shared" si="10"/>
        <v>No Discount</v>
      </c>
      <c r="V91">
        <v>-4.76</v>
      </c>
      <c r="W91" s="29">
        <f t="shared" si="11"/>
        <v>-0.061025641025641</v>
      </c>
      <c r="X91">
        <v>41.86</v>
      </c>
      <c r="Y91" t="s">
        <v>80</v>
      </c>
      <c r="Z91" s="34" t="str">
        <f t="shared" si="12"/>
        <v>Small</v>
      </c>
    </row>
    <row r="92" spans="1:26">
      <c r="A92" t="s">
        <v>504</v>
      </c>
      <c r="B92" s="44">
        <v>44704</v>
      </c>
      <c r="C92" s="34">
        <f t="shared" si="7"/>
        <v>2022</v>
      </c>
      <c r="D92" s="34">
        <f t="shared" si="8"/>
        <v>5</v>
      </c>
      <c r="E92" s="34" t="str">
        <f t="shared" si="9"/>
        <v>May</v>
      </c>
      <c r="F92" s="44">
        <v>44706</v>
      </c>
      <c r="G92" t="s">
        <v>114</v>
      </c>
      <c r="H92" t="s">
        <v>115</v>
      </c>
      <c r="I92" t="s">
        <v>55</v>
      </c>
      <c r="J92" t="s">
        <v>43</v>
      </c>
      <c r="K92" t="s">
        <v>116</v>
      </c>
      <c r="L92" t="s">
        <v>117</v>
      </c>
      <c r="M92" t="s">
        <v>33</v>
      </c>
      <c r="N92" t="s">
        <v>505</v>
      </c>
      <c r="O92" t="s">
        <v>67</v>
      </c>
      <c r="P92" t="s">
        <v>119</v>
      </c>
      <c r="Q92" t="s">
        <v>506</v>
      </c>
      <c r="R92">
        <v>4156.8</v>
      </c>
      <c r="S92">
        <v>4</v>
      </c>
      <c r="T92">
        <v>0.2</v>
      </c>
      <c r="U92" s="34" t="str">
        <f t="shared" si="10"/>
        <v>Medium</v>
      </c>
      <c r="V92">
        <v>495.96</v>
      </c>
      <c r="W92" s="29">
        <f t="shared" si="11"/>
        <v>0.119312933025404</v>
      </c>
      <c r="X92">
        <v>9.51</v>
      </c>
      <c r="Y92" t="s">
        <v>51</v>
      </c>
      <c r="Z92" s="34" t="str">
        <f t="shared" si="12"/>
        <v>Large</v>
      </c>
    </row>
    <row r="93" spans="1:26">
      <c r="A93" t="s">
        <v>507</v>
      </c>
      <c r="B93" s="44">
        <v>45261</v>
      </c>
      <c r="C93" s="34">
        <f t="shared" si="7"/>
        <v>2023</v>
      </c>
      <c r="D93" s="34">
        <f t="shared" si="8"/>
        <v>12</v>
      </c>
      <c r="E93" s="34" t="str">
        <f t="shared" si="9"/>
        <v>December</v>
      </c>
      <c r="F93" s="44">
        <v>45265</v>
      </c>
      <c r="G93" t="s">
        <v>418</v>
      </c>
      <c r="H93" t="s">
        <v>419</v>
      </c>
      <c r="I93" t="s">
        <v>42</v>
      </c>
      <c r="J93" t="s">
        <v>43</v>
      </c>
      <c r="K93" t="s">
        <v>100</v>
      </c>
      <c r="L93" t="s">
        <v>420</v>
      </c>
      <c r="M93" t="s">
        <v>33</v>
      </c>
      <c r="N93" t="s">
        <v>333</v>
      </c>
      <c r="O93" t="s">
        <v>48</v>
      </c>
      <c r="P93" t="s">
        <v>190</v>
      </c>
      <c r="Q93" t="s">
        <v>334</v>
      </c>
      <c r="R93">
        <v>378</v>
      </c>
      <c r="S93">
        <v>2</v>
      </c>
      <c r="T93">
        <v>0</v>
      </c>
      <c r="U93" s="34" t="str">
        <f t="shared" si="10"/>
        <v>No Discount</v>
      </c>
      <c r="V93">
        <v>-35.04</v>
      </c>
      <c r="W93" s="29">
        <f t="shared" si="11"/>
        <v>-0.0926984126984127</v>
      </c>
      <c r="X93">
        <v>16</v>
      </c>
      <c r="Y93" t="s">
        <v>137</v>
      </c>
      <c r="Z93" s="34" t="str">
        <f t="shared" si="12"/>
        <v>Small</v>
      </c>
    </row>
    <row r="94" spans="1:26">
      <c r="A94" t="s">
        <v>508</v>
      </c>
      <c r="B94" s="44">
        <v>45616</v>
      </c>
      <c r="C94" s="34">
        <f t="shared" si="7"/>
        <v>2024</v>
      </c>
      <c r="D94" s="34">
        <f t="shared" si="8"/>
        <v>11</v>
      </c>
      <c r="E94" s="34" t="str">
        <f t="shared" si="9"/>
        <v>November</v>
      </c>
      <c r="F94" s="44">
        <v>45617</v>
      </c>
      <c r="G94" t="s">
        <v>509</v>
      </c>
      <c r="H94" t="s">
        <v>510</v>
      </c>
      <c r="I94" t="s">
        <v>55</v>
      </c>
      <c r="J94" t="s">
        <v>43</v>
      </c>
      <c r="K94" t="s">
        <v>245</v>
      </c>
      <c r="L94" t="s">
        <v>511</v>
      </c>
      <c r="M94" t="s">
        <v>76</v>
      </c>
      <c r="N94" t="s">
        <v>235</v>
      </c>
      <c r="O94" t="s">
        <v>35</v>
      </c>
      <c r="P94" t="s">
        <v>78</v>
      </c>
      <c r="Q94" t="s">
        <v>236</v>
      </c>
      <c r="R94">
        <v>1235.25</v>
      </c>
      <c r="S94">
        <v>3</v>
      </c>
      <c r="T94">
        <v>0.25</v>
      </c>
      <c r="U94" s="34" t="str">
        <f t="shared" si="10"/>
        <v>High</v>
      </c>
      <c r="V94">
        <v>208.84</v>
      </c>
      <c r="W94" s="29">
        <f t="shared" si="11"/>
        <v>0.169066990487756</v>
      </c>
      <c r="X94">
        <v>45.01</v>
      </c>
      <c r="Y94" t="s">
        <v>96</v>
      </c>
      <c r="Z94" s="34" t="str">
        <f t="shared" si="12"/>
        <v>Medium</v>
      </c>
    </row>
    <row r="95" spans="1:26">
      <c r="A95" t="s">
        <v>512</v>
      </c>
      <c r="B95" s="44">
        <v>45208</v>
      </c>
      <c r="C95" s="34">
        <f t="shared" si="7"/>
        <v>2023</v>
      </c>
      <c r="D95" s="34">
        <f t="shared" si="8"/>
        <v>10</v>
      </c>
      <c r="E95" s="34" t="str">
        <f t="shared" si="9"/>
        <v>October</v>
      </c>
      <c r="F95" s="44">
        <v>45210</v>
      </c>
      <c r="G95" t="s">
        <v>513</v>
      </c>
      <c r="H95" t="s">
        <v>514</v>
      </c>
      <c r="I95" t="s">
        <v>29</v>
      </c>
      <c r="J95" t="s">
        <v>43</v>
      </c>
      <c r="K95" t="s">
        <v>233</v>
      </c>
      <c r="L95" t="s">
        <v>515</v>
      </c>
      <c r="M95" t="s">
        <v>46</v>
      </c>
      <c r="N95" t="s">
        <v>292</v>
      </c>
      <c r="O95" t="s">
        <v>35</v>
      </c>
      <c r="P95" t="s">
        <v>163</v>
      </c>
      <c r="Q95" t="s">
        <v>293</v>
      </c>
      <c r="R95">
        <v>3637.2</v>
      </c>
      <c r="S95">
        <v>4</v>
      </c>
      <c r="T95">
        <v>0.3</v>
      </c>
      <c r="U95" s="34" t="str">
        <f t="shared" si="10"/>
        <v>High</v>
      </c>
      <c r="V95">
        <v>643.24</v>
      </c>
      <c r="W95" s="29">
        <f t="shared" si="11"/>
        <v>0.176850324425382</v>
      </c>
      <c r="X95">
        <v>38.19</v>
      </c>
      <c r="Y95" t="s">
        <v>70</v>
      </c>
      <c r="Z95" s="34" t="str">
        <f t="shared" si="12"/>
        <v>Large</v>
      </c>
    </row>
    <row r="96" spans="1:26">
      <c r="A96" t="s">
        <v>516</v>
      </c>
      <c r="B96" s="44">
        <v>44028</v>
      </c>
      <c r="C96" s="34">
        <f t="shared" si="7"/>
        <v>2020</v>
      </c>
      <c r="D96" s="34">
        <f t="shared" si="8"/>
        <v>7</v>
      </c>
      <c r="E96" s="34" t="str">
        <f t="shared" si="9"/>
        <v>July</v>
      </c>
      <c r="F96" s="44">
        <v>44033</v>
      </c>
      <c r="G96" t="s">
        <v>517</v>
      </c>
      <c r="H96" t="s">
        <v>518</v>
      </c>
      <c r="I96" t="s">
        <v>42</v>
      </c>
      <c r="J96" t="s">
        <v>43</v>
      </c>
      <c r="K96" t="s">
        <v>56</v>
      </c>
      <c r="L96" t="s">
        <v>519</v>
      </c>
      <c r="M96" t="s">
        <v>58</v>
      </c>
      <c r="N96" t="s">
        <v>459</v>
      </c>
      <c r="O96" t="s">
        <v>48</v>
      </c>
      <c r="P96" t="s">
        <v>128</v>
      </c>
      <c r="Q96" t="s">
        <v>460</v>
      </c>
      <c r="R96">
        <v>29</v>
      </c>
      <c r="S96">
        <v>1</v>
      </c>
      <c r="T96">
        <v>0</v>
      </c>
      <c r="U96" s="34" t="str">
        <f t="shared" si="10"/>
        <v>No Discount</v>
      </c>
      <c r="V96">
        <v>-6.97</v>
      </c>
      <c r="W96" s="29">
        <f t="shared" si="11"/>
        <v>-0.240344827586207</v>
      </c>
      <c r="X96">
        <v>42.58</v>
      </c>
      <c r="Y96" t="s">
        <v>51</v>
      </c>
      <c r="Z96" s="34" t="str">
        <f t="shared" si="12"/>
        <v>Small</v>
      </c>
    </row>
    <row r="97" spans="1:26">
      <c r="A97" t="s">
        <v>520</v>
      </c>
      <c r="B97" s="44">
        <v>45596</v>
      </c>
      <c r="C97" s="34">
        <f t="shared" si="7"/>
        <v>2024</v>
      </c>
      <c r="D97" s="34">
        <f t="shared" si="8"/>
        <v>10</v>
      </c>
      <c r="E97" s="34" t="str">
        <f t="shared" si="9"/>
        <v>October</v>
      </c>
      <c r="F97" s="44">
        <v>45597</v>
      </c>
      <c r="G97" t="s">
        <v>521</v>
      </c>
      <c r="H97" t="s">
        <v>522</v>
      </c>
      <c r="I97" t="s">
        <v>29</v>
      </c>
      <c r="J97" t="s">
        <v>43</v>
      </c>
      <c r="K97" t="s">
        <v>108</v>
      </c>
      <c r="L97" t="s">
        <v>485</v>
      </c>
      <c r="M97" t="s">
        <v>58</v>
      </c>
      <c r="N97" t="s">
        <v>388</v>
      </c>
      <c r="O97" t="s">
        <v>48</v>
      </c>
      <c r="P97" t="s">
        <v>190</v>
      </c>
      <c r="Q97" t="s">
        <v>389</v>
      </c>
      <c r="R97">
        <v>213.6</v>
      </c>
      <c r="S97">
        <v>3</v>
      </c>
      <c r="T97">
        <v>0.2</v>
      </c>
      <c r="U97" s="34" t="str">
        <f t="shared" si="10"/>
        <v>Medium</v>
      </c>
      <c r="V97">
        <v>28.1</v>
      </c>
      <c r="W97" s="29">
        <f t="shared" si="11"/>
        <v>0.131554307116105</v>
      </c>
      <c r="X97">
        <v>13.12</v>
      </c>
      <c r="Y97" t="s">
        <v>70</v>
      </c>
      <c r="Z97" s="34" t="str">
        <f t="shared" si="12"/>
        <v>Small</v>
      </c>
    </row>
    <row r="98" spans="1:26">
      <c r="A98" t="s">
        <v>523</v>
      </c>
      <c r="B98" s="44">
        <v>44610</v>
      </c>
      <c r="C98" s="34">
        <f t="shared" si="7"/>
        <v>2022</v>
      </c>
      <c r="D98" s="34">
        <f t="shared" si="8"/>
        <v>2</v>
      </c>
      <c r="E98" s="34" t="str">
        <f t="shared" si="9"/>
        <v>February</v>
      </c>
      <c r="F98" s="44">
        <v>44614</v>
      </c>
      <c r="G98" t="s">
        <v>158</v>
      </c>
      <c r="H98" t="s">
        <v>159</v>
      </c>
      <c r="I98" t="s">
        <v>42</v>
      </c>
      <c r="J98" t="s">
        <v>30</v>
      </c>
      <c r="K98" t="s">
        <v>160</v>
      </c>
      <c r="L98" t="s">
        <v>161</v>
      </c>
      <c r="M98" t="s">
        <v>76</v>
      </c>
      <c r="N98" t="s">
        <v>127</v>
      </c>
      <c r="O98" t="s">
        <v>48</v>
      </c>
      <c r="P98" t="s">
        <v>128</v>
      </c>
      <c r="Q98" t="s">
        <v>129</v>
      </c>
      <c r="R98">
        <v>276.25</v>
      </c>
      <c r="S98">
        <v>5</v>
      </c>
      <c r="T98">
        <v>0.15</v>
      </c>
      <c r="U98" s="34" t="str">
        <f t="shared" si="10"/>
        <v>Medium</v>
      </c>
      <c r="V98">
        <v>-19.48</v>
      </c>
      <c r="W98" s="29">
        <f t="shared" si="11"/>
        <v>-0.0705158371040724</v>
      </c>
      <c r="X98">
        <v>18.88</v>
      </c>
      <c r="Y98" t="s">
        <v>62</v>
      </c>
      <c r="Z98" s="34" t="str">
        <f t="shared" si="12"/>
        <v>Small</v>
      </c>
    </row>
    <row r="99" spans="1:26">
      <c r="A99" t="s">
        <v>524</v>
      </c>
      <c r="B99" s="44">
        <v>44864</v>
      </c>
      <c r="C99" s="34">
        <f t="shared" si="7"/>
        <v>2022</v>
      </c>
      <c r="D99" s="34">
        <f t="shared" si="8"/>
        <v>10</v>
      </c>
      <c r="E99" s="34" t="str">
        <f t="shared" si="9"/>
        <v>October</v>
      </c>
      <c r="F99" s="44">
        <v>44870</v>
      </c>
      <c r="G99" t="s">
        <v>144</v>
      </c>
      <c r="H99" t="s">
        <v>145</v>
      </c>
      <c r="I99" t="s">
        <v>55</v>
      </c>
      <c r="J99" t="s">
        <v>30</v>
      </c>
      <c r="K99" t="s">
        <v>146</v>
      </c>
      <c r="L99" t="s">
        <v>147</v>
      </c>
      <c r="M99" t="s">
        <v>33</v>
      </c>
      <c r="N99" t="s">
        <v>312</v>
      </c>
      <c r="O99" t="s">
        <v>48</v>
      </c>
      <c r="P99" t="s">
        <v>49</v>
      </c>
      <c r="Q99" t="s">
        <v>313</v>
      </c>
      <c r="R99">
        <v>117</v>
      </c>
      <c r="S99">
        <v>4</v>
      </c>
      <c r="T99">
        <v>0.25</v>
      </c>
      <c r="U99" s="34" t="str">
        <f t="shared" si="10"/>
        <v>High</v>
      </c>
      <c r="V99">
        <v>12.89</v>
      </c>
      <c r="W99" s="29">
        <f t="shared" si="11"/>
        <v>0.11017094017094</v>
      </c>
      <c r="X99">
        <v>35.02</v>
      </c>
      <c r="Y99" t="s">
        <v>70</v>
      </c>
      <c r="Z99" s="34" t="str">
        <f t="shared" si="12"/>
        <v>Small</v>
      </c>
    </row>
    <row r="100" spans="1:26">
      <c r="A100" t="s">
        <v>525</v>
      </c>
      <c r="B100" s="44">
        <v>45496</v>
      </c>
      <c r="C100" s="34">
        <f t="shared" si="7"/>
        <v>2024</v>
      </c>
      <c r="D100" s="34">
        <f t="shared" si="8"/>
        <v>7</v>
      </c>
      <c r="E100" s="34" t="str">
        <f t="shared" si="9"/>
        <v>July</v>
      </c>
      <c r="F100" s="44">
        <v>45503</v>
      </c>
      <c r="G100" t="s">
        <v>231</v>
      </c>
      <c r="H100" t="s">
        <v>232</v>
      </c>
      <c r="I100" t="s">
        <v>55</v>
      </c>
      <c r="J100" t="s">
        <v>43</v>
      </c>
      <c r="K100" t="s">
        <v>233</v>
      </c>
      <c r="L100" t="s">
        <v>234</v>
      </c>
      <c r="M100" t="s">
        <v>46</v>
      </c>
      <c r="N100" t="s">
        <v>182</v>
      </c>
      <c r="O100" t="s">
        <v>48</v>
      </c>
      <c r="P100" t="s">
        <v>128</v>
      </c>
      <c r="Q100" t="s">
        <v>183</v>
      </c>
      <c r="R100">
        <v>355.5</v>
      </c>
      <c r="S100">
        <v>5</v>
      </c>
      <c r="T100">
        <v>0.1</v>
      </c>
      <c r="U100" s="34" t="str">
        <f t="shared" si="10"/>
        <v>Low</v>
      </c>
      <c r="V100">
        <v>-39.31</v>
      </c>
      <c r="W100" s="29">
        <f t="shared" si="11"/>
        <v>-0.110576652601969</v>
      </c>
      <c r="X100">
        <v>36.24</v>
      </c>
      <c r="Y100" t="s">
        <v>62</v>
      </c>
      <c r="Z100" s="34" t="str">
        <f t="shared" si="12"/>
        <v>Small</v>
      </c>
    </row>
    <row r="101" spans="1:26">
      <c r="A101" t="s">
        <v>526</v>
      </c>
      <c r="B101" s="44">
        <v>45068</v>
      </c>
      <c r="C101" s="34">
        <f t="shared" si="7"/>
        <v>2023</v>
      </c>
      <c r="D101" s="34">
        <f t="shared" si="8"/>
        <v>5</v>
      </c>
      <c r="E101" s="34" t="str">
        <f t="shared" si="9"/>
        <v>May</v>
      </c>
      <c r="F101" s="44">
        <v>45075</v>
      </c>
      <c r="G101" t="s">
        <v>527</v>
      </c>
      <c r="H101" t="s">
        <v>528</v>
      </c>
      <c r="I101" t="s">
        <v>55</v>
      </c>
      <c r="J101" t="s">
        <v>30</v>
      </c>
      <c r="K101" t="s">
        <v>273</v>
      </c>
      <c r="L101" t="s">
        <v>468</v>
      </c>
      <c r="M101" t="s">
        <v>46</v>
      </c>
      <c r="N101" t="s">
        <v>441</v>
      </c>
      <c r="O101" t="s">
        <v>67</v>
      </c>
      <c r="P101" t="s">
        <v>68</v>
      </c>
      <c r="Q101" t="s">
        <v>442</v>
      </c>
      <c r="R101">
        <v>1258.6</v>
      </c>
      <c r="S101">
        <v>2</v>
      </c>
      <c r="T101">
        <v>0.3</v>
      </c>
      <c r="U101" s="34" t="str">
        <f t="shared" si="10"/>
        <v>High</v>
      </c>
      <c r="V101">
        <v>0</v>
      </c>
      <c r="W101" s="29">
        <f t="shared" si="11"/>
        <v>0</v>
      </c>
      <c r="X101">
        <v>12.22</v>
      </c>
      <c r="Y101" t="s">
        <v>38</v>
      </c>
      <c r="Z101" s="34" t="str">
        <f t="shared" si="12"/>
        <v>Medium</v>
      </c>
    </row>
    <row r="102" spans="1:26">
      <c r="A102" t="s">
        <v>529</v>
      </c>
      <c r="B102" s="44">
        <v>44038</v>
      </c>
      <c r="C102" s="34">
        <f t="shared" si="7"/>
        <v>2020</v>
      </c>
      <c r="D102" s="34">
        <f t="shared" si="8"/>
        <v>7</v>
      </c>
      <c r="E102" s="34" t="str">
        <f t="shared" si="9"/>
        <v>July</v>
      </c>
      <c r="F102" s="44">
        <v>44039</v>
      </c>
      <c r="G102" t="s">
        <v>530</v>
      </c>
      <c r="H102" t="s">
        <v>531</v>
      </c>
      <c r="I102" t="s">
        <v>55</v>
      </c>
      <c r="J102" t="s">
        <v>43</v>
      </c>
      <c r="K102" t="s">
        <v>187</v>
      </c>
      <c r="L102" t="s">
        <v>532</v>
      </c>
      <c r="M102" t="s">
        <v>33</v>
      </c>
      <c r="N102" t="s">
        <v>533</v>
      </c>
      <c r="O102" t="s">
        <v>67</v>
      </c>
      <c r="P102" t="s">
        <v>119</v>
      </c>
      <c r="Q102" t="s">
        <v>534</v>
      </c>
      <c r="R102">
        <v>1758.4</v>
      </c>
      <c r="S102">
        <v>2</v>
      </c>
      <c r="T102">
        <v>0.2</v>
      </c>
      <c r="U102" s="34" t="str">
        <f t="shared" si="10"/>
        <v>Medium</v>
      </c>
      <c r="V102">
        <v>306.17</v>
      </c>
      <c r="W102" s="29">
        <f t="shared" si="11"/>
        <v>0.174118516833485</v>
      </c>
      <c r="X102">
        <v>34.47</v>
      </c>
      <c r="Y102" t="s">
        <v>70</v>
      </c>
      <c r="Z102" s="34" t="str">
        <f t="shared" si="12"/>
        <v>Medium</v>
      </c>
    </row>
    <row r="103" spans="1:26">
      <c r="A103" t="s">
        <v>535</v>
      </c>
      <c r="B103" s="44">
        <v>45316</v>
      </c>
      <c r="C103" s="34">
        <f t="shared" si="7"/>
        <v>2024</v>
      </c>
      <c r="D103" s="34">
        <f t="shared" si="8"/>
        <v>1</v>
      </c>
      <c r="E103" s="34" t="str">
        <f t="shared" si="9"/>
        <v>January</v>
      </c>
      <c r="F103" s="44">
        <v>45320</v>
      </c>
      <c r="G103" t="s">
        <v>536</v>
      </c>
      <c r="H103" t="s">
        <v>537</v>
      </c>
      <c r="I103" t="s">
        <v>42</v>
      </c>
      <c r="J103" t="s">
        <v>43</v>
      </c>
      <c r="K103" t="s">
        <v>56</v>
      </c>
      <c r="L103" t="s">
        <v>57</v>
      </c>
      <c r="M103" t="s">
        <v>58</v>
      </c>
      <c r="N103" t="s">
        <v>127</v>
      </c>
      <c r="O103" t="s">
        <v>48</v>
      </c>
      <c r="P103" t="s">
        <v>128</v>
      </c>
      <c r="Q103" t="s">
        <v>129</v>
      </c>
      <c r="R103">
        <v>91</v>
      </c>
      <c r="S103">
        <v>2</v>
      </c>
      <c r="T103">
        <v>0.3</v>
      </c>
      <c r="U103" s="34" t="str">
        <f t="shared" si="10"/>
        <v>High</v>
      </c>
      <c r="V103">
        <v>2.42</v>
      </c>
      <c r="W103" s="29">
        <f t="shared" si="11"/>
        <v>0.0265934065934066</v>
      </c>
      <c r="X103">
        <v>37.43</v>
      </c>
      <c r="Y103" t="s">
        <v>51</v>
      </c>
      <c r="Z103" s="34" t="str">
        <f t="shared" si="12"/>
        <v>Small</v>
      </c>
    </row>
    <row r="104" spans="1:26">
      <c r="A104" t="s">
        <v>538</v>
      </c>
      <c r="B104" s="44">
        <v>44189</v>
      </c>
      <c r="C104" s="34">
        <f t="shared" si="7"/>
        <v>2020</v>
      </c>
      <c r="D104" s="34">
        <f t="shared" si="8"/>
        <v>12</v>
      </c>
      <c r="E104" s="34" t="str">
        <f t="shared" si="9"/>
        <v>December</v>
      </c>
      <c r="F104" s="44">
        <v>44193</v>
      </c>
      <c r="G104" t="s">
        <v>539</v>
      </c>
      <c r="H104" t="s">
        <v>540</v>
      </c>
      <c r="I104" t="s">
        <v>42</v>
      </c>
      <c r="J104" t="s">
        <v>43</v>
      </c>
      <c r="K104" t="s">
        <v>273</v>
      </c>
      <c r="L104" t="s">
        <v>541</v>
      </c>
      <c r="M104" t="s">
        <v>46</v>
      </c>
      <c r="N104" t="s">
        <v>333</v>
      </c>
      <c r="O104" t="s">
        <v>48</v>
      </c>
      <c r="P104" t="s">
        <v>190</v>
      </c>
      <c r="Q104" t="s">
        <v>334</v>
      </c>
      <c r="R104">
        <v>945</v>
      </c>
      <c r="S104">
        <v>5</v>
      </c>
      <c r="T104">
        <v>0</v>
      </c>
      <c r="U104" s="34" t="str">
        <f t="shared" si="10"/>
        <v>No Discount</v>
      </c>
      <c r="V104">
        <v>104.36</v>
      </c>
      <c r="W104" s="29">
        <f t="shared" si="11"/>
        <v>0.110433862433862</v>
      </c>
      <c r="X104">
        <v>30.14</v>
      </c>
      <c r="Y104" t="s">
        <v>96</v>
      </c>
      <c r="Z104" s="34" t="str">
        <f t="shared" si="12"/>
        <v>Medium</v>
      </c>
    </row>
    <row r="105" spans="1:26">
      <c r="A105" t="s">
        <v>542</v>
      </c>
      <c r="B105" s="44">
        <v>45472</v>
      </c>
      <c r="C105" s="34">
        <f t="shared" si="7"/>
        <v>2024</v>
      </c>
      <c r="D105" s="34">
        <f t="shared" si="8"/>
        <v>6</v>
      </c>
      <c r="E105" s="34" t="str">
        <f t="shared" si="9"/>
        <v>June</v>
      </c>
      <c r="F105" s="44">
        <v>45476</v>
      </c>
      <c r="G105" t="s">
        <v>543</v>
      </c>
      <c r="H105" t="s">
        <v>544</v>
      </c>
      <c r="I105" t="s">
        <v>42</v>
      </c>
      <c r="J105" t="s">
        <v>30</v>
      </c>
      <c r="K105" t="s">
        <v>326</v>
      </c>
      <c r="L105" t="s">
        <v>545</v>
      </c>
      <c r="M105" t="s">
        <v>58</v>
      </c>
      <c r="N105" t="s">
        <v>546</v>
      </c>
      <c r="O105" t="s">
        <v>35</v>
      </c>
      <c r="P105" t="s">
        <v>36</v>
      </c>
      <c r="Q105" t="s">
        <v>547</v>
      </c>
      <c r="R105">
        <v>6285</v>
      </c>
      <c r="S105">
        <v>3</v>
      </c>
      <c r="T105">
        <v>0</v>
      </c>
      <c r="U105" s="34" t="str">
        <f t="shared" si="10"/>
        <v>No Discount</v>
      </c>
      <c r="V105">
        <v>1556.46</v>
      </c>
      <c r="W105" s="29">
        <f t="shared" si="11"/>
        <v>0.247646778042959</v>
      </c>
      <c r="X105">
        <v>49.29</v>
      </c>
      <c r="Y105" t="s">
        <v>121</v>
      </c>
      <c r="Z105" s="34" t="str">
        <f t="shared" si="12"/>
        <v>Large</v>
      </c>
    </row>
    <row r="106" spans="1:26">
      <c r="A106" t="s">
        <v>548</v>
      </c>
      <c r="B106" s="44">
        <v>45400</v>
      </c>
      <c r="C106" s="34">
        <f t="shared" si="7"/>
        <v>2024</v>
      </c>
      <c r="D106" s="34">
        <f t="shared" si="8"/>
        <v>4</v>
      </c>
      <c r="E106" s="34" t="str">
        <f t="shared" si="9"/>
        <v>April</v>
      </c>
      <c r="F106" s="44">
        <v>45407</v>
      </c>
      <c r="G106" t="s">
        <v>549</v>
      </c>
      <c r="H106" t="s">
        <v>550</v>
      </c>
      <c r="I106" t="s">
        <v>55</v>
      </c>
      <c r="J106" t="s">
        <v>43</v>
      </c>
      <c r="K106" t="s">
        <v>551</v>
      </c>
      <c r="L106" t="s">
        <v>552</v>
      </c>
      <c r="M106" t="s">
        <v>33</v>
      </c>
      <c r="N106" t="s">
        <v>500</v>
      </c>
      <c r="O106" t="s">
        <v>67</v>
      </c>
      <c r="P106" t="s">
        <v>68</v>
      </c>
      <c r="Q106" t="s">
        <v>501</v>
      </c>
      <c r="R106">
        <v>1317.6</v>
      </c>
      <c r="S106">
        <v>3</v>
      </c>
      <c r="T106">
        <v>0.2</v>
      </c>
      <c r="U106" s="34" t="str">
        <f t="shared" si="10"/>
        <v>Medium</v>
      </c>
      <c r="V106">
        <v>321.81</v>
      </c>
      <c r="W106" s="29">
        <f t="shared" si="11"/>
        <v>0.244239526411658</v>
      </c>
      <c r="X106">
        <v>25.29</v>
      </c>
      <c r="Y106" t="s">
        <v>121</v>
      </c>
      <c r="Z106" s="34" t="str">
        <f t="shared" si="12"/>
        <v>Medium</v>
      </c>
    </row>
    <row r="107" spans="1:26">
      <c r="A107" t="s">
        <v>553</v>
      </c>
      <c r="B107" s="44">
        <v>45020</v>
      </c>
      <c r="C107" s="34">
        <f t="shared" si="7"/>
        <v>2023</v>
      </c>
      <c r="D107" s="34">
        <f t="shared" si="8"/>
        <v>4</v>
      </c>
      <c r="E107" s="34" t="str">
        <f t="shared" si="9"/>
        <v>April</v>
      </c>
      <c r="F107" s="44">
        <v>45025</v>
      </c>
      <c r="G107" t="s">
        <v>554</v>
      </c>
      <c r="H107" t="s">
        <v>555</v>
      </c>
      <c r="I107" t="s">
        <v>55</v>
      </c>
      <c r="J107" t="s">
        <v>43</v>
      </c>
      <c r="K107" t="s">
        <v>284</v>
      </c>
      <c r="L107" t="s">
        <v>414</v>
      </c>
      <c r="M107" t="s">
        <v>76</v>
      </c>
      <c r="N107" t="s">
        <v>118</v>
      </c>
      <c r="O107" t="s">
        <v>67</v>
      </c>
      <c r="P107" t="s">
        <v>119</v>
      </c>
      <c r="Q107" t="s">
        <v>120</v>
      </c>
      <c r="R107">
        <v>2398</v>
      </c>
      <c r="S107">
        <v>2</v>
      </c>
      <c r="T107">
        <v>0</v>
      </c>
      <c r="U107" s="34" t="str">
        <f t="shared" si="10"/>
        <v>No Discount</v>
      </c>
      <c r="V107">
        <v>282.09</v>
      </c>
      <c r="W107" s="29">
        <f t="shared" si="11"/>
        <v>0.117635529608007</v>
      </c>
      <c r="X107">
        <v>18.9</v>
      </c>
      <c r="Y107" t="s">
        <v>51</v>
      </c>
      <c r="Z107" s="34" t="str">
        <f t="shared" si="12"/>
        <v>Large</v>
      </c>
    </row>
    <row r="108" spans="1:26">
      <c r="A108" t="s">
        <v>556</v>
      </c>
      <c r="B108" s="44">
        <v>44264</v>
      </c>
      <c r="C108" s="34">
        <f t="shared" si="7"/>
        <v>2021</v>
      </c>
      <c r="D108" s="34">
        <f t="shared" si="8"/>
        <v>3</v>
      </c>
      <c r="E108" s="34" t="str">
        <f t="shared" si="9"/>
        <v>March</v>
      </c>
      <c r="F108" s="44">
        <v>44271</v>
      </c>
      <c r="G108" t="s">
        <v>483</v>
      </c>
      <c r="H108" t="s">
        <v>484</v>
      </c>
      <c r="I108" t="s">
        <v>42</v>
      </c>
      <c r="J108" t="s">
        <v>43</v>
      </c>
      <c r="K108" t="s">
        <v>108</v>
      </c>
      <c r="L108" t="s">
        <v>485</v>
      </c>
      <c r="M108" t="s">
        <v>58</v>
      </c>
      <c r="N108" t="s">
        <v>367</v>
      </c>
      <c r="O108" t="s">
        <v>35</v>
      </c>
      <c r="P108" t="s">
        <v>202</v>
      </c>
      <c r="Q108" t="s">
        <v>368</v>
      </c>
      <c r="R108">
        <v>1198</v>
      </c>
      <c r="S108">
        <v>2</v>
      </c>
      <c r="T108">
        <v>0</v>
      </c>
      <c r="U108" s="34" t="str">
        <f t="shared" si="10"/>
        <v>No Discount</v>
      </c>
      <c r="V108">
        <v>213.56</v>
      </c>
      <c r="W108" s="29">
        <f t="shared" si="11"/>
        <v>0.178263772954925</v>
      </c>
      <c r="X108">
        <v>6.92</v>
      </c>
      <c r="Y108" t="s">
        <v>38</v>
      </c>
      <c r="Z108" s="34" t="str">
        <f t="shared" si="12"/>
        <v>Medium</v>
      </c>
    </row>
    <row r="109" spans="1:26">
      <c r="A109" t="s">
        <v>557</v>
      </c>
      <c r="B109" s="44">
        <v>44217</v>
      </c>
      <c r="C109" s="34">
        <f t="shared" si="7"/>
        <v>2021</v>
      </c>
      <c r="D109" s="34">
        <f t="shared" si="8"/>
        <v>1</v>
      </c>
      <c r="E109" s="34" t="str">
        <f t="shared" si="9"/>
        <v>January</v>
      </c>
      <c r="F109" s="44">
        <v>44224</v>
      </c>
      <c r="G109" t="s">
        <v>558</v>
      </c>
      <c r="H109" t="s">
        <v>559</v>
      </c>
      <c r="I109" t="s">
        <v>42</v>
      </c>
      <c r="J109" t="s">
        <v>43</v>
      </c>
      <c r="K109" t="s">
        <v>233</v>
      </c>
      <c r="L109" t="s">
        <v>234</v>
      </c>
      <c r="M109" t="s">
        <v>46</v>
      </c>
      <c r="N109" t="s">
        <v>162</v>
      </c>
      <c r="O109" t="s">
        <v>35</v>
      </c>
      <c r="P109" t="s">
        <v>163</v>
      </c>
      <c r="Q109" t="s">
        <v>164</v>
      </c>
      <c r="R109">
        <v>411.75</v>
      </c>
      <c r="S109">
        <v>1</v>
      </c>
      <c r="T109">
        <v>0.25</v>
      </c>
      <c r="U109" s="34" t="str">
        <f t="shared" si="10"/>
        <v>High</v>
      </c>
      <c r="V109">
        <v>-34.77</v>
      </c>
      <c r="W109" s="29">
        <f t="shared" si="11"/>
        <v>-0.0844444444444444</v>
      </c>
      <c r="X109">
        <v>47.26</v>
      </c>
      <c r="Y109" t="s">
        <v>51</v>
      </c>
      <c r="Z109" s="34" t="str">
        <f t="shared" si="12"/>
        <v>Small</v>
      </c>
    </row>
    <row r="110" spans="1:26">
      <c r="A110" t="s">
        <v>560</v>
      </c>
      <c r="B110" s="44">
        <v>44941</v>
      </c>
      <c r="C110" s="34">
        <f t="shared" si="7"/>
        <v>2023</v>
      </c>
      <c r="D110" s="34">
        <f t="shared" si="8"/>
        <v>1</v>
      </c>
      <c r="E110" s="34" t="str">
        <f t="shared" si="9"/>
        <v>January</v>
      </c>
      <c r="F110" s="44">
        <v>44946</v>
      </c>
      <c r="G110" t="s">
        <v>561</v>
      </c>
      <c r="H110" t="s">
        <v>562</v>
      </c>
      <c r="I110" t="s">
        <v>29</v>
      </c>
      <c r="J110" t="s">
        <v>30</v>
      </c>
      <c r="K110" t="s">
        <v>551</v>
      </c>
      <c r="L110" t="s">
        <v>552</v>
      </c>
      <c r="M110" t="s">
        <v>33</v>
      </c>
      <c r="N110" t="s">
        <v>292</v>
      </c>
      <c r="O110" t="s">
        <v>35</v>
      </c>
      <c r="P110" t="s">
        <v>163</v>
      </c>
      <c r="Q110" t="s">
        <v>293</v>
      </c>
      <c r="R110">
        <v>2598</v>
      </c>
      <c r="S110">
        <v>2</v>
      </c>
      <c r="T110">
        <v>0</v>
      </c>
      <c r="U110" s="34" t="str">
        <f t="shared" si="10"/>
        <v>No Discount</v>
      </c>
      <c r="V110">
        <v>-139.78</v>
      </c>
      <c r="W110" s="29">
        <f t="shared" si="11"/>
        <v>-0.0538029253271747</v>
      </c>
      <c r="X110">
        <v>32.92</v>
      </c>
      <c r="Y110" t="s">
        <v>80</v>
      </c>
      <c r="Z110" s="34" t="str">
        <f t="shared" si="12"/>
        <v>Large</v>
      </c>
    </row>
    <row r="111" spans="1:26">
      <c r="A111" t="s">
        <v>563</v>
      </c>
      <c r="B111" s="44">
        <v>44556</v>
      </c>
      <c r="C111" s="34">
        <f t="shared" si="7"/>
        <v>2021</v>
      </c>
      <c r="D111" s="34">
        <f t="shared" si="8"/>
        <v>12</v>
      </c>
      <c r="E111" s="34" t="str">
        <f t="shared" si="9"/>
        <v>December</v>
      </c>
      <c r="F111" s="44">
        <v>44561</v>
      </c>
      <c r="G111" t="s">
        <v>564</v>
      </c>
      <c r="H111" t="s">
        <v>565</v>
      </c>
      <c r="I111" t="s">
        <v>29</v>
      </c>
      <c r="J111" t="s">
        <v>43</v>
      </c>
      <c r="K111" t="s">
        <v>199</v>
      </c>
      <c r="L111" t="s">
        <v>200</v>
      </c>
      <c r="M111" t="s">
        <v>46</v>
      </c>
      <c r="N111" t="s">
        <v>278</v>
      </c>
      <c r="O111" t="s">
        <v>35</v>
      </c>
      <c r="P111" t="s">
        <v>202</v>
      </c>
      <c r="Q111" t="s">
        <v>279</v>
      </c>
      <c r="R111">
        <v>4495</v>
      </c>
      <c r="S111">
        <v>5</v>
      </c>
      <c r="T111">
        <v>0</v>
      </c>
      <c r="U111" s="34" t="str">
        <f t="shared" si="10"/>
        <v>No Discount</v>
      </c>
      <c r="V111">
        <v>537.83</v>
      </c>
      <c r="W111" s="29">
        <f t="shared" si="11"/>
        <v>0.119650723025584</v>
      </c>
      <c r="X111">
        <v>5.24</v>
      </c>
      <c r="Y111" t="s">
        <v>38</v>
      </c>
      <c r="Z111" s="34" t="str">
        <f t="shared" si="12"/>
        <v>Large</v>
      </c>
    </row>
    <row r="112" spans="1:26">
      <c r="A112" t="s">
        <v>566</v>
      </c>
      <c r="B112" s="44">
        <v>44044</v>
      </c>
      <c r="C112" s="34">
        <f t="shared" si="7"/>
        <v>2020</v>
      </c>
      <c r="D112" s="34">
        <f t="shared" si="8"/>
        <v>8</v>
      </c>
      <c r="E112" s="34" t="str">
        <f t="shared" si="9"/>
        <v>August</v>
      </c>
      <c r="F112" s="44">
        <v>44048</v>
      </c>
      <c r="G112" t="s">
        <v>567</v>
      </c>
      <c r="H112" t="s">
        <v>186</v>
      </c>
      <c r="I112" t="s">
        <v>29</v>
      </c>
      <c r="J112" t="s">
        <v>43</v>
      </c>
      <c r="K112" t="s">
        <v>262</v>
      </c>
      <c r="L112" t="s">
        <v>568</v>
      </c>
      <c r="M112" t="s">
        <v>58</v>
      </c>
      <c r="N112" t="s">
        <v>47</v>
      </c>
      <c r="O112" t="s">
        <v>48</v>
      </c>
      <c r="P112" t="s">
        <v>49</v>
      </c>
      <c r="Q112" t="s">
        <v>50</v>
      </c>
      <c r="R112">
        <v>134.3</v>
      </c>
      <c r="S112">
        <v>2</v>
      </c>
      <c r="T112">
        <v>0.15</v>
      </c>
      <c r="U112" s="34" t="str">
        <f t="shared" si="10"/>
        <v>Medium</v>
      </c>
      <c r="V112">
        <v>17.98</v>
      </c>
      <c r="W112" s="29">
        <f t="shared" si="11"/>
        <v>0.133879374534624</v>
      </c>
      <c r="X112">
        <v>38.54</v>
      </c>
      <c r="Y112" t="s">
        <v>70</v>
      </c>
      <c r="Z112" s="34" t="str">
        <f t="shared" si="12"/>
        <v>Small</v>
      </c>
    </row>
    <row r="113" spans="1:26">
      <c r="A113" t="s">
        <v>569</v>
      </c>
      <c r="B113" s="44">
        <v>44313</v>
      </c>
      <c r="C113" s="34">
        <f t="shared" si="7"/>
        <v>2021</v>
      </c>
      <c r="D113" s="34">
        <f t="shared" si="8"/>
        <v>4</v>
      </c>
      <c r="E113" s="34" t="str">
        <f t="shared" si="9"/>
        <v>April</v>
      </c>
      <c r="F113" s="44">
        <v>44315</v>
      </c>
      <c r="G113" t="s">
        <v>570</v>
      </c>
      <c r="H113" t="s">
        <v>571</v>
      </c>
      <c r="I113" t="s">
        <v>42</v>
      </c>
      <c r="J113" t="s">
        <v>43</v>
      </c>
      <c r="K113" t="s">
        <v>284</v>
      </c>
      <c r="L113" t="s">
        <v>414</v>
      </c>
      <c r="M113" t="s">
        <v>76</v>
      </c>
      <c r="N113" t="s">
        <v>235</v>
      </c>
      <c r="O113" t="s">
        <v>35</v>
      </c>
      <c r="P113" t="s">
        <v>78</v>
      </c>
      <c r="Q113" t="s">
        <v>236</v>
      </c>
      <c r="R113">
        <v>384.3</v>
      </c>
      <c r="S113">
        <v>1</v>
      </c>
      <c r="T113">
        <v>0.3</v>
      </c>
      <c r="U113" s="34" t="str">
        <f t="shared" si="10"/>
        <v>High</v>
      </c>
      <c r="V113">
        <v>-33.9</v>
      </c>
      <c r="W113" s="29">
        <f t="shared" si="11"/>
        <v>-0.0882123341139734</v>
      </c>
      <c r="X113">
        <v>48.96</v>
      </c>
      <c r="Y113" t="s">
        <v>121</v>
      </c>
      <c r="Z113" s="34" t="str">
        <f t="shared" si="12"/>
        <v>Small</v>
      </c>
    </row>
    <row r="114" spans="1:26">
      <c r="A114" t="s">
        <v>572</v>
      </c>
      <c r="B114" s="44">
        <v>44837</v>
      </c>
      <c r="C114" s="34">
        <f t="shared" si="7"/>
        <v>2022</v>
      </c>
      <c r="D114" s="34">
        <f t="shared" si="8"/>
        <v>10</v>
      </c>
      <c r="E114" s="34" t="str">
        <f t="shared" si="9"/>
        <v>October</v>
      </c>
      <c r="F114" s="44">
        <v>44841</v>
      </c>
      <c r="G114" t="s">
        <v>573</v>
      </c>
      <c r="H114" t="s">
        <v>574</v>
      </c>
      <c r="I114" t="s">
        <v>55</v>
      </c>
      <c r="J114" t="s">
        <v>43</v>
      </c>
      <c r="K114" t="s">
        <v>180</v>
      </c>
      <c r="L114" t="s">
        <v>291</v>
      </c>
      <c r="M114" t="s">
        <v>46</v>
      </c>
      <c r="N114" t="s">
        <v>208</v>
      </c>
      <c r="O114" t="s">
        <v>48</v>
      </c>
      <c r="P114" t="s">
        <v>128</v>
      </c>
      <c r="Q114" t="s">
        <v>209</v>
      </c>
      <c r="R114">
        <v>63</v>
      </c>
      <c r="S114">
        <v>2</v>
      </c>
      <c r="T114">
        <v>0.1</v>
      </c>
      <c r="U114" s="34" t="str">
        <f t="shared" si="10"/>
        <v>Low</v>
      </c>
      <c r="V114">
        <v>-4.86</v>
      </c>
      <c r="W114" s="29">
        <f t="shared" si="11"/>
        <v>-0.0771428571428572</v>
      </c>
      <c r="X114">
        <v>37.21</v>
      </c>
      <c r="Y114" t="s">
        <v>137</v>
      </c>
      <c r="Z114" s="34" t="str">
        <f t="shared" si="12"/>
        <v>Small</v>
      </c>
    </row>
    <row r="115" spans="1:26">
      <c r="A115" t="s">
        <v>575</v>
      </c>
      <c r="B115" s="44">
        <v>44937</v>
      </c>
      <c r="C115" s="34">
        <f t="shared" si="7"/>
        <v>2023</v>
      </c>
      <c r="D115" s="34">
        <f t="shared" si="8"/>
        <v>1</v>
      </c>
      <c r="E115" s="34" t="str">
        <f t="shared" si="9"/>
        <v>January</v>
      </c>
      <c r="F115" s="44">
        <v>44939</v>
      </c>
      <c r="G115" t="s">
        <v>576</v>
      </c>
      <c r="H115" t="s">
        <v>577</v>
      </c>
      <c r="I115" t="s">
        <v>55</v>
      </c>
      <c r="J115" t="s">
        <v>43</v>
      </c>
      <c r="K115" t="s">
        <v>160</v>
      </c>
      <c r="L115" t="s">
        <v>578</v>
      </c>
      <c r="M115" t="s">
        <v>76</v>
      </c>
      <c r="N115" t="s">
        <v>546</v>
      </c>
      <c r="O115" t="s">
        <v>35</v>
      </c>
      <c r="P115" t="s">
        <v>36</v>
      </c>
      <c r="Q115" t="s">
        <v>547</v>
      </c>
      <c r="R115">
        <v>1676</v>
      </c>
      <c r="S115">
        <v>1</v>
      </c>
      <c r="T115">
        <v>0.2</v>
      </c>
      <c r="U115" s="34" t="str">
        <f t="shared" si="10"/>
        <v>Medium</v>
      </c>
      <c r="V115">
        <v>153.22</v>
      </c>
      <c r="W115" s="29">
        <f t="shared" si="11"/>
        <v>0.0914200477326969</v>
      </c>
      <c r="X115">
        <v>47.94</v>
      </c>
      <c r="Y115" t="s">
        <v>137</v>
      </c>
      <c r="Z115" s="34" t="str">
        <f t="shared" si="12"/>
        <v>Medium</v>
      </c>
    </row>
    <row r="116" spans="1:26">
      <c r="A116" t="s">
        <v>579</v>
      </c>
      <c r="B116" s="44">
        <v>44547</v>
      </c>
      <c r="C116" s="34">
        <f t="shared" si="7"/>
        <v>2021</v>
      </c>
      <c r="D116" s="34">
        <f t="shared" si="8"/>
        <v>12</v>
      </c>
      <c r="E116" s="34" t="str">
        <f t="shared" si="9"/>
        <v>December</v>
      </c>
      <c r="F116" s="44">
        <v>44552</v>
      </c>
      <c r="G116" t="s">
        <v>580</v>
      </c>
      <c r="H116" t="s">
        <v>581</v>
      </c>
      <c r="I116" t="s">
        <v>55</v>
      </c>
      <c r="J116" t="s">
        <v>43</v>
      </c>
      <c r="K116" t="s">
        <v>56</v>
      </c>
      <c r="L116" t="s">
        <v>519</v>
      </c>
      <c r="M116" t="s">
        <v>58</v>
      </c>
      <c r="N116" t="s">
        <v>582</v>
      </c>
      <c r="O116" t="s">
        <v>35</v>
      </c>
      <c r="P116" t="s">
        <v>78</v>
      </c>
      <c r="Q116" t="s">
        <v>583</v>
      </c>
      <c r="R116">
        <v>998</v>
      </c>
      <c r="S116">
        <v>2</v>
      </c>
      <c r="T116">
        <v>0</v>
      </c>
      <c r="U116" s="34" t="str">
        <f t="shared" si="10"/>
        <v>No Discount</v>
      </c>
      <c r="V116">
        <v>239.35</v>
      </c>
      <c r="W116" s="29">
        <f t="shared" si="11"/>
        <v>0.239829659318637</v>
      </c>
      <c r="X116">
        <v>33.83</v>
      </c>
      <c r="Y116" t="s">
        <v>96</v>
      </c>
      <c r="Z116" s="34" t="str">
        <f t="shared" si="12"/>
        <v>Medium</v>
      </c>
    </row>
    <row r="117" spans="1:26">
      <c r="A117" t="s">
        <v>584</v>
      </c>
      <c r="B117" s="44">
        <v>45465</v>
      </c>
      <c r="C117" s="34">
        <f t="shared" si="7"/>
        <v>2024</v>
      </c>
      <c r="D117" s="34">
        <f t="shared" si="8"/>
        <v>6</v>
      </c>
      <c r="E117" s="34" t="str">
        <f t="shared" si="9"/>
        <v>June</v>
      </c>
      <c r="F117" s="44">
        <v>45467</v>
      </c>
      <c r="G117" t="s">
        <v>585</v>
      </c>
      <c r="H117" t="s">
        <v>586</v>
      </c>
      <c r="I117" t="s">
        <v>29</v>
      </c>
      <c r="J117" t="s">
        <v>43</v>
      </c>
      <c r="K117" t="s">
        <v>320</v>
      </c>
      <c r="L117" t="s">
        <v>181</v>
      </c>
      <c r="M117" t="s">
        <v>46</v>
      </c>
      <c r="N117" t="s">
        <v>415</v>
      </c>
      <c r="O117" t="s">
        <v>67</v>
      </c>
      <c r="P117" t="s">
        <v>252</v>
      </c>
      <c r="Q117" t="s">
        <v>416</v>
      </c>
      <c r="R117">
        <v>399</v>
      </c>
      <c r="S117">
        <v>1</v>
      </c>
      <c r="T117">
        <v>0</v>
      </c>
      <c r="U117" s="34" t="str">
        <f t="shared" si="10"/>
        <v>No Discount</v>
      </c>
      <c r="V117">
        <v>0</v>
      </c>
      <c r="W117" s="29">
        <f t="shared" si="11"/>
        <v>0</v>
      </c>
      <c r="X117">
        <v>17.06</v>
      </c>
      <c r="Y117" t="s">
        <v>51</v>
      </c>
      <c r="Z117" s="34" t="str">
        <f t="shared" si="12"/>
        <v>Small</v>
      </c>
    </row>
    <row r="118" spans="1:26">
      <c r="A118" t="s">
        <v>587</v>
      </c>
      <c r="B118" s="44">
        <v>44955</v>
      </c>
      <c r="C118" s="34">
        <f t="shared" si="7"/>
        <v>2023</v>
      </c>
      <c r="D118" s="34">
        <f t="shared" si="8"/>
        <v>1</v>
      </c>
      <c r="E118" s="34" t="str">
        <f t="shared" si="9"/>
        <v>January</v>
      </c>
      <c r="F118" s="44">
        <v>44962</v>
      </c>
      <c r="G118" t="s">
        <v>588</v>
      </c>
      <c r="H118" t="s">
        <v>589</v>
      </c>
      <c r="I118" t="s">
        <v>42</v>
      </c>
      <c r="J118" t="s">
        <v>30</v>
      </c>
      <c r="K118" t="s">
        <v>100</v>
      </c>
      <c r="L118" t="s">
        <v>590</v>
      </c>
      <c r="M118" t="s">
        <v>33</v>
      </c>
      <c r="N118" t="s">
        <v>155</v>
      </c>
      <c r="O118" t="s">
        <v>67</v>
      </c>
      <c r="P118" t="s">
        <v>119</v>
      </c>
      <c r="Q118" t="s">
        <v>156</v>
      </c>
      <c r="R118">
        <v>1613.1</v>
      </c>
      <c r="S118">
        <v>2</v>
      </c>
      <c r="T118">
        <v>0.05</v>
      </c>
      <c r="U118" s="34" t="str">
        <f t="shared" si="10"/>
        <v>Low</v>
      </c>
      <c r="V118">
        <v>-137.4</v>
      </c>
      <c r="W118" s="29">
        <f t="shared" si="11"/>
        <v>-0.0851776083317835</v>
      </c>
      <c r="X118">
        <v>27.83</v>
      </c>
      <c r="Y118" t="s">
        <v>62</v>
      </c>
      <c r="Z118" s="34" t="str">
        <f t="shared" si="12"/>
        <v>Medium</v>
      </c>
    </row>
    <row r="119" spans="1:26">
      <c r="A119" t="s">
        <v>591</v>
      </c>
      <c r="B119" s="44">
        <v>44102</v>
      </c>
      <c r="C119" s="34">
        <f t="shared" si="7"/>
        <v>2020</v>
      </c>
      <c r="D119" s="34">
        <f t="shared" si="8"/>
        <v>9</v>
      </c>
      <c r="E119" s="34" t="str">
        <f t="shared" si="9"/>
        <v>September</v>
      </c>
      <c r="F119" s="44">
        <v>44105</v>
      </c>
      <c r="G119" t="s">
        <v>573</v>
      </c>
      <c r="H119" t="s">
        <v>574</v>
      </c>
      <c r="I119" t="s">
        <v>55</v>
      </c>
      <c r="J119" t="s">
        <v>43</v>
      </c>
      <c r="K119" t="s">
        <v>180</v>
      </c>
      <c r="L119" t="s">
        <v>291</v>
      </c>
      <c r="M119" t="s">
        <v>46</v>
      </c>
      <c r="N119" t="s">
        <v>424</v>
      </c>
      <c r="O119" t="s">
        <v>67</v>
      </c>
      <c r="P119" t="s">
        <v>103</v>
      </c>
      <c r="Q119" t="s">
        <v>425</v>
      </c>
      <c r="R119">
        <v>1849.65</v>
      </c>
      <c r="S119">
        <v>3</v>
      </c>
      <c r="T119">
        <v>0.05</v>
      </c>
      <c r="U119" s="34" t="str">
        <f t="shared" si="10"/>
        <v>Low</v>
      </c>
      <c r="V119">
        <v>322.69</v>
      </c>
      <c r="W119" s="29">
        <f t="shared" si="11"/>
        <v>0.174460032979212</v>
      </c>
      <c r="X119">
        <v>34.14</v>
      </c>
      <c r="Y119" t="s">
        <v>80</v>
      </c>
      <c r="Z119" s="34" t="str">
        <f t="shared" si="12"/>
        <v>Medium</v>
      </c>
    </row>
    <row r="120" spans="1:26">
      <c r="A120" t="s">
        <v>592</v>
      </c>
      <c r="B120" s="44">
        <v>43931</v>
      </c>
      <c r="C120" s="34">
        <f t="shared" si="7"/>
        <v>2020</v>
      </c>
      <c r="D120" s="34">
        <f t="shared" si="8"/>
        <v>4</v>
      </c>
      <c r="E120" s="34" t="str">
        <f t="shared" si="9"/>
        <v>April</v>
      </c>
      <c r="F120" s="44">
        <v>43937</v>
      </c>
      <c r="G120" t="s">
        <v>593</v>
      </c>
      <c r="H120" t="s">
        <v>594</v>
      </c>
      <c r="I120" t="s">
        <v>29</v>
      </c>
      <c r="J120" t="s">
        <v>43</v>
      </c>
      <c r="K120" t="s">
        <v>146</v>
      </c>
      <c r="L120" t="s">
        <v>595</v>
      </c>
      <c r="M120" t="s">
        <v>33</v>
      </c>
      <c r="N120" t="s">
        <v>344</v>
      </c>
      <c r="O120" t="s">
        <v>35</v>
      </c>
      <c r="P120" t="s">
        <v>163</v>
      </c>
      <c r="Q120" t="s">
        <v>345</v>
      </c>
      <c r="R120">
        <v>2556.8</v>
      </c>
      <c r="S120">
        <v>4</v>
      </c>
      <c r="T120">
        <v>0.2</v>
      </c>
      <c r="U120" s="34" t="str">
        <f t="shared" si="10"/>
        <v>Medium</v>
      </c>
      <c r="V120">
        <v>558.38</v>
      </c>
      <c r="W120" s="29">
        <f t="shared" si="11"/>
        <v>0.218390175219024</v>
      </c>
      <c r="X120">
        <v>13.73</v>
      </c>
      <c r="Y120" t="s">
        <v>38</v>
      </c>
      <c r="Z120" s="34" t="str">
        <f t="shared" si="12"/>
        <v>Large</v>
      </c>
    </row>
    <row r="121" spans="1:26">
      <c r="A121" t="s">
        <v>596</v>
      </c>
      <c r="B121" s="44">
        <v>44306</v>
      </c>
      <c r="C121" s="34">
        <f t="shared" si="7"/>
        <v>2021</v>
      </c>
      <c r="D121" s="34">
        <f t="shared" si="8"/>
        <v>4</v>
      </c>
      <c r="E121" s="34" t="str">
        <f t="shared" si="9"/>
        <v>April</v>
      </c>
      <c r="F121" s="44">
        <v>44309</v>
      </c>
      <c r="G121" t="s">
        <v>597</v>
      </c>
      <c r="H121" t="s">
        <v>598</v>
      </c>
      <c r="I121" t="s">
        <v>29</v>
      </c>
      <c r="J121" t="s">
        <v>30</v>
      </c>
      <c r="K121" t="s">
        <v>199</v>
      </c>
      <c r="L121" t="s">
        <v>396</v>
      </c>
      <c r="M121" t="s">
        <v>46</v>
      </c>
      <c r="N121" t="s">
        <v>459</v>
      </c>
      <c r="O121" t="s">
        <v>48</v>
      </c>
      <c r="P121" t="s">
        <v>128</v>
      </c>
      <c r="Q121" t="s">
        <v>460</v>
      </c>
      <c r="R121">
        <v>98.6</v>
      </c>
      <c r="S121">
        <v>4</v>
      </c>
      <c r="T121">
        <v>0.15</v>
      </c>
      <c r="U121" s="34" t="str">
        <f t="shared" si="10"/>
        <v>Medium</v>
      </c>
      <c r="V121">
        <v>9.68</v>
      </c>
      <c r="W121" s="29">
        <f t="shared" si="11"/>
        <v>0.0981744421906694</v>
      </c>
      <c r="X121">
        <v>7.17</v>
      </c>
      <c r="Y121" t="s">
        <v>38</v>
      </c>
      <c r="Z121" s="34" t="str">
        <f t="shared" si="12"/>
        <v>Small</v>
      </c>
    </row>
    <row r="122" spans="1:26">
      <c r="A122" t="s">
        <v>599</v>
      </c>
      <c r="B122" s="44">
        <v>45063</v>
      </c>
      <c r="C122" s="34">
        <f t="shared" si="7"/>
        <v>2023</v>
      </c>
      <c r="D122" s="34">
        <f t="shared" si="8"/>
        <v>5</v>
      </c>
      <c r="E122" s="34" t="str">
        <f t="shared" si="9"/>
        <v>May</v>
      </c>
      <c r="F122" s="44">
        <v>45065</v>
      </c>
      <c r="G122" t="s">
        <v>600</v>
      </c>
      <c r="H122" t="s">
        <v>601</v>
      </c>
      <c r="I122" t="s">
        <v>55</v>
      </c>
      <c r="J122" t="s">
        <v>43</v>
      </c>
      <c r="K122" t="s">
        <v>602</v>
      </c>
      <c r="L122" t="s">
        <v>603</v>
      </c>
      <c r="M122" t="s">
        <v>46</v>
      </c>
      <c r="N122" t="s">
        <v>228</v>
      </c>
      <c r="O122" t="s">
        <v>67</v>
      </c>
      <c r="P122" t="s">
        <v>103</v>
      </c>
      <c r="Q122" t="s">
        <v>229</v>
      </c>
      <c r="R122">
        <v>707.75</v>
      </c>
      <c r="S122">
        <v>5</v>
      </c>
      <c r="T122">
        <v>0.05</v>
      </c>
      <c r="U122" s="34" t="str">
        <f t="shared" si="10"/>
        <v>Low</v>
      </c>
      <c r="V122">
        <v>174.05</v>
      </c>
      <c r="W122" s="29">
        <f t="shared" si="11"/>
        <v>0.245920169551395</v>
      </c>
      <c r="X122">
        <v>9.63</v>
      </c>
      <c r="Y122" t="s">
        <v>137</v>
      </c>
      <c r="Z122" s="34" t="str">
        <f t="shared" si="12"/>
        <v>Medium</v>
      </c>
    </row>
    <row r="123" spans="1:26">
      <c r="A123" t="s">
        <v>604</v>
      </c>
      <c r="B123" s="44">
        <v>45075</v>
      </c>
      <c r="C123" s="34">
        <f t="shared" si="7"/>
        <v>2023</v>
      </c>
      <c r="D123" s="34">
        <f t="shared" si="8"/>
        <v>5</v>
      </c>
      <c r="E123" s="34" t="str">
        <f t="shared" si="9"/>
        <v>May</v>
      </c>
      <c r="F123" s="44">
        <v>45079</v>
      </c>
      <c r="G123" t="s">
        <v>605</v>
      </c>
      <c r="H123" t="s">
        <v>606</v>
      </c>
      <c r="I123" t="s">
        <v>55</v>
      </c>
      <c r="J123" t="s">
        <v>43</v>
      </c>
      <c r="K123" t="s">
        <v>92</v>
      </c>
      <c r="L123" t="s">
        <v>607</v>
      </c>
      <c r="M123" t="s">
        <v>76</v>
      </c>
      <c r="N123" t="s">
        <v>182</v>
      </c>
      <c r="O123" t="s">
        <v>48</v>
      </c>
      <c r="P123" t="s">
        <v>128</v>
      </c>
      <c r="Q123" t="s">
        <v>183</v>
      </c>
      <c r="R123">
        <v>316</v>
      </c>
      <c r="S123">
        <v>5</v>
      </c>
      <c r="T123">
        <v>0.2</v>
      </c>
      <c r="U123" s="34" t="str">
        <f t="shared" si="10"/>
        <v>Medium</v>
      </c>
      <c r="V123">
        <v>44.43</v>
      </c>
      <c r="W123" s="29">
        <f t="shared" si="11"/>
        <v>0.140601265822785</v>
      </c>
      <c r="X123">
        <v>9.91</v>
      </c>
      <c r="Y123" t="s">
        <v>121</v>
      </c>
      <c r="Z123" s="34" t="str">
        <f t="shared" si="12"/>
        <v>Small</v>
      </c>
    </row>
    <row r="124" spans="1:26">
      <c r="A124" t="s">
        <v>608</v>
      </c>
      <c r="B124" s="44">
        <v>45562</v>
      </c>
      <c r="C124" s="34">
        <f t="shared" si="7"/>
        <v>2024</v>
      </c>
      <c r="D124" s="34">
        <f t="shared" si="8"/>
        <v>9</v>
      </c>
      <c r="E124" s="34" t="str">
        <f t="shared" si="9"/>
        <v>September</v>
      </c>
      <c r="F124" s="44">
        <v>45565</v>
      </c>
      <c r="G124" t="s">
        <v>483</v>
      </c>
      <c r="H124" t="s">
        <v>484</v>
      </c>
      <c r="I124" t="s">
        <v>42</v>
      </c>
      <c r="J124" t="s">
        <v>43</v>
      </c>
      <c r="K124" t="s">
        <v>108</v>
      </c>
      <c r="L124" t="s">
        <v>485</v>
      </c>
      <c r="M124" t="s">
        <v>58</v>
      </c>
      <c r="N124" t="s">
        <v>141</v>
      </c>
      <c r="O124" t="s">
        <v>35</v>
      </c>
      <c r="P124" t="s">
        <v>111</v>
      </c>
      <c r="Q124" t="s">
        <v>142</v>
      </c>
      <c r="R124">
        <v>298</v>
      </c>
      <c r="S124">
        <v>2</v>
      </c>
      <c r="T124">
        <v>0</v>
      </c>
      <c r="U124" s="34" t="str">
        <f t="shared" si="10"/>
        <v>No Discount</v>
      </c>
      <c r="V124">
        <v>26.33</v>
      </c>
      <c r="W124" s="29">
        <f t="shared" si="11"/>
        <v>0.0883557046979866</v>
      </c>
      <c r="X124">
        <v>11.58</v>
      </c>
      <c r="Y124" t="s">
        <v>51</v>
      </c>
      <c r="Z124" s="34" t="str">
        <f t="shared" si="12"/>
        <v>Small</v>
      </c>
    </row>
    <row r="125" spans="1:26">
      <c r="A125" t="s">
        <v>609</v>
      </c>
      <c r="B125" s="44">
        <v>44070</v>
      </c>
      <c r="C125" s="34">
        <f t="shared" si="7"/>
        <v>2020</v>
      </c>
      <c r="D125" s="34">
        <f t="shared" si="8"/>
        <v>8</v>
      </c>
      <c r="E125" s="34" t="str">
        <f t="shared" si="9"/>
        <v>August</v>
      </c>
      <c r="F125" s="44">
        <v>44074</v>
      </c>
      <c r="G125" t="s">
        <v>255</v>
      </c>
      <c r="H125" t="s">
        <v>256</v>
      </c>
      <c r="I125" t="s">
        <v>29</v>
      </c>
      <c r="J125" t="s">
        <v>43</v>
      </c>
      <c r="K125" t="s">
        <v>257</v>
      </c>
      <c r="L125" t="s">
        <v>258</v>
      </c>
      <c r="M125" t="s">
        <v>76</v>
      </c>
      <c r="N125" t="s">
        <v>148</v>
      </c>
      <c r="O125" t="s">
        <v>48</v>
      </c>
      <c r="P125" t="s">
        <v>60</v>
      </c>
      <c r="Q125" t="s">
        <v>149</v>
      </c>
      <c r="R125">
        <v>233.75</v>
      </c>
      <c r="S125">
        <v>5</v>
      </c>
      <c r="T125">
        <v>0.15</v>
      </c>
      <c r="U125" s="34" t="str">
        <f t="shared" si="10"/>
        <v>Medium</v>
      </c>
      <c r="V125">
        <v>-26.25</v>
      </c>
      <c r="W125" s="29">
        <f t="shared" si="11"/>
        <v>-0.112299465240642</v>
      </c>
      <c r="X125">
        <v>25.17</v>
      </c>
      <c r="Y125" t="s">
        <v>80</v>
      </c>
      <c r="Z125" s="34" t="str">
        <f t="shared" si="12"/>
        <v>Small</v>
      </c>
    </row>
    <row r="126" spans="1:26">
      <c r="A126" t="s">
        <v>610</v>
      </c>
      <c r="B126" s="44">
        <v>44259</v>
      </c>
      <c r="C126" s="34">
        <f t="shared" si="7"/>
        <v>2021</v>
      </c>
      <c r="D126" s="34">
        <f t="shared" si="8"/>
        <v>3</v>
      </c>
      <c r="E126" s="34" t="str">
        <f t="shared" si="9"/>
        <v>March</v>
      </c>
      <c r="F126" s="44">
        <v>44266</v>
      </c>
      <c r="G126" t="s">
        <v>611</v>
      </c>
      <c r="H126" t="s">
        <v>612</v>
      </c>
      <c r="I126" t="s">
        <v>42</v>
      </c>
      <c r="J126" t="s">
        <v>30</v>
      </c>
      <c r="K126" t="s">
        <v>74</v>
      </c>
      <c r="L126" t="s">
        <v>613</v>
      </c>
      <c r="M126" t="s">
        <v>76</v>
      </c>
      <c r="N126" t="s">
        <v>228</v>
      </c>
      <c r="O126" t="s">
        <v>67</v>
      </c>
      <c r="P126" t="s">
        <v>103</v>
      </c>
      <c r="Q126" t="s">
        <v>229</v>
      </c>
      <c r="R126">
        <v>298</v>
      </c>
      <c r="S126">
        <v>2</v>
      </c>
      <c r="T126">
        <v>0</v>
      </c>
      <c r="U126" s="34" t="str">
        <f t="shared" si="10"/>
        <v>No Discount</v>
      </c>
      <c r="V126">
        <v>45.53</v>
      </c>
      <c r="W126" s="29">
        <f t="shared" si="11"/>
        <v>0.152785234899329</v>
      </c>
      <c r="X126">
        <v>27.03</v>
      </c>
      <c r="Y126" t="s">
        <v>51</v>
      </c>
      <c r="Z126" s="34" t="str">
        <f t="shared" si="12"/>
        <v>Small</v>
      </c>
    </row>
    <row r="127" spans="1:26">
      <c r="A127" t="s">
        <v>614</v>
      </c>
      <c r="B127" s="44">
        <v>45107</v>
      </c>
      <c r="C127" s="34">
        <f t="shared" si="7"/>
        <v>2023</v>
      </c>
      <c r="D127" s="34">
        <f t="shared" si="8"/>
        <v>6</v>
      </c>
      <c r="E127" s="34" t="str">
        <f t="shared" si="9"/>
        <v>June</v>
      </c>
      <c r="F127" s="44">
        <v>45108</v>
      </c>
      <c r="G127" t="s">
        <v>615</v>
      </c>
      <c r="H127" t="s">
        <v>616</v>
      </c>
      <c r="I127" t="s">
        <v>55</v>
      </c>
      <c r="J127" t="s">
        <v>30</v>
      </c>
      <c r="K127" t="s">
        <v>233</v>
      </c>
      <c r="L127" t="s">
        <v>234</v>
      </c>
      <c r="M127" t="s">
        <v>46</v>
      </c>
      <c r="N127" t="s">
        <v>182</v>
      </c>
      <c r="O127" t="s">
        <v>48</v>
      </c>
      <c r="P127" t="s">
        <v>128</v>
      </c>
      <c r="Q127" t="s">
        <v>183</v>
      </c>
      <c r="R127">
        <v>395</v>
      </c>
      <c r="S127">
        <v>5</v>
      </c>
      <c r="T127">
        <v>0</v>
      </c>
      <c r="U127" s="34" t="str">
        <f t="shared" si="10"/>
        <v>No Discount</v>
      </c>
      <c r="V127">
        <v>48.81</v>
      </c>
      <c r="W127" s="29">
        <f t="shared" si="11"/>
        <v>0.123569620253165</v>
      </c>
      <c r="X127">
        <v>34.79</v>
      </c>
      <c r="Y127" t="s">
        <v>80</v>
      </c>
      <c r="Z127" s="34" t="str">
        <f t="shared" si="12"/>
        <v>Small</v>
      </c>
    </row>
    <row r="128" spans="1:26">
      <c r="A128" t="s">
        <v>617</v>
      </c>
      <c r="B128" s="44">
        <v>45081</v>
      </c>
      <c r="C128" s="34">
        <f t="shared" si="7"/>
        <v>2023</v>
      </c>
      <c r="D128" s="34">
        <f t="shared" si="8"/>
        <v>6</v>
      </c>
      <c r="E128" s="34" t="str">
        <f t="shared" si="9"/>
        <v>June</v>
      </c>
      <c r="F128" s="44">
        <v>45082</v>
      </c>
      <c r="G128" t="s">
        <v>158</v>
      </c>
      <c r="H128" t="s">
        <v>159</v>
      </c>
      <c r="I128" t="s">
        <v>42</v>
      </c>
      <c r="J128" t="s">
        <v>30</v>
      </c>
      <c r="K128" t="s">
        <v>160</v>
      </c>
      <c r="L128" t="s">
        <v>161</v>
      </c>
      <c r="M128" t="s">
        <v>76</v>
      </c>
      <c r="N128" t="s">
        <v>94</v>
      </c>
      <c r="O128" t="s">
        <v>35</v>
      </c>
      <c r="P128" t="s">
        <v>36</v>
      </c>
      <c r="Q128" t="s">
        <v>95</v>
      </c>
      <c r="R128">
        <v>4322.25</v>
      </c>
      <c r="S128">
        <v>3</v>
      </c>
      <c r="T128">
        <v>0.15</v>
      </c>
      <c r="U128" s="34" t="str">
        <f t="shared" si="10"/>
        <v>Medium</v>
      </c>
      <c r="V128">
        <v>635.95</v>
      </c>
      <c r="W128" s="29">
        <f t="shared" si="11"/>
        <v>0.147134015848227</v>
      </c>
      <c r="X128">
        <v>41.28</v>
      </c>
      <c r="Y128" t="s">
        <v>62</v>
      </c>
      <c r="Z128" s="34" t="str">
        <f t="shared" si="12"/>
        <v>Large</v>
      </c>
    </row>
    <row r="129" spans="1:26">
      <c r="A129" t="s">
        <v>618</v>
      </c>
      <c r="B129" s="44">
        <v>44517</v>
      </c>
      <c r="C129" s="34">
        <f t="shared" si="7"/>
        <v>2021</v>
      </c>
      <c r="D129" s="34">
        <f t="shared" si="8"/>
        <v>11</v>
      </c>
      <c r="E129" s="34" t="str">
        <f t="shared" si="9"/>
        <v>November</v>
      </c>
      <c r="F129" s="44">
        <v>44522</v>
      </c>
      <c r="G129" t="s">
        <v>619</v>
      </c>
      <c r="H129" t="s">
        <v>620</v>
      </c>
      <c r="I129" t="s">
        <v>55</v>
      </c>
      <c r="J129" t="s">
        <v>43</v>
      </c>
      <c r="K129" t="s">
        <v>168</v>
      </c>
      <c r="L129" t="s">
        <v>621</v>
      </c>
      <c r="M129" t="s">
        <v>76</v>
      </c>
      <c r="N129" t="s">
        <v>474</v>
      </c>
      <c r="O129" t="s">
        <v>35</v>
      </c>
      <c r="P129" t="s">
        <v>78</v>
      </c>
      <c r="Q129" t="s">
        <v>475</v>
      </c>
      <c r="R129">
        <v>2398</v>
      </c>
      <c r="S129">
        <v>2</v>
      </c>
      <c r="T129">
        <v>0</v>
      </c>
      <c r="U129" s="34" t="str">
        <f t="shared" si="10"/>
        <v>No Discount</v>
      </c>
      <c r="V129">
        <v>466.37</v>
      </c>
      <c r="W129" s="29">
        <f t="shared" si="11"/>
        <v>0.194482902418682</v>
      </c>
      <c r="X129">
        <v>44.1</v>
      </c>
      <c r="Y129" t="s">
        <v>80</v>
      </c>
      <c r="Z129" s="34" t="str">
        <f t="shared" si="12"/>
        <v>Large</v>
      </c>
    </row>
    <row r="130" spans="1:26">
      <c r="A130" t="s">
        <v>622</v>
      </c>
      <c r="B130" s="44">
        <v>44699</v>
      </c>
      <c r="C130" s="34">
        <f t="shared" ref="C130:C193" si="13">YEAR(B130)</f>
        <v>2022</v>
      </c>
      <c r="D130" s="34">
        <f t="shared" ref="D130:D193" si="14">MONTH(B130)</f>
        <v>5</v>
      </c>
      <c r="E130" s="34" t="str">
        <f t="shared" ref="E130:E193" si="15">TEXT(B130,"mmmm")</f>
        <v>May</v>
      </c>
      <c r="F130" s="44">
        <v>44701</v>
      </c>
      <c r="G130" t="s">
        <v>378</v>
      </c>
      <c r="H130" t="s">
        <v>379</v>
      </c>
      <c r="I130" t="s">
        <v>55</v>
      </c>
      <c r="J130" t="s">
        <v>30</v>
      </c>
      <c r="K130" t="s">
        <v>380</v>
      </c>
      <c r="L130" t="s">
        <v>381</v>
      </c>
      <c r="M130" t="s">
        <v>58</v>
      </c>
      <c r="N130" t="s">
        <v>623</v>
      </c>
      <c r="O130" t="s">
        <v>67</v>
      </c>
      <c r="P130" t="s">
        <v>87</v>
      </c>
      <c r="Q130" t="s">
        <v>624</v>
      </c>
      <c r="R130">
        <v>1182.75</v>
      </c>
      <c r="S130">
        <v>5</v>
      </c>
      <c r="T130">
        <v>0.05</v>
      </c>
      <c r="U130" s="34" t="str">
        <f t="shared" ref="U130:U193" si="16">IF(T130=0,"No Discount",IF(T130&lt;=0.1,"Low",IF(T130&lt;=0.2,"Medium","High")))</f>
        <v>Low</v>
      </c>
      <c r="V130">
        <v>-66.14</v>
      </c>
      <c r="W130" s="29">
        <f t="shared" ref="W130:W193" si="17">V130/R130</f>
        <v>-0.0559205242020714</v>
      </c>
      <c r="X130">
        <v>23.34</v>
      </c>
      <c r="Y130" t="s">
        <v>137</v>
      </c>
      <c r="Z130" s="34" t="str">
        <f t="shared" ref="Z130:Z193" si="18">IF(R130&lt;500,"Small",IF(R130&lt;=2000,"Medium","Large"))</f>
        <v>Medium</v>
      </c>
    </row>
    <row r="131" spans="1:26">
      <c r="A131" t="s">
        <v>625</v>
      </c>
      <c r="B131" s="44">
        <v>44899</v>
      </c>
      <c r="C131" s="34">
        <f t="shared" si="13"/>
        <v>2022</v>
      </c>
      <c r="D131" s="34">
        <f t="shared" si="14"/>
        <v>12</v>
      </c>
      <c r="E131" s="34" t="str">
        <f t="shared" si="15"/>
        <v>December</v>
      </c>
      <c r="F131" s="44">
        <v>44905</v>
      </c>
      <c r="G131" t="s">
        <v>626</v>
      </c>
      <c r="H131" t="s">
        <v>627</v>
      </c>
      <c r="I131" t="s">
        <v>29</v>
      </c>
      <c r="J131" t="s">
        <v>43</v>
      </c>
      <c r="K131" t="s">
        <v>245</v>
      </c>
      <c r="L131" t="s">
        <v>511</v>
      </c>
      <c r="M131" t="s">
        <v>76</v>
      </c>
      <c r="N131" t="s">
        <v>189</v>
      </c>
      <c r="O131" t="s">
        <v>48</v>
      </c>
      <c r="P131" t="s">
        <v>190</v>
      </c>
      <c r="Q131" t="s">
        <v>191</v>
      </c>
      <c r="R131">
        <v>105</v>
      </c>
      <c r="S131">
        <v>3</v>
      </c>
      <c r="T131">
        <v>0</v>
      </c>
      <c r="U131" s="34" t="str">
        <f t="shared" si="16"/>
        <v>No Discount</v>
      </c>
      <c r="V131">
        <v>11.65</v>
      </c>
      <c r="W131" s="29">
        <f t="shared" si="17"/>
        <v>0.110952380952381</v>
      </c>
      <c r="X131">
        <v>13.68</v>
      </c>
      <c r="Y131" t="s">
        <v>80</v>
      </c>
      <c r="Z131" s="34" t="str">
        <f t="shared" si="18"/>
        <v>Small</v>
      </c>
    </row>
    <row r="132" spans="1:26">
      <c r="A132" t="s">
        <v>628</v>
      </c>
      <c r="B132" s="44">
        <v>44671</v>
      </c>
      <c r="C132" s="34">
        <f t="shared" si="13"/>
        <v>2022</v>
      </c>
      <c r="D132" s="34">
        <f t="shared" si="14"/>
        <v>4</v>
      </c>
      <c r="E132" s="34" t="str">
        <f t="shared" si="15"/>
        <v>April</v>
      </c>
      <c r="F132" s="44">
        <v>44675</v>
      </c>
      <c r="G132" t="s">
        <v>629</v>
      </c>
      <c r="H132" t="s">
        <v>630</v>
      </c>
      <c r="I132" t="s">
        <v>42</v>
      </c>
      <c r="J132" t="s">
        <v>43</v>
      </c>
      <c r="K132" t="s">
        <v>125</v>
      </c>
      <c r="L132" t="s">
        <v>631</v>
      </c>
      <c r="M132" t="s">
        <v>58</v>
      </c>
      <c r="N132" t="s">
        <v>94</v>
      </c>
      <c r="O132" t="s">
        <v>35</v>
      </c>
      <c r="P132" t="s">
        <v>36</v>
      </c>
      <c r="Q132" t="s">
        <v>95</v>
      </c>
      <c r="R132">
        <v>1186.5</v>
      </c>
      <c r="S132">
        <v>1</v>
      </c>
      <c r="T132">
        <v>0.3</v>
      </c>
      <c r="U132" s="34" t="str">
        <f t="shared" si="16"/>
        <v>High</v>
      </c>
      <c r="V132">
        <v>-96.78</v>
      </c>
      <c r="W132" s="29">
        <f t="shared" si="17"/>
        <v>-0.0815676359039191</v>
      </c>
      <c r="X132">
        <v>6.19</v>
      </c>
      <c r="Y132" t="s">
        <v>137</v>
      </c>
      <c r="Z132" s="34" t="str">
        <f t="shared" si="18"/>
        <v>Medium</v>
      </c>
    </row>
    <row r="133" spans="1:26">
      <c r="A133" t="s">
        <v>632</v>
      </c>
      <c r="B133" s="44">
        <v>44043</v>
      </c>
      <c r="C133" s="34">
        <f t="shared" si="13"/>
        <v>2020</v>
      </c>
      <c r="D133" s="34">
        <f t="shared" si="14"/>
        <v>7</v>
      </c>
      <c r="E133" s="34" t="str">
        <f t="shared" si="15"/>
        <v>July</v>
      </c>
      <c r="F133" s="44">
        <v>44049</v>
      </c>
      <c r="G133" t="s">
        <v>633</v>
      </c>
      <c r="H133" t="s">
        <v>634</v>
      </c>
      <c r="I133" t="s">
        <v>29</v>
      </c>
      <c r="J133" t="s">
        <v>43</v>
      </c>
      <c r="K133" t="s">
        <v>240</v>
      </c>
      <c r="L133" t="s">
        <v>635</v>
      </c>
      <c r="M133" t="s">
        <v>46</v>
      </c>
      <c r="N133" t="s">
        <v>235</v>
      </c>
      <c r="O133" t="s">
        <v>35</v>
      </c>
      <c r="P133" t="s">
        <v>78</v>
      </c>
      <c r="Q133" t="s">
        <v>236</v>
      </c>
      <c r="R133">
        <v>1866.6</v>
      </c>
      <c r="S133">
        <v>4</v>
      </c>
      <c r="T133">
        <v>0.15</v>
      </c>
      <c r="U133" s="34" t="str">
        <f t="shared" si="16"/>
        <v>Medium</v>
      </c>
      <c r="V133">
        <v>462.19</v>
      </c>
      <c r="W133" s="29">
        <f t="shared" si="17"/>
        <v>0.247610628951034</v>
      </c>
      <c r="X133">
        <v>14.87</v>
      </c>
      <c r="Y133" t="s">
        <v>96</v>
      </c>
      <c r="Z133" s="34" t="str">
        <f t="shared" si="18"/>
        <v>Medium</v>
      </c>
    </row>
    <row r="134" spans="1:26">
      <c r="A134" t="s">
        <v>636</v>
      </c>
      <c r="B134" s="44">
        <v>45597</v>
      </c>
      <c r="C134" s="34">
        <f t="shared" si="13"/>
        <v>2024</v>
      </c>
      <c r="D134" s="34">
        <f t="shared" si="14"/>
        <v>11</v>
      </c>
      <c r="E134" s="34" t="str">
        <f t="shared" si="15"/>
        <v>November</v>
      </c>
      <c r="F134" s="44">
        <v>45603</v>
      </c>
      <c r="G134" t="s">
        <v>585</v>
      </c>
      <c r="H134" t="s">
        <v>586</v>
      </c>
      <c r="I134" t="s">
        <v>29</v>
      </c>
      <c r="J134" t="s">
        <v>43</v>
      </c>
      <c r="K134" t="s">
        <v>320</v>
      </c>
      <c r="L134" t="s">
        <v>181</v>
      </c>
      <c r="M134" t="s">
        <v>46</v>
      </c>
      <c r="N134" t="s">
        <v>141</v>
      </c>
      <c r="O134" t="s">
        <v>35</v>
      </c>
      <c r="P134" t="s">
        <v>111</v>
      </c>
      <c r="Q134" t="s">
        <v>142</v>
      </c>
      <c r="R134">
        <v>223.5</v>
      </c>
      <c r="S134">
        <v>2</v>
      </c>
      <c r="T134">
        <v>0.25</v>
      </c>
      <c r="U134" s="34" t="str">
        <f t="shared" si="16"/>
        <v>High</v>
      </c>
      <c r="V134">
        <v>26.3</v>
      </c>
      <c r="W134" s="29">
        <f t="shared" si="17"/>
        <v>0.117673378076063</v>
      </c>
      <c r="X134">
        <v>46.42</v>
      </c>
      <c r="Y134" t="s">
        <v>38</v>
      </c>
      <c r="Z134" s="34" t="str">
        <f t="shared" si="18"/>
        <v>Small</v>
      </c>
    </row>
    <row r="135" spans="1:26">
      <c r="A135" t="s">
        <v>637</v>
      </c>
      <c r="B135" s="44">
        <v>45099</v>
      </c>
      <c r="C135" s="34">
        <f t="shared" si="13"/>
        <v>2023</v>
      </c>
      <c r="D135" s="34">
        <f t="shared" si="14"/>
        <v>6</v>
      </c>
      <c r="E135" s="34" t="str">
        <f t="shared" si="15"/>
        <v>June</v>
      </c>
      <c r="F135" s="44">
        <v>45100</v>
      </c>
      <c r="G135" t="s">
        <v>638</v>
      </c>
      <c r="H135" t="s">
        <v>639</v>
      </c>
      <c r="I135" t="s">
        <v>29</v>
      </c>
      <c r="J135" t="s">
        <v>43</v>
      </c>
      <c r="K135" t="s">
        <v>640</v>
      </c>
      <c r="L135" t="s">
        <v>641</v>
      </c>
      <c r="M135" t="s">
        <v>76</v>
      </c>
      <c r="N135" t="s">
        <v>215</v>
      </c>
      <c r="O135" t="s">
        <v>35</v>
      </c>
      <c r="P135" t="s">
        <v>36</v>
      </c>
      <c r="Q135" t="s">
        <v>216</v>
      </c>
      <c r="R135">
        <v>3897</v>
      </c>
      <c r="S135">
        <v>3</v>
      </c>
      <c r="T135">
        <v>0</v>
      </c>
      <c r="U135" s="34" t="str">
        <f t="shared" si="16"/>
        <v>No Discount</v>
      </c>
      <c r="V135">
        <v>-202.48</v>
      </c>
      <c r="W135" s="29">
        <f t="shared" si="17"/>
        <v>-0.0519579163459071</v>
      </c>
      <c r="X135">
        <v>25.43</v>
      </c>
      <c r="Y135" t="s">
        <v>121</v>
      </c>
      <c r="Z135" s="34" t="str">
        <f t="shared" si="18"/>
        <v>Large</v>
      </c>
    </row>
    <row r="136" spans="1:26">
      <c r="A136" t="s">
        <v>642</v>
      </c>
      <c r="B136" s="44">
        <v>45380</v>
      </c>
      <c r="C136" s="34">
        <f t="shared" si="13"/>
        <v>2024</v>
      </c>
      <c r="D136" s="34">
        <f t="shared" si="14"/>
        <v>3</v>
      </c>
      <c r="E136" s="34" t="str">
        <f t="shared" si="15"/>
        <v>March</v>
      </c>
      <c r="F136" s="44">
        <v>45384</v>
      </c>
      <c r="G136" t="s">
        <v>643</v>
      </c>
      <c r="H136" t="s">
        <v>644</v>
      </c>
      <c r="I136" t="s">
        <v>42</v>
      </c>
      <c r="J136" t="s">
        <v>43</v>
      </c>
      <c r="K136" t="s">
        <v>645</v>
      </c>
      <c r="L136" t="s">
        <v>646</v>
      </c>
      <c r="M136" t="s">
        <v>58</v>
      </c>
      <c r="N136" t="s">
        <v>409</v>
      </c>
      <c r="O136" t="s">
        <v>48</v>
      </c>
      <c r="P136" t="s">
        <v>60</v>
      </c>
      <c r="Q136" t="s">
        <v>410</v>
      </c>
      <c r="R136">
        <v>117</v>
      </c>
      <c r="S136">
        <v>3</v>
      </c>
      <c r="T136">
        <v>0</v>
      </c>
      <c r="U136" s="34" t="str">
        <f t="shared" si="16"/>
        <v>No Discount</v>
      </c>
      <c r="V136">
        <v>-16.72</v>
      </c>
      <c r="W136" s="29">
        <f t="shared" si="17"/>
        <v>-0.142905982905983</v>
      </c>
      <c r="X136">
        <v>24.53</v>
      </c>
      <c r="Y136" t="s">
        <v>137</v>
      </c>
      <c r="Z136" s="34" t="str">
        <f t="shared" si="18"/>
        <v>Small</v>
      </c>
    </row>
    <row r="137" spans="1:26">
      <c r="A137" t="s">
        <v>647</v>
      </c>
      <c r="B137" s="44">
        <v>45542</v>
      </c>
      <c r="C137" s="34">
        <f t="shared" si="13"/>
        <v>2024</v>
      </c>
      <c r="D137" s="34">
        <f t="shared" si="14"/>
        <v>9</v>
      </c>
      <c r="E137" s="34" t="str">
        <f t="shared" si="15"/>
        <v>September</v>
      </c>
      <c r="F137" s="44">
        <v>45546</v>
      </c>
      <c r="G137" t="s">
        <v>521</v>
      </c>
      <c r="H137" t="s">
        <v>522</v>
      </c>
      <c r="I137" t="s">
        <v>29</v>
      </c>
      <c r="J137" t="s">
        <v>43</v>
      </c>
      <c r="K137" t="s">
        <v>108</v>
      </c>
      <c r="L137" t="s">
        <v>485</v>
      </c>
      <c r="M137" t="s">
        <v>58</v>
      </c>
      <c r="N137" t="s">
        <v>34</v>
      </c>
      <c r="O137" t="s">
        <v>35</v>
      </c>
      <c r="P137" t="s">
        <v>36</v>
      </c>
      <c r="Q137" t="s">
        <v>37</v>
      </c>
      <c r="R137">
        <v>1436.8</v>
      </c>
      <c r="S137">
        <v>4</v>
      </c>
      <c r="T137">
        <v>0.2</v>
      </c>
      <c r="U137" s="34" t="str">
        <f t="shared" si="16"/>
        <v>Medium</v>
      </c>
      <c r="V137">
        <v>277.1</v>
      </c>
      <c r="W137" s="29">
        <f t="shared" si="17"/>
        <v>0.192859131403118</v>
      </c>
      <c r="X137">
        <v>34.2</v>
      </c>
      <c r="Y137" t="s">
        <v>137</v>
      </c>
      <c r="Z137" s="34" t="str">
        <f t="shared" si="18"/>
        <v>Medium</v>
      </c>
    </row>
    <row r="138" spans="1:26">
      <c r="A138" t="s">
        <v>648</v>
      </c>
      <c r="B138" s="44">
        <v>44890</v>
      </c>
      <c r="C138" s="34">
        <f t="shared" si="13"/>
        <v>2022</v>
      </c>
      <c r="D138" s="34">
        <f t="shared" si="14"/>
        <v>11</v>
      </c>
      <c r="E138" s="34" t="str">
        <f t="shared" si="15"/>
        <v>November</v>
      </c>
      <c r="F138" s="44">
        <v>44897</v>
      </c>
      <c r="G138" t="s">
        <v>649</v>
      </c>
      <c r="H138" t="s">
        <v>650</v>
      </c>
      <c r="I138" t="s">
        <v>42</v>
      </c>
      <c r="J138" t="s">
        <v>30</v>
      </c>
      <c r="K138" t="s">
        <v>74</v>
      </c>
      <c r="L138" t="s">
        <v>75</v>
      </c>
      <c r="M138" t="s">
        <v>76</v>
      </c>
      <c r="N138" t="s">
        <v>292</v>
      </c>
      <c r="O138" t="s">
        <v>35</v>
      </c>
      <c r="P138" t="s">
        <v>163</v>
      </c>
      <c r="Q138" t="s">
        <v>293</v>
      </c>
      <c r="R138">
        <v>3897</v>
      </c>
      <c r="S138">
        <v>3</v>
      </c>
      <c r="T138">
        <v>0</v>
      </c>
      <c r="U138" s="34" t="str">
        <f t="shared" si="16"/>
        <v>No Discount</v>
      </c>
      <c r="V138">
        <v>967.73</v>
      </c>
      <c r="W138" s="29">
        <f t="shared" si="17"/>
        <v>0.248326918142161</v>
      </c>
      <c r="X138">
        <v>21.73</v>
      </c>
      <c r="Y138" t="s">
        <v>137</v>
      </c>
      <c r="Z138" s="34" t="str">
        <f t="shared" si="18"/>
        <v>Large</v>
      </c>
    </row>
    <row r="139" spans="1:26">
      <c r="A139" t="s">
        <v>651</v>
      </c>
      <c r="B139" s="44">
        <v>44363</v>
      </c>
      <c r="C139" s="34">
        <f t="shared" si="13"/>
        <v>2021</v>
      </c>
      <c r="D139" s="34">
        <f t="shared" si="14"/>
        <v>6</v>
      </c>
      <c r="E139" s="34" t="str">
        <f t="shared" si="15"/>
        <v>June</v>
      </c>
      <c r="F139" s="44">
        <v>44370</v>
      </c>
      <c r="G139" t="s">
        <v>652</v>
      </c>
      <c r="H139" t="s">
        <v>653</v>
      </c>
      <c r="I139" t="s">
        <v>42</v>
      </c>
      <c r="J139" t="s">
        <v>30</v>
      </c>
      <c r="K139" t="s">
        <v>175</v>
      </c>
      <c r="L139" t="s">
        <v>311</v>
      </c>
      <c r="M139" t="s">
        <v>46</v>
      </c>
      <c r="N139" t="s">
        <v>333</v>
      </c>
      <c r="O139" t="s">
        <v>48</v>
      </c>
      <c r="P139" t="s">
        <v>190</v>
      </c>
      <c r="Q139" t="s">
        <v>334</v>
      </c>
      <c r="R139">
        <v>378</v>
      </c>
      <c r="S139">
        <v>2</v>
      </c>
      <c r="T139">
        <v>0</v>
      </c>
      <c r="U139" s="34" t="str">
        <f t="shared" si="16"/>
        <v>No Discount</v>
      </c>
      <c r="V139">
        <v>23.45</v>
      </c>
      <c r="W139" s="29">
        <f t="shared" si="17"/>
        <v>0.062037037037037</v>
      </c>
      <c r="X139">
        <v>47.84</v>
      </c>
      <c r="Y139" t="s">
        <v>121</v>
      </c>
      <c r="Z139" s="34" t="str">
        <f t="shared" si="18"/>
        <v>Small</v>
      </c>
    </row>
    <row r="140" spans="1:26">
      <c r="A140" t="s">
        <v>654</v>
      </c>
      <c r="B140" s="44">
        <v>44173</v>
      </c>
      <c r="C140" s="34">
        <f t="shared" si="13"/>
        <v>2020</v>
      </c>
      <c r="D140" s="34">
        <f t="shared" si="14"/>
        <v>12</v>
      </c>
      <c r="E140" s="34" t="str">
        <f t="shared" si="15"/>
        <v>December</v>
      </c>
      <c r="F140" s="44">
        <v>44174</v>
      </c>
      <c r="G140" t="s">
        <v>655</v>
      </c>
      <c r="H140" t="s">
        <v>656</v>
      </c>
      <c r="I140" t="s">
        <v>42</v>
      </c>
      <c r="J140" t="s">
        <v>43</v>
      </c>
      <c r="K140" t="s">
        <v>153</v>
      </c>
      <c r="L140" t="s">
        <v>338</v>
      </c>
      <c r="M140" t="s">
        <v>58</v>
      </c>
      <c r="N140" t="s">
        <v>228</v>
      </c>
      <c r="O140" t="s">
        <v>67</v>
      </c>
      <c r="P140" t="s">
        <v>103</v>
      </c>
      <c r="Q140" t="s">
        <v>229</v>
      </c>
      <c r="R140">
        <v>134.1</v>
      </c>
      <c r="S140">
        <v>1</v>
      </c>
      <c r="T140">
        <v>0.1</v>
      </c>
      <c r="U140" s="34" t="str">
        <f t="shared" si="16"/>
        <v>Low</v>
      </c>
      <c r="V140">
        <v>-0.89</v>
      </c>
      <c r="W140" s="29">
        <f t="shared" si="17"/>
        <v>-0.00663683818046234</v>
      </c>
      <c r="X140">
        <v>47.68</v>
      </c>
      <c r="Y140" t="s">
        <v>70</v>
      </c>
      <c r="Z140" s="34" t="str">
        <f t="shared" si="18"/>
        <v>Small</v>
      </c>
    </row>
    <row r="141" spans="1:26">
      <c r="A141" t="s">
        <v>657</v>
      </c>
      <c r="B141" s="44">
        <v>45393</v>
      </c>
      <c r="C141" s="34">
        <f t="shared" si="13"/>
        <v>2024</v>
      </c>
      <c r="D141" s="34">
        <f t="shared" si="14"/>
        <v>4</v>
      </c>
      <c r="E141" s="34" t="str">
        <f t="shared" si="15"/>
        <v>April</v>
      </c>
      <c r="F141" s="44">
        <v>45398</v>
      </c>
      <c r="G141" t="s">
        <v>558</v>
      </c>
      <c r="H141" t="s">
        <v>559</v>
      </c>
      <c r="I141" t="s">
        <v>42</v>
      </c>
      <c r="J141" t="s">
        <v>43</v>
      </c>
      <c r="K141" t="s">
        <v>233</v>
      </c>
      <c r="L141" t="s">
        <v>234</v>
      </c>
      <c r="M141" t="s">
        <v>46</v>
      </c>
      <c r="N141" t="s">
        <v>189</v>
      </c>
      <c r="O141" t="s">
        <v>48</v>
      </c>
      <c r="P141" t="s">
        <v>190</v>
      </c>
      <c r="Q141" t="s">
        <v>191</v>
      </c>
      <c r="R141">
        <v>63</v>
      </c>
      <c r="S141">
        <v>2</v>
      </c>
      <c r="T141">
        <v>0.1</v>
      </c>
      <c r="U141" s="34" t="str">
        <f t="shared" si="16"/>
        <v>Low</v>
      </c>
      <c r="V141">
        <v>-2.87</v>
      </c>
      <c r="W141" s="29">
        <f t="shared" si="17"/>
        <v>-0.0455555555555556</v>
      </c>
      <c r="X141">
        <v>30.57</v>
      </c>
      <c r="Y141" t="s">
        <v>137</v>
      </c>
      <c r="Z141" s="34" t="str">
        <f t="shared" si="18"/>
        <v>Small</v>
      </c>
    </row>
    <row r="142" spans="1:26">
      <c r="A142" t="s">
        <v>658</v>
      </c>
      <c r="B142" s="44">
        <v>45427</v>
      </c>
      <c r="C142" s="34">
        <f t="shared" si="13"/>
        <v>2024</v>
      </c>
      <c r="D142" s="34">
        <f t="shared" si="14"/>
        <v>5</v>
      </c>
      <c r="E142" s="34" t="str">
        <f t="shared" si="15"/>
        <v>May</v>
      </c>
      <c r="F142" s="44">
        <v>45433</v>
      </c>
      <c r="G142" t="s">
        <v>480</v>
      </c>
      <c r="H142" t="s">
        <v>481</v>
      </c>
      <c r="I142" t="s">
        <v>29</v>
      </c>
      <c r="J142" t="s">
        <v>43</v>
      </c>
      <c r="K142" t="s">
        <v>257</v>
      </c>
      <c r="L142" t="s">
        <v>258</v>
      </c>
      <c r="M142" t="s">
        <v>76</v>
      </c>
      <c r="N142" t="s">
        <v>251</v>
      </c>
      <c r="O142" t="s">
        <v>67</v>
      </c>
      <c r="P142" t="s">
        <v>252</v>
      </c>
      <c r="Q142" t="s">
        <v>253</v>
      </c>
      <c r="R142">
        <v>635.8</v>
      </c>
      <c r="S142">
        <v>1</v>
      </c>
      <c r="T142">
        <v>0.15</v>
      </c>
      <c r="U142" s="34" t="str">
        <f t="shared" si="16"/>
        <v>Medium</v>
      </c>
      <c r="V142">
        <v>73.05</v>
      </c>
      <c r="W142" s="29">
        <f t="shared" si="17"/>
        <v>0.114894620949984</v>
      </c>
      <c r="X142">
        <v>10.81</v>
      </c>
      <c r="Y142" t="s">
        <v>80</v>
      </c>
      <c r="Z142" s="34" t="str">
        <f t="shared" si="18"/>
        <v>Medium</v>
      </c>
    </row>
    <row r="143" spans="1:26">
      <c r="A143" t="s">
        <v>659</v>
      </c>
      <c r="B143" s="44">
        <v>45477</v>
      </c>
      <c r="C143" s="34">
        <f t="shared" si="13"/>
        <v>2024</v>
      </c>
      <c r="D143" s="34">
        <f t="shared" si="14"/>
        <v>7</v>
      </c>
      <c r="E143" s="34" t="str">
        <f t="shared" si="15"/>
        <v>July</v>
      </c>
      <c r="F143" s="44">
        <v>45480</v>
      </c>
      <c r="G143" t="s">
        <v>660</v>
      </c>
      <c r="H143" t="s">
        <v>661</v>
      </c>
      <c r="I143" t="s">
        <v>42</v>
      </c>
      <c r="J143" t="s">
        <v>43</v>
      </c>
      <c r="K143" t="s">
        <v>187</v>
      </c>
      <c r="L143" t="s">
        <v>662</v>
      </c>
      <c r="M143" t="s">
        <v>33</v>
      </c>
      <c r="N143" t="s">
        <v>182</v>
      </c>
      <c r="O143" t="s">
        <v>48</v>
      </c>
      <c r="P143" t="s">
        <v>128</v>
      </c>
      <c r="Q143" t="s">
        <v>183</v>
      </c>
      <c r="R143">
        <v>221.2</v>
      </c>
      <c r="S143">
        <v>4</v>
      </c>
      <c r="T143">
        <v>0.3</v>
      </c>
      <c r="U143" s="34" t="str">
        <f t="shared" si="16"/>
        <v>High</v>
      </c>
      <c r="V143">
        <v>-23.43</v>
      </c>
      <c r="W143" s="29">
        <f t="shared" si="17"/>
        <v>-0.105922242314647</v>
      </c>
      <c r="X143">
        <v>19.1</v>
      </c>
      <c r="Y143" t="s">
        <v>38</v>
      </c>
      <c r="Z143" s="34" t="str">
        <f t="shared" si="18"/>
        <v>Small</v>
      </c>
    </row>
    <row r="144" spans="1:26">
      <c r="A144" t="s">
        <v>663</v>
      </c>
      <c r="B144" s="44">
        <v>45644</v>
      </c>
      <c r="C144" s="34">
        <f t="shared" si="13"/>
        <v>2024</v>
      </c>
      <c r="D144" s="34">
        <f t="shared" si="14"/>
        <v>12</v>
      </c>
      <c r="E144" s="34" t="str">
        <f t="shared" si="15"/>
        <v>December</v>
      </c>
      <c r="F144" s="44">
        <v>45647</v>
      </c>
      <c r="G144" t="s">
        <v>664</v>
      </c>
      <c r="H144" t="s">
        <v>665</v>
      </c>
      <c r="I144" t="s">
        <v>29</v>
      </c>
      <c r="J144" t="s">
        <v>43</v>
      </c>
      <c r="K144" t="s">
        <v>133</v>
      </c>
      <c r="L144" t="s">
        <v>134</v>
      </c>
      <c r="M144" t="s">
        <v>33</v>
      </c>
      <c r="N144" t="s">
        <v>367</v>
      </c>
      <c r="O144" t="s">
        <v>35</v>
      </c>
      <c r="P144" t="s">
        <v>202</v>
      </c>
      <c r="Q144" t="s">
        <v>368</v>
      </c>
      <c r="R144">
        <v>1018.3</v>
      </c>
      <c r="S144">
        <v>2</v>
      </c>
      <c r="T144">
        <v>0.15</v>
      </c>
      <c r="U144" s="34" t="str">
        <f t="shared" si="16"/>
        <v>Medium</v>
      </c>
      <c r="V144">
        <v>211.08</v>
      </c>
      <c r="W144" s="29">
        <f t="shared" si="17"/>
        <v>0.207286654227634</v>
      </c>
      <c r="X144">
        <v>43.14</v>
      </c>
      <c r="Y144" t="s">
        <v>51</v>
      </c>
      <c r="Z144" s="34" t="str">
        <f t="shared" si="18"/>
        <v>Medium</v>
      </c>
    </row>
    <row r="145" spans="1:26">
      <c r="A145" t="s">
        <v>666</v>
      </c>
      <c r="B145" s="44">
        <v>45633</v>
      </c>
      <c r="C145" s="34">
        <f t="shared" si="13"/>
        <v>2024</v>
      </c>
      <c r="D145" s="34">
        <f t="shared" si="14"/>
        <v>12</v>
      </c>
      <c r="E145" s="34" t="str">
        <f t="shared" si="15"/>
        <v>December</v>
      </c>
      <c r="F145" s="44">
        <v>45637</v>
      </c>
      <c r="G145" t="s">
        <v>567</v>
      </c>
      <c r="H145" t="s">
        <v>186</v>
      </c>
      <c r="I145" t="s">
        <v>29</v>
      </c>
      <c r="J145" t="s">
        <v>43</v>
      </c>
      <c r="K145" t="s">
        <v>262</v>
      </c>
      <c r="L145" t="s">
        <v>568</v>
      </c>
      <c r="M145" t="s">
        <v>58</v>
      </c>
      <c r="N145" t="s">
        <v>135</v>
      </c>
      <c r="O145" t="s">
        <v>67</v>
      </c>
      <c r="P145" t="s">
        <v>68</v>
      </c>
      <c r="Q145" t="s">
        <v>136</v>
      </c>
      <c r="R145">
        <v>2336.4</v>
      </c>
      <c r="S145">
        <v>4</v>
      </c>
      <c r="T145">
        <v>0.1</v>
      </c>
      <c r="U145" s="34" t="str">
        <f t="shared" si="16"/>
        <v>Low</v>
      </c>
      <c r="V145">
        <v>576.62</v>
      </c>
      <c r="W145" s="29">
        <f t="shared" si="17"/>
        <v>0.246798493408663</v>
      </c>
      <c r="X145">
        <v>24.94</v>
      </c>
      <c r="Y145" t="s">
        <v>51</v>
      </c>
      <c r="Z145" s="34" t="str">
        <f t="shared" si="18"/>
        <v>Large</v>
      </c>
    </row>
    <row r="146" spans="1:26">
      <c r="A146" t="s">
        <v>667</v>
      </c>
      <c r="B146" s="44">
        <v>44838</v>
      </c>
      <c r="C146" s="34">
        <f t="shared" si="13"/>
        <v>2022</v>
      </c>
      <c r="D146" s="34">
        <f t="shared" si="14"/>
        <v>10</v>
      </c>
      <c r="E146" s="34" t="str">
        <f t="shared" si="15"/>
        <v>October</v>
      </c>
      <c r="F146" s="44">
        <v>44839</v>
      </c>
      <c r="G146" t="s">
        <v>668</v>
      </c>
      <c r="H146" t="s">
        <v>669</v>
      </c>
      <c r="I146" t="s">
        <v>55</v>
      </c>
      <c r="J146" t="s">
        <v>43</v>
      </c>
      <c r="K146" t="s">
        <v>153</v>
      </c>
      <c r="L146" t="s">
        <v>338</v>
      </c>
      <c r="M146" t="s">
        <v>58</v>
      </c>
      <c r="N146" t="s">
        <v>670</v>
      </c>
      <c r="O146" t="s">
        <v>48</v>
      </c>
      <c r="P146" t="s">
        <v>49</v>
      </c>
      <c r="Q146" t="s">
        <v>671</v>
      </c>
      <c r="R146">
        <v>176.4</v>
      </c>
      <c r="S146">
        <v>2</v>
      </c>
      <c r="T146">
        <v>0.1</v>
      </c>
      <c r="U146" s="34" t="str">
        <f t="shared" si="16"/>
        <v>Low</v>
      </c>
      <c r="V146">
        <v>36.05</v>
      </c>
      <c r="W146" s="29">
        <f t="shared" si="17"/>
        <v>0.204365079365079</v>
      </c>
      <c r="X146">
        <v>9.19</v>
      </c>
      <c r="Y146" t="s">
        <v>38</v>
      </c>
      <c r="Z146" s="34" t="str">
        <f t="shared" si="18"/>
        <v>Small</v>
      </c>
    </row>
    <row r="147" spans="1:26">
      <c r="A147" t="s">
        <v>672</v>
      </c>
      <c r="B147" s="44">
        <v>44754</v>
      </c>
      <c r="C147" s="34">
        <f t="shared" si="13"/>
        <v>2022</v>
      </c>
      <c r="D147" s="34">
        <f t="shared" si="14"/>
        <v>7</v>
      </c>
      <c r="E147" s="34" t="str">
        <f t="shared" si="15"/>
        <v>July</v>
      </c>
      <c r="F147" s="44">
        <v>44756</v>
      </c>
      <c r="G147" t="s">
        <v>543</v>
      </c>
      <c r="H147" t="s">
        <v>544</v>
      </c>
      <c r="I147" t="s">
        <v>42</v>
      </c>
      <c r="J147" t="s">
        <v>30</v>
      </c>
      <c r="K147" t="s">
        <v>326</v>
      </c>
      <c r="L147" t="s">
        <v>545</v>
      </c>
      <c r="M147" t="s">
        <v>58</v>
      </c>
      <c r="N147" t="s">
        <v>673</v>
      </c>
      <c r="O147" t="s">
        <v>35</v>
      </c>
      <c r="P147" t="s">
        <v>202</v>
      </c>
      <c r="Q147" t="s">
        <v>674</v>
      </c>
      <c r="R147">
        <v>1572.75</v>
      </c>
      <c r="S147">
        <v>3</v>
      </c>
      <c r="T147">
        <v>0.25</v>
      </c>
      <c r="U147" s="34" t="str">
        <f t="shared" si="16"/>
        <v>High</v>
      </c>
      <c r="V147">
        <v>154.62</v>
      </c>
      <c r="W147" s="29">
        <f t="shared" si="17"/>
        <v>0.0983118741058655</v>
      </c>
      <c r="X147">
        <v>8.86</v>
      </c>
      <c r="Y147" t="s">
        <v>51</v>
      </c>
      <c r="Z147" s="34" t="str">
        <f t="shared" si="18"/>
        <v>Medium</v>
      </c>
    </row>
    <row r="148" spans="1:26">
      <c r="A148" t="s">
        <v>675</v>
      </c>
      <c r="B148" s="44">
        <v>44018</v>
      </c>
      <c r="C148" s="34">
        <f t="shared" si="13"/>
        <v>2020</v>
      </c>
      <c r="D148" s="34">
        <f t="shared" si="14"/>
        <v>7</v>
      </c>
      <c r="E148" s="34" t="str">
        <f t="shared" si="15"/>
        <v>July</v>
      </c>
      <c r="F148" s="44">
        <v>44019</v>
      </c>
      <c r="G148" t="s">
        <v>428</v>
      </c>
      <c r="H148" t="s">
        <v>429</v>
      </c>
      <c r="I148" t="s">
        <v>29</v>
      </c>
      <c r="J148" t="s">
        <v>30</v>
      </c>
      <c r="K148" t="s">
        <v>380</v>
      </c>
      <c r="L148" t="s">
        <v>381</v>
      </c>
      <c r="M148" t="s">
        <v>58</v>
      </c>
      <c r="N148" t="s">
        <v>344</v>
      </c>
      <c r="O148" t="s">
        <v>35</v>
      </c>
      <c r="P148" t="s">
        <v>163</v>
      </c>
      <c r="Q148" t="s">
        <v>345</v>
      </c>
      <c r="R148">
        <v>1797.75</v>
      </c>
      <c r="S148">
        <v>3</v>
      </c>
      <c r="T148">
        <v>0.25</v>
      </c>
      <c r="U148" s="34" t="str">
        <f t="shared" si="16"/>
        <v>High</v>
      </c>
      <c r="V148">
        <v>443.08</v>
      </c>
      <c r="W148" s="29">
        <f t="shared" si="17"/>
        <v>0.24646363509943</v>
      </c>
      <c r="X148">
        <v>21.2</v>
      </c>
      <c r="Y148" t="s">
        <v>137</v>
      </c>
      <c r="Z148" s="34" t="str">
        <f t="shared" si="18"/>
        <v>Medium</v>
      </c>
    </row>
    <row r="149" spans="1:26">
      <c r="A149" t="s">
        <v>676</v>
      </c>
      <c r="B149" s="44">
        <v>45399</v>
      </c>
      <c r="C149" s="34">
        <f t="shared" si="13"/>
        <v>2024</v>
      </c>
      <c r="D149" s="34">
        <f t="shared" si="14"/>
        <v>4</v>
      </c>
      <c r="E149" s="34" t="str">
        <f t="shared" si="15"/>
        <v>April</v>
      </c>
      <c r="F149" s="44">
        <v>45403</v>
      </c>
      <c r="G149" t="s">
        <v>677</v>
      </c>
      <c r="H149" t="s">
        <v>678</v>
      </c>
      <c r="I149" t="s">
        <v>55</v>
      </c>
      <c r="J149" t="s">
        <v>43</v>
      </c>
      <c r="K149" t="s">
        <v>284</v>
      </c>
      <c r="L149" t="s">
        <v>285</v>
      </c>
      <c r="M149" t="s">
        <v>76</v>
      </c>
      <c r="N149" t="s">
        <v>344</v>
      </c>
      <c r="O149" t="s">
        <v>35</v>
      </c>
      <c r="P149" t="s">
        <v>163</v>
      </c>
      <c r="Q149" t="s">
        <v>345</v>
      </c>
      <c r="R149">
        <v>2277.15</v>
      </c>
      <c r="S149">
        <v>3</v>
      </c>
      <c r="T149">
        <v>0.05</v>
      </c>
      <c r="U149" s="34" t="str">
        <f t="shared" si="16"/>
        <v>Low</v>
      </c>
      <c r="V149">
        <v>261</v>
      </c>
      <c r="W149" s="29">
        <f t="shared" si="17"/>
        <v>0.114616955404782</v>
      </c>
      <c r="X149">
        <v>40.85</v>
      </c>
      <c r="Y149" t="s">
        <v>70</v>
      </c>
      <c r="Z149" s="34" t="str">
        <f t="shared" si="18"/>
        <v>Large</v>
      </c>
    </row>
    <row r="150" spans="1:26">
      <c r="A150" t="s">
        <v>679</v>
      </c>
      <c r="B150" s="44">
        <v>44481</v>
      </c>
      <c r="C150" s="34">
        <f t="shared" si="13"/>
        <v>2021</v>
      </c>
      <c r="D150" s="34">
        <f t="shared" si="14"/>
        <v>10</v>
      </c>
      <c r="E150" s="34" t="str">
        <f t="shared" si="15"/>
        <v>October</v>
      </c>
      <c r="F150" s="44">
        <v>44488</v>
      </c>
      <c r="G150" t="s">
        <v>480</v>
      </c>
      <c r="H150" t="s">
        <v>481</v>
      </c>
      <c r="I150" t="s">
        <v>29</v>
      </c>
      <c r="J150" t="s">
        <v>43</v>
      </c>
      <c r="K150" t="s">
        <v>257</v>
      </c>
      <c r="L150" t="s">
        <v>258</v>
      </c>
      <c r="M150" t="s">
        <v>76</v>
      </c>
      <c r="N150" t="s">
        <v>148</v>
      </c>
      <c r="O150" t="s">
        <v>48</v>
      </c>
      <c r="P150" t="s">
        <v>60</v>
      </c>
      <c r="Q150" t="s">
        <v>149</v>
      </c>
      <c r="R150">
        <v>156.75</v>
      </c>
      <c r="S150">
        <v>3</v>
      </c>
      <c r="T150">
        <v>0.05</v>
      </c>
      <c r="U150" s="34" t="str">
        <f t="shared" si="16"/>
        <v>Low</v>
      </c>
      <c r="V150">
        <v>11.51</v>
      </c>
      <c r="W150" s="29">
        <f t="shared" si="17"/>
        <v>0.0734290271132376</v>
      </c>
      <c r="X150">
        <v>13.87</v>
      </c>
      <c r="Y150" t="s">
        <v>62</v>
      </c>
      <c r="Z150" s="34" t="str">
        <f t="shared" si="18"/>
        <v>Small</v>
      </c>
    </row>
    <row r="151" spans="1:26">
      <c r="A151" t="s">
        <v>680</v>
      </c>
      <c r="B151" s="44">
        <v>44297</v>
      </c>
      <c r="C151" s="34">
        <f t="shared" si="13"/>
        <v>2021</v>
      </c>
      <c r="D151" s="34">
        <f t="shared" si="14"/>
        <v>4</v>
      </c>
      <c r="E151" s="34" t="str">
        <f t="shared" si="15"/>
        <v>April</v>
      </c>
      <c r="F151" s="44">
        <v>44298</v>
      </c>
      <c r="G151" t="s">
        <v>681</v>
      </c>
      <c r="H151" t="s">
        <v>682</v>
      </c>
      <c r="I151" t="s">
        <v>55</v>
      </c>
      <c r="J151" t="s">
        <v>43</v>
      </c>
      <c r="K151" t="s">
        <v>187</v>
      </c>
      <c r="L151" t="s">
        <v>662</v>
      </c>
      <c r="M151" t="s">
        <v>33</v>
      </c>
      <c r="N151" t="s">
        <v>333</v>
      </c>
      <c r="O151" t="s">
        <v>48</v>
      </c>
      <c r="P151" t="s">
        <v>190</v>
      </c>
      <c r="Q151" t="s">
        <v>334</v>
      </c>
      <c r="R151">
        <v>189</v>
      </c>
      <c r="S151">
        <v>1</v>
      </c>
      <c r="T151">
        <v>0</v>
      </c>
      <c r="U151" s="34" t="str">
        <f t="shared" si="16"/>
        <v>No Discount</v>
      </c>
      <c r="V151">
        <v>16.32</v>
      </c>
      <c r="W151" s="29">
        <f t="shared" si="17"/>
        <v>0.0863492063492064</v>
      </c>
      <c r="X151">
        <v>21.21</v>
      </c>
      <c r="Y151" t="s">
        <v>121</v>
      </c>
      <c r="Z151" s="34" t="str">
        <f t="shared" si="18"/>
        <v>Small</v>
      </c>
    </row>
    <row r="152" spans="1:26">
      <c r="A152" t="s">
        <v>683</v>
      </c>
      <c r="B152" s="44">
        <v>45556</v>
      </c>
      <c r="C152" s="34">
        <f t="shared" si="13"/>
        <v>2024</v>
      </c>
      <c r="D152" s="34">
        <f t="shared" si="14"/>
        <v>9</v>
      </c>
      <c r="E152" s="34" t="str">
        <f t="shared" si="15"/>
        <v>September</v>
      </c>
      <c r="F152" s="44">
        <v>45562</v>
      </c>
      <c r="G152" t="s">
        <v>238</v>
      </c>
      <c r="H152" t="s">
        <v>239</v>
      </c>
      <c r="I152" t="s">
        <v>55</v>
      </c>
      <c r="J152" t="s">
        <v>43</v>
      </c>
      <c r="K152" t="s">
        <v>240</v>
      </c>
      <c r="L152" t="s">
        <v>241</v>
      </c>
      <c r="M152" t="s">
        <v>46</v>
      </c>
      <c r="N152" t="s">
        <v>684</v>
      </c>
      <c r="O152" t="s">
        <v>48</v>
      </c>
      <c r="P152" t="s">
        <v>60</v>
      </c>
      <c r="Q152" t="s">
        <v>685</v>
      </c>
      <c r="R152">
        <v>110.6</v>
      </c>
      <c r="S152">
        <v>2</v>
      </c>
      <c r="T152">
        <v>0.3</v>
      </c>
      <c r="U152" s="34" t="str">
        <f t="shared" si="16"/>
        <v>High</v>
      </c>
      <c r="V152">
        <v>16.82</v>
      </c>
      <c r="W152" s="29">
        <f t="shared" si="17"/>
        <v>0.152079566003617</v>
      </c>
      <c r="X152">
        <v>17.66</v>
      </c>
      <c r="Y152" t="s">
        <v>137</v>
      </c>
      <c r="Z152" s="34" t="str">
        <f t="shared" si="18"/>
        <v>Small</v>
      </c>
    </row>
    <row r="153" spans="1:26">
      <c r="A153" t="s">
        <v>686</v>
      </c>
      <c r="B153" s="44">
        <v>43941</v>
      </c>
      <c r="C153" s="34">
        <f t="shared" si="13"/>
        <v>2020</v>
      </c>
      <c r="D153" s="34">
        <f t="shared" si="14"/>
        <v>4</v>
      </c>
      <c r="E153" s="34" t="str">
        <f t="shared" si="15"/>
        <v>April</v>
      </c>
      <c r="F153" s="44">
        <v>43948</v>
      </c>
      <c r="G153" t="s">
        <v>687</v>
      </c>
      <c r="H153" t="s">
        <v>688</v>
      </c>
      <c r="I153" t="s">
        <v>42</v>
      </c>
      <c r="J153" t="s">
        <v>30</v>
      </c>
      <c r="K153" t="s">
        <v>213</v>
      </c>
      <c r="L153" t="s">
        <v>408</v>
      </c>
      <c r="M153" t="s">
        <v>33</v>
      </c>
      <c r="N153" t="s">
        <v>397</v>
      </c>
      <c r="O153" t="s">
        <v>48</v>
      </c>
      <c r="P153" t="s">
        <v>128</v>
      </c>
      <c r="Q153" t="s">
        <v>398</v>
      </c>
      <c r="R153">
        <v>50</v>
      </c>
      <c r="S153">
        <v>2</v>
      </c>
      <c r="T153">
        <v>0</v>
      </c>
      <c r="U153" s="34" t="str">
        <f t="shared" si="16"/>
        <v>No Discount</v>
      </c>
      <c r="V153">
        <v>-17.4</v>
      </c>
      <c r="W153" s="29">
        <f t="shared" si="17"/>
        <v>-0.348</v>
      </c>
      <c r="X153">
        <v>49.66</v>
      </c>
      <c r="Y153" t="s">
        <v>689</v>
      </c>
      <c r="Z153" s="34" t="str">
        <f t="shared" si="18"/>
        <v>Small</v>
      </c>
    </row>
    <row r="154" spans="1:26">
      <c r="A154" t="s">
        <v>690</v>
      </c>
      <c r="B154" s="44">
        <v>45213</v>
      </c>
      <c r="C154" s="34">
        <f t="shared" si="13"/>
        <v>2023</v>
      </c>
      <c r="D154" s="34">
        <f t="shared" si="14"/>
        <v>10</v>
      </c>
      <c r="E154" s="34" t="str">
        <f t="shared" si="15"/>
        <v>October</v>
      </c>
      <c r="F154" s="44">
        <v>45216</v>
      </c>
      <c r="G154" t="s">
        <v>691</v>
      </c>
      <c r="H154" t="s">
        <v>692</v>
      </c>
      <c r="I154" t="s">
        <v>42</v>
      </c>
      <c r="J154" t="s">
        <v>43</v>
      </c>
      <c r="K154" t="s">
        <v>213</v>
      </c>
      <c r="L154" t="s">
        <v>356</v>
      </c>
      <c r="M154" t="s">
        <v>33</v>
      </c>
      <c r="N154" t="s">
        <v>127</v>
      </c>
      <c r="O154" t="s">
        <v>48</v>
      </c>
      <c r="P154" t="s">
        <v>128</v>
      </c>
      <c r="Q154" t="s">
        <v>129</v>
      </c>
      <c r="R154">
        <v>208</v>
      </c>
      <c r="S154">
        <v>4</v>
      </c>
      <c r="T154">
        <v>0.2</v>
      </c>
      <c r="U154" s="34" t="str">
        <f t="shared" si="16"/>
        <v>Medium</v>
      </c>
      <c r="V154">
        <v>-29.06</v>
      </c>
      <c r="W154" s="29">
        <f t="shared" si="17"/>
        <v>-0.139711538461538</v>
      </c>
      <c r="X154">
        <v>41.41</v>
      </c>
      <c r="Y154" t="s">
        <v>38</v>
      </c>
      <c r="Z154" s="34" t="str">
        <f t="shared" si="18"/>
        <v>Small</v>
      </c>
    </row>
    <row r="155" spans="1:26">
      <c r="A155" t="s">
        <v>693</v>
      </c>
      <c r="B155" s="44">
        <v>43899</v>
      </c>
      <c r="C155" s="34">
        <f t="shared" si="13"/>
        <v>2020</v>
      </c>
      <c r="D155" s="34">
        <f t="shared" si="14"/>
        <v>3</v>
      </c>
      <c r="E155" s="34" t="str">
        <f t="shared" si="15"/>
        <v>March</v>
      </c>
      <c r="F155" s="44">
        <v>43905</v>
      </c>
      <c r="G155" t="s">
        <v>694</v>
      </c>
      <c r="H155" t="s">
        <v>695</v>
      </c>
      <c r="I155" t="s">
        <v>55</v>
      </c>
      <c r="J155" t="s">
        <v>43</v>
      </c>
      <c r="K155" t="s">
        <v>160</v>
      </c>
      <c r="L155" t="s">
        <v>696</v>
      </c>
      <c r="M155" t="s">
        <v>76</v>
      </c>
      <c r="N155" t="s">
        <v>415</v>
      </c>
      <c r="O155" t="s">
        <v>67</v>
      </c>
      <c r="P155" t="s">
        <v>252</v>
      </c>
      <c r="Q155" t="s">
        <v>416</v>
      </c>
      <c r="R155">
        <v>897.75</v>
      </c>
      <c r="S155">
        <v>3</v>
      </c>
      <c r="T155">
        <v>0.25</v>
      </c>
      <c r="U155" s="34" t="str">
        <f t="shared" si="16"/>
        <v>High</v>
      </c>
      <c r="V155">
        <v>217.56</v>
      </c>
      <c r="W155" s="29">
        <f t="shared" si="17"/>
        <v>0.24233918128655</v>
      </c>
      <c r="X155">
        <v>22.92</v>
      </c>
      <c r="Y155" t="s">
        <v>96</v>
      </c>
      <c r="Z155" s="34" t="str">
        <f t="shared" si="18"/>
        <v>Medium</v>
      </c>
    </row>
    <row r="156" spans="1:26">
      <c r="A156" t="s">
        <v>697</v>
      </c>
      <c r="B156" s="44">
        <v>45001</v>
      </c>
      <c r="C156" s="34">
        <f t="shared" si="13"/>
        <v>2023</v>
      </c>
      <c r="D156" s="34">
        <f t="shared" si="14"/>
        <v>3</v>
      </c>
      <c r="E156" s="34" t="str">
        <f t="shared" si="15"/>
        <v>March</v>
      </c>
      <c r="F156" s="44">
        <v>45003</v>
      </c>
      <c r="G156" t="s">
        <v>521</v>
      </c>
      <c r="H156" t="s">
        <v>522</v>
      </c>
      <c r="I156" t="s">
        <v>29</v>
      </c>
      <c r="J156" t="s">
        <v>43</v>
      </c>
      <c r="K156" t="s">
        <v>108</v>
      </c>
      <c r="L156" t="s">
        <v>485</v>
      </c>
      <c r="M156" t="s">
        <v>58</v>
      </c>
      <c r="N156" t="s">
        <v>698</v>
      </c>
      <c r="O156" t="s">
        <v>35</v>
      </c>
      <c r="P156" t="s">
        <v>36</v>
      </c>
      <c r="Q156" t="s">
        <v>699</v>
      </c>
      <c r="R156">
        <v>2826.25</v>
      </c>
      <c r="S156">
        <v>5</v>
      </c>
      <c r="T156">
        <v>0.05</v>
      </c>
      <c r="U156" s="34" t="str">
        <f t="shared" si="16"/>
        <v>Low</v>
      </c>
      <c r="V156">
        <v>694.07</v>
      </c>
      <c r="W156" s="29">
        <f t="shared" si="17"/>
        <v>0.245579831932773</v>
      </c>
      <c r="X156">
        <v>41.64</v>
      </c>
      <c r="Y156" t="s">
        <v>121</v>
      </c>
      <c r="Z156" s="34" t="str">
        <f t="shared" si="18"/>
        <v>Large</v>
      </c>
    </row>
    <row r="157" spans="1:26">
      <c r="A157" t="s">
        <v>700</v>
      </c>
      <c r="B157" s="44">
        <v>44661</v>
      </c>
      <c r="C157" s="34">
        <f t="shared" si="13"/>
        <v>2022</v>
      </c>
      <c r="D157" s="34">
        <f t="shared" si="14"/>
        <v>4</v>
      </c>
      <c r="E157" s="34" t="str">
        <f t="shared" si="15"/>
        <v>April</v>
      </c>
      <c r="F157" s="44">
        <v>44668</v>
      </c>
      <c r="G157" t="s">
        <v>701</v>
      </c>
      <c r="H157" t="s">
        <v>702</v>
      </c>
      <c r="I157" t="s">
        <v>42</v>
      </c>
      <c r="J157" t="s">
        <v>43</v>
      </c>
      <c r="K157" t="s">
        <v>146</v>
      </c>
      <c r="L157" t="s">
        <v>147</v>
      </c>
      <c r="M157" t="s">
        <v>33</v>
      </c>
      <c r="N157" t="s">
        <v>315</v>
      </c>
      <c r="O157" t="s">
        <v>67</v>
      </c>
      <c r="P157" t="s">
        <v>252</v>
      </c>
      <c r="Q157" t="s">
        <v>316</v>
      </c>
      <c r="R157">
        <v>577.15</v>
      </c>
      <c r="S157">
        <v>1</v>
      </c>
      <c r="T157">
        <v>0.15</v>
      </c>
      <c r="U157" s="34" t="str">
        <f t="shared" si="16"/>
        <v>Medium</v>
      </c>
      <c r="V157">
        <v>94.88</v>
      </c>
      <c r="W157" s="29">
        <f t="shared" si="17"/>
        <v>0.16439400502469</v>
      </c>
      <c r="X157">
        <v>30.03</v>
      </c>
      <c r="Y157" t="s">
        <v>96</v>
      </c>
      <c r="Z157" s="34" t="str">
        <f t="shared" si="18"/>
        <v>Medium</v>
      </c>
    </row>
    <row r="158" spans="1:26">
      <c r="A158" t="s">
        <v>703</v>
      </c>
      <c r="B158" s="44">
        <v>44645</v>
      </c>
      <c r="C158" s="34">
        <f t="shared" si="13"/>
        <v>2022</v>
      </c>
      <c r="D158" s="34">
        <f t="shared" si="14"/>
        <v>3</v>
      </c>
      <c r="E158" s="34" t="str">
        <f t="shared" si="15"/>
        <v>March</v>
      </c>
      <c r="F158" s="44">
        <v>44648</v>
      </c>
      <c r="G158" t="s">
        <v>704</v>
      </c>
      <c r="H158" t="s">
        <v>571</v>
      </c>
      <c r="I158" t="s">
        <v>29</v>
      </c>
      <c r="J158" t="s">
        <v>43</v>
      </c>
      <c r="K158" t="s">
        <v>74</v>
      </c>
      <c r="L158" t="s">
        <v>387</v>
      </c>
      <c r="M158" t="s">
        <v>76</v>
      </c>
      <c r="N158" t="s">
        <v>170</v>
      </c>
      <c r="O158" t="s">
        <v>48</v>
      </c>
      <c r="P158" t="s">
        <v>49</v>
      </c>
      <c r="Q158" t="s">
        <v>171</v>
      </c>
      <c r="R158">
        <v>335.25</v>
      </c>
      <c r="S158">
        <v>3</v>
      </c>
      <c r="T158">
        <v>0.25</v>
      </c>
      <c r="U158" s="34" t="str">
        <f t="shared" si="16"/>
        <v>High</v>
      </c>
      <c r="V158">
        <v>54.68</v>
      </c>
      <c r="W158" s="29">
        <f t="shared" si="17"/>
        <v>0.16310216256525</v>
      </c>
      <c r="X158">
        <v>41.22</v>
      </c>
      <c r="Y158" t="s">
        <v>38</v>
      </c>
      <c r="Z158" s="34" t="str">
        <f t="shared" si="18"/>
        <v>Small</v>
      </c>
    </row>
    <row r="159" spans="1:26">
      <c r="A159" t="s">
        <v>705</v>
      </c>
      <c r="B159" s="44">
        <v>45249</v>
      </c>
      <c r="C159" s="34">
        <f t="shared" si="13"/>
        <v>2023</v>
      </c>
      <c r="D159" s="34">
        <f t="shared" si="14"/>
        <v>11</v>
      </c>
      <c r="E159" s="34" t="str">
        <f t="shared" si="15"/>
        <v>November</v>
      </c>
      <c r="F159" s="44">
        <v>45252</v>
      </c>
      <c r="G159" t="s">
        <v>144</v>
      </c>
      <c r="H159" t="s">
        <v>145</v>
      </c>
      <c r="I159" t="s">
        <v>55</v>
      </c>
      <c r="J159" t="s">
        <v>30</v>
      </c>
      <c r="K159" t="s">
        <v>146</v>
      </c>
      <c r="L159" t="s">
        <v>147</v>
      </c>
      <c r="M159" t="s">
        <v>33</v>
      </c>
      <c r="N159" t="s">
        <v>59</v>
      </c>
      <c r="O159" t="s">
        <v>48</v>
      </c>
      <c r="P159" t="s">
        <v>60</v>
      </c>
      <c r="Q159" t="s">
        <v>61</v>
      </c>
      <c r="R159">
        <v>739.5</v>
      </c>
      <c r="S159">
        <v>5</v>
      </c>
      <c r="T159">
        <v>0.15</v>
      </c>
      <c r="U159" s="34" t="str">
        <f t="shared" si="16"/>
        <v>Medium</v>
      </c>
      <c r="V159">
        <v>-68.98</v>
      </c>
      <c r="W159" s="29">
        <f t="shared" si="17"/>
        <v>-0.0932792427315754</v>
      </c>
      <c r="X159">
        <v>32.72</v>
      </c>
      <c r="Y159" t="s">
        <v>70</v>
      </c>
      <c r="Z159" s="34" t="str">
        <f t="shared" si="18"/>
        <v>Medium</v>
      </c>
    </row>
    <row r="160" spans="1:26">
      <c r="A160" t="s">
        <v>706</v>
      </c>
      <c r="B160" s="44">
        <v>44069</v>
      </c>
      <c r="C160" s="34">
        <f t="shared" si="13"/>
        <v>2020</v>
      </c>
      <c r="D160" s="34">
        <f t="shared" si="14"/>
        <v>8</v>
      </c>
      <c r="E160" s="34" t="str">
        <f t="shared" si="15"/>
        <v>August</v>
      </c>
      <c r="F160" s="44">
        <v>44070</v>
      </c>
      <c r="G160" t="s">
        <v>329</v>
      </c>
      <c r="H160" t="s">
        <v>330</v>
      </c>
      <c r="I160" t="s">
        <v>29</v>
      </c>
      <c r="J160" t="s">
        <v>43</v>
      </c>
      <c r="K160" t="s">
        <v>331</v>
      </c>
      <c r="L160" t="s">
        <v>332</v>
      </c>
      <c r="M160" t="s">
        <v>58</v>
      </c>
      <c r="N160" t="s">
        <v>77</v>
      </c>
      <c r="O160" t="s">
        <v>35</v>
      </c>
      <c r="P160" t="s">
        <v>78</v>
      </c>
      <c r="Q160" t="s">
        <v>79</v>
      </c>
      <c r="R160">
        <v>1046.25</v>
      </c>
      <c r="S160">
        <v>1</v>
      </c>
      <c r="T160">
        <v>0.25</v>
      </c>
      <c r="U160" s="34" t="str">
        <f t="shared" si="16"/>
        <v>High</v>
      </c>
      <c r="V160">
        <v>115.39</v>
      </c>
      <c r="W160" s="29">
        <f t="shared" si="17"/>
        <v>0.110289127837515</v>
      </c>
      <c r="X160">
        <v>33.86</v>
      </c>
      <c r="Y160" t="s">
        <v>121</v>
      </c>
      <c r="Z160" s="34" t="str">
        <f t="shared" si="18"/>
        <v>Medium</v>
      </c>
    </row>
    <row r="161" spans="1:26">
      <c r="A161" t="s">
        <v>707</v>
      </c>
      <c r="B161" s="44">
        <v>44411</v>
      </c>
      <c r="C161" s="34">
        <f t="shared" si="13"/>
        <v>2021</v>
      </c>
      <c r="D161" s="34">
        <f t="shared" si="14"/>
        <v>8</v>
      </c>
      <c r="E161" s="34" t="str">
        <f t="shared" si="15"/>
        <v>August</v>
      </c>
      <c r="F161" s="44">
        <v>44415</v>
      </c>
      <c r="G161" t="s">
        <v>708</v>
      </c>
      <c r="H161" t="s">
        <v>709</v>
      </c>
      <c r="I161" t="s">
        <v>29</v>
      </c>
      <c r="J161" t="s">
        <v>30</v>
      </c>
      <c r="K161" t="s">
        <v>100</v>
      </c>
      <c r="L161" t="s">
        <v>590</v>
      </c>
      <c r="M161" t="s">
        <v>33</v>
      </c>
      <c r="N161" t="s">
        <v>339</v>
      </c>
      <c r="O161" t="s">
        <v>35</v>
      </c>
      <c r="P161" t="s">
        <v>78</v>
      </c>
      <c r="Q161" t="s">
        <v>340</v>
      </c>
      <c r="R161">
        <v>1030.5</v>
      </c>
      <c r="S161">
        <v>5</v>
      </c>
      <c r="T161">
        <v>0.1</v>
      </c>
      <c r="U161" s="34" t="str">
        <f t="shared" si="16"/>
        <v>Low</v>
      </c>
      <c r="V161">
        <v>92.27</v>
      </c>
      <c r="W161" s="29">
        <f t="shared" si="17"/>
        <v>0.0895390587093644</v>
      </c>
      <c r="X161">
        <v>35.92</v>
      </c>
      <c r="Y161" t="s">
        <v>121</v>
      </c>
      <c r="Z161" s="34" t="str">
        <f t="shared" si="18"/>
        <v>Medium</v>
      </c>
    </row>
    <row r="162" spans="1:26">
      <c r="A162" t="s">
        <v>710</v>
      </c>
      <c r="B162" s="44">
        <v>45020</v>
      </c>
      <c r="C162" s="34">
        <f t="shared" si="13"/>
        <v>2023</v>
      </c>
      <c r="D162" s="34">
        <f t="shared" si="14"/>
        <v>4</v>
      </c>
      <c r="E162" s="34" t="str">
        <f t="shared" si="15"/>
        <v>April</v>
      </c>
      <c r="F162" s="44">
        <v>45023</v>
      </c>
      <c r="G162" t="s">
        <v>655</v>
      </c>
      <c r="H162" t="s">
        <v>656</v>
      </c>
      <c r="I162" t="s">
        <v>42</v>
      </c>
      <c r="J162" t="s">
        <v>43</v>
      </c>
      <c r="K162" t="s">
        <v>153</v>
      </c>
      <c r="L162" t="s">
        <v>338</v>
      </c>
      <c r="M162" t="s">
        <v>58</v>
      </c>
      <c r="N162" t="s">
        <v>182</v>
      </c>
      <c r="O162" t="s">
        <v>48</v>
      </c>
      <c r="P162" t="s">
        <v>128</v>
      </c>
      <c r="Q162" t="s">
        <v>183</v>
      </c>
      <c r="R162">
        <v>316</v>
      </c>
      <c r="S162">
        <v>5</v>
      </c>
      <c r="T162">
        <v>0.2</v>
      </c>
      <c r="U162" s="34" t="str">
        <f t="shared" si="16"/>
        <v>Medium</v>
      </c>
      <c r="V162">
        <v>44.99</v>
      </c>
      <c r="W162" s="29">
        <f t="shared" si="17"/>
        <v>0.142373417721519</v>
      </c>
      <c r="X162">
        <v>8.04</v>
      </c>
      <c r="Y162" t="s">
        <v>51</v>
      </c>
      <c r="Z162" s="34" t="str">
        <f t="shared" si="18"/>
        <v>Small</v>
      </c>
    </row>
    <row r="163" spans="1:26">
      <c r="A163" t="s">
        <v>711</v>
      </c>
      <c r="B163" s="44">
        <v>44536</v>
      </c>
      <c r="C163" s="34">
        <f t="shared" si="13"/>
        <v>2021</v>
      </c>
      <c r="D163" s="34">
        <f t="shared" si="14"/>
        <v>12</v>
      </c>
      <c r="E163" s="34" t="str">
        <f t="shared" si="15"/>
        <v>December</v>
      </c>
      <c r="F163" s="44">
        <v>44541</v>
      </c>
      <c r="G163" t="s">
        <v>712</v>
      </c>
      <c r="H163" t="s">
        <v>713</v>
      </c>
      <c r="I163" t="s">
        <v>42</v>
      </c>
      <c r="J163" t="s">
        <v>43</v>
      </c>
      <c r="K163" t="s">
        <v>349</v>
      </c>
      <c r="L163" t="s">
        <v>714</v>
      </c>
      <c r="M163" t="s">
        <v>33</v>
      </c>
      <c r="N163" t="s">
        <v>286</v>
      </c>
      <c r="O163" t="s">
        <v>35</v>
      </c>
      <c r="P163" t="s">
        <v>202</v>
      </c>
      <c r="Q163" t="s">
        <v>287</v>
      </c>
      <c r="R163">
        <v>134.1</v>
      </c>
      <c r="S163">
        <v>1</v>
      </c>
      <c r="T163">
        <v>0.1</v>
      </c>
      <c r="U163" s="34" t="str">
        <f t="shared" si="16"/>
        <v>Low</v>
      </c>
      <c r="V163">
        <v>-10.49</v>
      </c>
      <c r="W163" s="29">
        <f t="shared" si="17"/>
        <v>-0.0782252050708427</v>
      </c>
      <c r="X163">
        <v>12.62</v>
      </c>
      <c r="Y163" t="s">
        <v>62</v>
      </c>
      <c r="Z163" s="34" t="str">
        <f t="shared" si="18"/>
        <v>Small</v>
      </c>
    </row>
    <row r="164" spans="1:26">
      <c r="A164" t="s">
        <v>715</v>
      </c>
      <c r="B164" s="44">
        <v>44083</v>
      </c>
      <c r="C164" s="34">
        <f t="shared" si="13"/>
        <v>2020</v>
      </c>
      <c r="D164" s="34">
        <f t="shared" si="14"/>
        <v>9</v>
      </c>
      <c r="E164" s="34" t="str">
        <f t="shared" si="15"/>
        <v>September</v>
      </c>
      <c r="F164" s="44">
        <v>44084</v>
      </c>
      <c r="G164" t="s">
        <v>716</v>
      </c>
      <c r="H164" t="s">
        <v>717</v>
      </c>
      <c r="I164" t="s">
        <v>55</v>
      </c>
      <c r="J164" t="s">
        <v>30</v>
      </c>
      <c r="K164" t="s">
        <v>551</v>
      </c>
      <c r="L164" t="s">
        <v>718</v>
      </c>
      <c r="M164" t="s">
        <v>33</v>
      </c>
      <c r="N164" t="s">
        <v>251</v>
      </c>
      <c r="O164" t="s">
        <v>67</v>
      </c>
      <c r="P164" t="s">
        <v>252</v>
      </c>
      <c r="Q164" t="s">
        <v>253</v>
      </c>
      <c r="R164">
        <v>598.4</v>
      </c>
      <c r="S164">
        <v>1</v>
      </c>
      <c r="T164">
        <v>0.2</v>
      </c>
      <c r="U164" s="34" t="str">
        <f t="shared" si="16"/>
        <v>Medium</v>
      </c>
      <c r="V164">
        <v>98.96</v>
      </c>
      <c r="W164" s="29">
        <f t="shared" si="17"/>
        <v>0.165374331550802</v>
      </c>
      <c r="X164">
        <v>29.17</v>
      </c>
      <c r="Y164" t="s">
        <v>96</v>
      </c>
      <c r="Z164" s="34" t="str">
        <f t="shared" si="18"/>
        <v>Medium</v>
      </c>
    </row>
    <row r="165" spans="1:26">
      <c r="A165" t="s">
        <v>719</v>
      </c>
      <c r="B165" s="44">
        <v>43833</v>
      </c>
      <c r="C165" s="34">
        <f t="shared" si="13"/>
        <v>2020</v>
      </c>
      <c r="D165" s="34">
        <f t="shared" si="14"/>
        <v>1</v>
      </c>
      <c r="E165" s="34" t="str">
        <f t="shared" si="15"/>
        <v>January</v>
      </c>
      <c r="F165" s="44">
        <v>43835</v>
      </c>
      <c r="G165" t="s">
        <v>82</v>
      </c>
      <c r="H165" t="s">
        <v>83</v>
      </c>
      <c r="I165" t="s">
        <v>55</v>
      </c>
      <c r="J165" t="s">
        <v>30</v>
      </c>
      <c r="K165" t="s">
        <v>84</v>
      </c>
      <c r="L165" t="s">
        <v>85</v>
      </c>
      <c r="M165" t="s">
        <v>33</v>
      </c>
      <c r="N165" t="s">
        <v>223</v>
      </c>
      <c r="O165" t="s">
        <v>48</v>
      </c>
      <c r="P165" t="s">
        <v>60</v>
      </c>
      <c r="Q165" t="s">
        <v>224</v>
      </c>
      <c r="R165">
        <v>84.55</v>
      </c>
      <c r="S165">
        <v>1</v>
      </c>
      <c r="T165">
        <v>0.05</v>
      </c>
      <c r="U165" s="34" t="str">
        <f t="shared" si="16"/>
        <v>Low</v>
      </c>
      <c r="V165">
        <v>9.64</v>
      </c>
      <c r="W165" s="29">
        <f t="shared" si="17"/>
        <v>0.114015375517445</v>
      </c>
      <c r="X165">
        <v>24.22</v>
      </c>
      <c r="Y165" t="s">
        <v>70</v>
      </c>
      <c r="Z165" s="34" t="str">
        <f t="shared" si="18"/>
        <v>Small</v>
      </c>
    </row>
    <row r="166" spans="1:26">
      <c r="A166" t="s">
        <v>720</v>
      </c>
      <c r="B166" s="44">
        <v>43970</v>
      </c>
      <c r="C166" s="34">
        <f t="shared" si="13"/>
        <v>2020</v>
      </c>
      <c r="D166" s="34">
        <f t="shared" si="14"/>
        <v>5</v>
      </c>
      <c r="E166" s="34" t="str">
        <f t="shared" si="15"/>
        <v>May</v>
      </c>
      <c r="F166" s="44">
        <v>43976</v>
      </c>
      <c r="G166" t="s">
        <v>721</v>
      </c>
      <c r="H166" t="s">
        <v>722</v>
      </c>
      <c r="I166" t="s">
        <v>29</v>
      </c>
      <c r="J166" t="s">
        <v>43</v>
      </c>
      <c r="K166" t="s">
        <v>213</v>
      </c>
      <c r="L166" t="s">
        <v>356</v>
      </c>
      <c r="M166" t="s">
        <v>33</v>
      </c>
      <c r="N166" t="s">
        <v>367</v>
      </c>
      <c r="O166" t="s">
        <v>35</v>
      </c>
      <c r="P166" t="s">
        <v>202</v>
      </c>
      <c r="Q166" t="s">
        <v>368</v>
      </c>
      <c r="R166">
        <v>1198</v>
      </c>
      <c r="S166">
        <v>2</v>
      </c>
      <c r="T166">
        <v>0</v>
      </c>
      <c r="U166" s="34" t="str">
        <f t="shared" si="16"/>
        <v>No Discount</v>
      </c>
      <c r="V166">
        <v>115.35</v>
      </c>
      <c r="W166" s="29">
        <f t="shared" si="17"/>
        <v>0.0962854757929883</v>
      </c>
      <c r="X166">
        <v>14.84</v>
      </c>
      <c r="Y166" t="s">
        <v>70</v>
      </c>
      <c r="Z166" s="34" t="str">
        <f t="shared" si="18"/>
        <v>Medium</v>
      </c>
    </row>
    <row r="167" spans="1:26">
      <c r="A167" t="s">
        <v>723</v>
      </c>
      <c r="B167" s="44">
        <v>45490</v>
      </c>
      <c r="C167" s="34">
        <f t="shared" si="13"/>
        <v>2024</v>
      </c>
      <c r="D167" s="34">
        <f t="shared" si="14"/>
        <v>7</v>
      </c>
      <c r="E167" s="34" t="str">
        <f t="shared" si="15"/>
        <v>July</v>
      </c>
      <c r="F167" s="44">
        <v>45493</v>
      </c>
      <c r="G167" t="s">
        <v>724</v>
      </c>
      <c r="H167" t="s">
        <v>725</v>
      </c>
      <c r="I167" t="s">
        <v>55</v>
      </c>
      <c r="J167" t="s">
        <v>43</v>
      </c>
      <c r="K167" t="s">
        <v>602</v>
      </c>
      <c r="L167" t="s">
        <v>726</v>
      </c>
      <c r="M167" t="s">
        <v>46</v>
      </c>
      <c r="N167" t="s">
        <v>546</v>
      </c>
      <c r="O167" t="s">
        <v>35</v>
      </c>
      <c r="P167" t="s">
        <v>36</v>
      </c>
      <c r="Q167" t="s">
        <v>547</v>
      </c>
      <c r="R167">
        <v>3980.5</v>
      </c>
      <c r="S167">
        <v>2</v>
      </c>
      <c r="T167">
        <v>0.05</v>
      </c>
      <c r="U167" s="34" t="str">
        <f t="shared" si="16"/>
        <v>Low</v>
      </c>
      <c r="V167">
        <v>862.76</v>
      </c>
      <c r="W167" s="29">
        <f t="shared" si="17"/>
        <v>0.216746639869363</v>
      </c>
      <c r="X167">
        <v>43.16</v>
      </c>
      <c r="Y167" t="s">
        <v>80</v>
      </c>
      <c r="Z167" s="34" t="str">
        <f t="shared" si="18"/>
        <v>Large</v>
      </c>
    </row>
    <row r="168" spans="1:26">
      <c r="A168" t="s">
        <v>727</v>
      </c>
      <c r="B168" s="44">
        <v>44351</v>
      </c>
      <c r="C168" s="34">
        <f t="shared" si="13"/>
        <v>2021</v>
      </c>
      <c r="D168" s="34">
        <f t="shared" si="14"/>
        <v>6</v>
      </c>
      <c r="E168" s="34" t="str">
        <f t="shared" si="15"/>
        <v>June</v>
      </c>
      <c r="F168" s="44">
        <v>44358</v>
      </c>
      <c r="G168" t="s">
        <v>728</v>
      </c>
      <c r="H168" t="s">
        <v>729</v>
      </c>
      <c r="I168" t="s">
        <v>42</v>
      </c>
      <c r="J168" t="s">
        <v>43</v>
      </c>
      <c r="K168" t="s">
        <v>320</v>
      </c>
      <c r="L168" t="s">
        <v>631</v>
      </c>
      <c r="M168" t="s">
        <v>46</v>
      </c>
      <c r="N168" t="s">
        <v>94</v>
      </c>
      <c r="O168" t="s">
        <v>35</v>
      </c>
      <c r="P168" t="s">
        <v>36</v>
      </c>
      <c r="Q168" t="s">
        <v>95</v>
      </c>
      <c r="R168">
        <v>8475</v>
      </c>
      <c r="S168">
        <v>5</v>
      </c>
      <c r="T168">
        <v>0</v>
      </c>
      <c r="U168" s="34" t="str">
        <f t="shared" si="16"/>
        <v>No Discount</v>
      </c>
      <c r="V168">
        <v>-431.87</v>
      </c>
      <c r="W168" s="29">
        <f t="shared" si="17"/>
        <v>-0.0509581120943953</v>
      </c>
      <c r="X168">
        <v>27.07</v>
      </c>
      <c r="Y168" t="s">
        <v>137</v>
      </c>
      <c r="Z168" s="34" t="str">
        <f t="shared" si="18"/>
        <v>Large</v>
      </c>
    </row>
    <row r="169" spans="1:26">
      <c r="A169" t="s">
        <v>730</v>
      </c>
      <c r="B169" s="44">
        <v>44715</v>
      </c>
      <c r="C169" s="34">
        <f t="shared" si="13"/>
        <v>2022</v>
      </c>
      <c r="D169" s="34">
        <f t="shared" si="14"/>
        <v>6</v>
      </c>
      <c r="E169" s="34" t="str">
        <f t="shared" si="15"/>
        <v>June</v>
      </c>
      <c r="F169" s="44">
        <v>44718</v>
      </c>
      <c r="G169" t="s">
        <v>701</v>
      </c>
      <c r="H169" t="s">
        <v>702</v>
      </c>
      <c r="I169" t="s">
        <v>42</v>
      </c>
      <c r="J169" t="s">
        <v>43</v>
      </c>
      <c r="K169" t="s">
        <v>146</v>
      </c>
      <c r="L169" t="s">
        <v>147</v>
      </c>
      <c r="M169" t="s">
        <v>33</v>
      </c>
      <c r="N169" t="s">
        <v>189</v>
      </c>
      <c r="O169" t="s">
        <v>48</v>
      </c>
      <c r="P169" t="s">
        <v>190</v>
      </c>
      <c r="Q169" t="s">
        <v>191</v>
      </c>
      <c r="R169">
        <v>140</v>
      </c>
      <c r="S169">
        <v>4</v>
      </c>
      <c r="T169">
        <v>0</v>
      </c>
      <c r="U169" s="34" t="str">
        <f t="shared" si="16"/>
        <v>No Discount</v>
      </c>
      <c r="V169">
        <v>21.91</v>
      </c>
      <c r="W169" s="29">
        <f t="shared" si="17"/>
        <v>0.1565</v>
      </c>
      <c r="X169">
        <v>10.95</v>
      </c>
      <c r="Y169" t="s">
        <v>62</v>
      </c>
      <c r="Z169" s="34" t="str">
        <f t="shared" si="18"/>
        <v>Small</v>
      </c>
    </row>
    <row r="170" spans="1:26">
      <c r="A170" t="s">
        <v>731</v>
      </c>
      <c r="B170" s="44">
        <v>45604</v>
      </c>
      <c r="C170" s="34">
        <f t="shared" si="13"/>
        <v>2024</v>
      </c>
      <c r="D170" s="34">
        <f t="shared" si="14"/>
        <v>11</v>
      </c>
      <c r="E170" s="34" t="str">
        <f t="shared" si="15"/>
        <v>November</v>
      </c>
      <c r="F170" s="44">
        <v>45611</v>
      </c>
      <c r="G170" t="s">
        <v>370</v>
      </c>
      <c r="H170" t="s">
        <v>371</v>
      </c>
      <c r="I170" t="s">
        <v>42</v>
      </c>
      <c r="J170" t="s">
        <v>43</v>
      </c>
      <c r="K170" t="s">
        <v>44</v>
      </c>
      <c r="L170" t="s">
        <v>195</v>
      </c>
      <c r="M170" t="s">
        <v>46</v>
      </c>
      <c r="N170" t="s">
        <v>264</v>
      </c>
      <c r="O170" t="s">
        <v>67</v>
      </c>
      <c r="P170" t="s">
        <v>87</v>
      </c>
      <c r="Q170" t="s">
        <v>265</v>
      </c>
      <c r="R170">
        <v>251.1</v>
      </c>
      <c r="S170">
        <v>1</v>
      </c>
      <c r="T170">
        <v>0.1</v>
      </c>
      <c r="U170" s="34" t="str">
        <f t="shared" si="16"/>
        <v>Low</v>
      </c>
      <c r="V170">
        <v>42.54</v>
      </c>
      <c r="W170" s="29">
        <f t="shared" si="17"/>
        <v>0.169414575866189</v>
      </c>
      <c r="X170">
        <v>25.59</v>
      </c>
      <c r="Y170" t="s">
        <v>51</v>
      </c>
      <c r="Z170" s="34" t="str">
        <f t="shared" si="18"/>
        <v>Small</v>
      </c>
    </row>
    <row r="171" spans="1:26">
      <c r="A171" t="s">
        <v>732</v>
      </c>
      <c r="B171" s="44">
        <v>45433</v>
      </c>
      <c r="C171" s="34">
        <f t="shared" si="13"/>
        <v>2024</v>
      </c>
      <c r="D171" s="34">
        <f t="shared" si="14"/>
        <v>5</v>
      </c>
      <c r="E171" s="34" t="str">
        <f t="shared" si="15"/>
        <v>May</v>
      </c>
      <c r="F171" s="44">
        <v>45434</v>
      </c>
      <c r="G171" t="s">
        <v>733</v>
      </c>
      <c r="H171" t="s">
        <v>734</v>
      </c>
      <c r="I171" t="s">
        <v>29</v>
      </c>
      <c r="J171" t="s">
        <v>30</v>
      </c>
      <c r="K171" t="s">
        <v>645</v>
      </c>
      <c r="L171" t="s">
        <v>311</v>
      </c>
      <c r="M171" t="s">
        <v>58</v>
      </c>
      <c r="N171" t="s">
        <v>77</v>
      </c>
      <c r="O171" t="s">
        <v>35</v>
      </c>
      <c r="P171" t="s">
        <v>78</v>
      </c>
      <c r="Q171" t="s">
        <v>79</v>
      </c>
      <c r="R171">
        <v>6626.25</v>
      </c>
      <c r="S171">
        <v>5</v>
      </c>
      <c r="T171">
        <v>0.05</v>
      </c>
      <c r="U171" s="34" t="str">
        <f t="shared" si="16"/>
        <v>Low</v>
      </c>
      <c r="V171">
        <v>1448.34</v>
      </c>
      <c r="W171" s="29">
        <f t="shared" si="17"/>
        <v>0.218576117713639</v>
      </c>
      <c r="X171">
        <v>31.44</v>
      </c>
      <c r="Y171" t="s">
        <v>51</v>
      </c>
      <c r="Z171" s="34" t="str">
        <f t="shared" si="18"/>
        <v>Large</v>
      </c>
    </row>
    <row r="172" spans="1:26">
      <c r="A172" t="s">
        <v>735</v>
      </c>
      <c r="B172" s="44">
        <v>45334</v>
      </c>
      <c r="C172" s="34">
        <f t="shared" si="13"/>
        <v>2024</v>
      </c>
      <c r="D172" s="34">
        <f t="shared" si="14"/>
        <v>2</v>
      </c>
      <c r="E172" s="34" t="str">
        <f t="shared" si="15"/>
        <v>February</v>
      </c>
      <c r="F172" s="44">
        <v>45335</v>
      </c>
      <c r="G172" t="s">
        <v>736</v>
      </c>
      <c r="H172" t="s">
        <v>737</v>
      </c>
      <c r="I172" t="s">
        <v>55</v>
      </c>
      <c r="J172" t="s">
        <v>30</v>
      </c>
      <c r="K172" t="s">
        <v>175</v>
      </c>
      <c r="L172" t="s">
        <v>738</v>
      </c>
      <c r="M172" t="s">
        <v>46</v>
      </c>
      <c r="N172" t="s">
        <v>118</v>
      </c>
      <c r="O172" t="s">
        <v>67</v>
      </c>
      <c r="P172" t="s">
        <v>119</v>
      </c>
      <c r="Q172" t="s">
        <v>120</v>
      </c>
      <c r="R172">
        <v>4196.5</v>
      </c>
      <c r="S172">
        <v>5</v>
      </c>
      <c r="T172">
        <v>0.3</v>
      </c>
      <c r="U172" s="34" t="str">
        <f t="shared" si="16"/>
        <v>High</v>
      </c>
      <c r="V172">
        <v>-213.61</v>
      </c>
      <c r="W172" s="29">
        <f t="shared" si="17"/>
        <v>-0.0509019420946027</v>
      </c>
      <c r="X172">
        <v>12.6</v>
      </c>
      <c r="Y172" t="s">
        <v>80</v>
      </c>
      <c r="Z172" s="34" t="str">
        <f t="shared" si="18"/>
        <v>Large</v>
      </c>
    </row>
    <row r="173" spans="1:26">
      <c r="A173" t="s">
        <v>739</v>
      </c>
      <c r="B173" s="44">
        <v>44005</v>
      </c>
      <c r="C173" s="34">
        <f t="shared" si="13"/>
        <v>2020</v>
      </c>
      <c r="D173" s="34">
        <f t="shared" si="14"/>
        <v>6</v>
      </c>
      <c r="E173" s="34" t="str">
        <f t="shared" si="15"/>
        <v>June</v>
      </c>
      <c r="F173" s="44">
        <v>44010</v>
      </c>
      <c r="G173" t="s">
        <v>740</v>
      </c>
      <c r="H173" t="s">
        <v>741</v>
      </c>
      <c r="I173" t="s">
        <v>29</v>
      </c>
      <c r="J173" t="s">
        <v>43</v>
      </c>
      <c r="K173" t="s">
        <v>31</v>
      </c>
      <c r="L173" t="s">
        <v>32</v>
      </c>
      <c r="M173" t="s">
        <v>33</v>
      </c>
      <c r="N173" t="s">
        <v>684</v>
      </c>
      <c r="O173" t="s">
        <v>48</v>
      </c>
      <c r="P173" t="s">
        <v>60</v>
      </c>
      <c r="Q173" t="s">
        <v>685</v>
      </c>
      <c r="R173">
        <v>221.2</v>
      </c>
      <c r="S173">
        <v>4</v>
      </c>
      <c r="T173">
        <v>0.3</v>
      </c>
      <c r="U173" s="34" t="str">
        <f t="shared" si="16"/>
        <v>High</v>
      </c>
      <c r="V173">
        <v>34.48</v>
      </c>
      <c r="W173" s="29">
        <f t="shared" si="17"/>
        <v>0.155877034358047</v>
      </c>
      <c r="X173">
        <v>32.54</v>
      </c>
      <c r="Y173" t="s">
        <v>38</v>
      </c>
      <c r="Z173" s="34" t="str">
        <f t="shared" si="18"/>
        <v>Small</v>
      </c>
    </row>
    <row r="174" spans="1:26">
      <c r="A174" t="s">
        <v>742</v>
      </c>
      <c r="B174" s="44">
        <v>44527</v>
      </c>
      <c r="C174" s="34">
        <f t="shared" si="13"/>
        <v>2021</v>
      </c>
      <c r="D174" s="34">
        <f t="shared" si="14"/>
        <v>11</v>
      </c>
      <c r="E174" s="34" t="str">
        <f t="shared" si="15"/>
        <v>November</v>
      </c>
      <c r="F174" s="44">
        <v>44531</v>
      </c>
      <c r="G174" t="s">
        <v>626</v>
      </c>
      <c r="H174" t="s">
        <v>627</v>
      </c>
      <c r="I174" t="s">
        <v>29</v>
      </c>
      <c r="J174" t="s">
        <v>43</v>
      </c>
      <c r="K174" t="s">
        <v>245</v>
      </c>
      <c r="L174" t="s">
        <v>511</v>
      </c>
      <c r="M174" t="s">
        <v>76</v>
      </c>
      <c r="N174" t="s">
        <v>312</v>
      </c>
      <c r="O174" t="s">
        <v>48</v>
      </c>
      <c r="P174" t="s">
        <v>49</v>
      </c>
      <c r="Q174" t="s">
        <v>313</v>
      </c>
      <c r="R174">
        <v>175.5</v>
      </c>
      <c r="S174">
        <v>5</v>
      </c>
      <c r="T174">
        <v>0.1</v>
      </c>
      <c r="U174" s="34" t="str">
        <f t="shared" si="16"/>
        <v>Low</v>
      </c>
      <c r="V174">
        <v>23.13</v>
      </c>
      <c r="W174" s="29">
        <f t="shared" si="17"/>
        <v>0.131794871794872</v>
      </c>
      <c r="X174">
        <v>39.9</v>
      </c>
      <c r="Y174" t="s">
        <v>137</v>
      </c>
      <c r="Z174" s="34" t="str">
        <f t="shared" si="18"/>
        <v>Small</v>
      </c>
    </row>
    <row r="175" spans="1:26">
      <c r="A175" t="s">
        <v>743</v>
      </c>
      <c r="B175" s="44">
        <v>45544</v>
      </c>
      <c r="C175" s="34">
        <f t="shared" si="13"/>
        <v>2024</v>
      </c>
      <c r="D175" s="34">
        <f t="shared" si="14"/>
        <v>9</v>
      </c>
      <c r="E175" s="34" t="str">
        <f t="shared" si="15"/>
        <v>September</v>
      </c>
      <c r="F175" s="44">
        <v>45551</v>
      </c>
      <c r="G175" t="s">
        <v>483</v>
      </c>
      <c r="H175" t="s">
        <v>484</v>
      </c>
      <c r="I175" t="s">
        <v>42</v>
      </c>
      <c r="J175" t="s">
        <v>43</v>
      </c>
      <c r="K175" t="s">
        <v>108</v>
      </c>
      <c r="L175" t="s">
        <v>485</v>
      </c>
      <c r="M175" t="s">
        <v>58</v>
      </c>
      <c r="N175" t="s">
        <v>170</v>
      </c>
      <c r="O175" t="s">
        <v>48</v>
      </c>
      <c r="P175" t="s">
        <v>49</v>
      </c>
      <c r="Q175" t="s">
        <v>171</v>
      </c>
      <c r="R175">
        <v>298</v>
      </c>
      <c r="S175">
        <v>2</v>
      </c>
      <c r="T175">
        <v>0</v>
      </c>
      <c r="U175" s="34" t="str">
        <f t="shared" si="16"/>
        <v>No Discount</v>
      </c>
      <c r="V175">
        <v>-24.41</v>
      </c>
      <c r="W175" s="29">
        <f t="shared" si="17"/>
        <v>-0.0819127516778523</v>
      </c>
      <c r="X175">
        <v>31.69</v>
      </c>
      <c r="Y175" t="s">
        <v>137</v>
      </c>
      <c r="Z175" s="34" t="str">
        <f t="shared" si="18"/>
        <v>Small</v>
      </c>
    </row>
    <row r="176" spans="1:26">
      <c r="A176" t="s">
        <v>744</v>
      </c>
      <c r="B176" s="44">
        <v>45507</v>
      </c>
      <c r="C176" s="34">
        <f t="shared" si="13"/>
        <v>2024</v>
      </c>
      <c r="D176" s="34">
        <f t="shared" si="14"/>
        <v>8</v>
      </c>
      <c r="E176" s="34" t="str">
        <f t="shared" si="15"/>
        <v>August</v>
      </c>
      <c r="F176" s="44">
        <v>45509</v>
      </c>
      <c r="G176" t="s">
        <v>745</v>
      </c>
      <c r="H176" t="s">
        <v>746</v>
      </c>
      <c r="I176" t="s">
        <v>29</v>
      </c>
      <c r="J176" t="s">
        <v>43</v>
      </c>
      <c r="K176" t="s">
        <v>56</v>
      </c>
      <c r="L176" t="s">
        <v>57</v>
      </c>
      <c r="M176" t="s">
        <v>58</v>
      </c>
      <c r="N176" t="s">
        <v>77</v>
      </c>
      <c r="O176" t="s">
        <v>35</v>
      </c>
      <c r="P176" t="s">
        <v>78</v>
      </c>
      <c r="Q176" t="s">
        <v>79</v>
      </c>
      <c r="R176">
        <v>1046.25</v>
      </c>
      <c r="S176">
        <v>1</v>
      </c>
      <c r="T176">
        <v>0.25</v>
      </c>
      <c r="U176" s="34" t="str">
        <f t="shared" si="16"/>
        <v>High</v>
      </c>
      <c r="V176">
        <v>-58.51</v>
      </c>
      <c r="W176" s="29">
        <f t="shared" si="17"/>
        <v>-0.0559235364396655</v>
      </c>
      <c r="X176">
        <v>20.67</v>
      </c>
      <c r="Y176" t="s">
        <v>51</v>
      </c>
      <c r="Z176" s="34" t="str">
        <f t="shared" si="18"/>
        <v>Medium</v>
      </c>
    </row>
    <row r="177" spans="1:26">
      <c r="A177" t="s">
        <v>747</v>
      </c>
      <c r="B177" s="44">
        <v>44053</v>
      </c>
      <c r="C177" s="34">
        <f t="shared" si="13"/>
        <v>2020</v>
      </c>
      <c r="D177" s="34">
        <f t="shared" si="14"/>
        <v>8</v>
      </c>
      <c r="E177" s="34" t="str">
        <f t="shared" si="15"/>
        <v>August</v>
      </c>
      <c r="F177" s="44">
        <v>44059</v>
      </c>
      <c r="G177" t="s">
        <v>173</v>
      </c>
      <c r="H177" t="s">
        <v>174</v>
      </c>
      <c r="I177" t="s">
        <v>55</v>
      </c>
      <c r="J177" t="s">
        <v>43</v>
      </c>
      <c r="K177" t="s">
        <v>175</v>
      </c>
      <c r="L177" t="s">
        <v>176</v>
      </c>
      <c r="M177" t="s">
        <v>46</v>
      </c>
      <c r="N177" t="s">
        <v>235</v>
      </c>
      <c r="O177" t="s">
        <v>35</v>
      </c>
      <c r="P177" t="s">
        <v>78</v>
      </c>
      <c r="Q177" t="s">
        <v>236</v>
      </c>
      <c r="R177">
        <v>2196</v>
      </c>
      <c r="S177">
        <v>5</v>
      </c>
      <c r="T177">
        <v>0.2</v>
      </c>
      <c r="U177" s="34" t="str">
        <f t="shared" si="16"/>
        <v>Medium</v>
      </c>
      <c r="V177">
        <v>323.48</v>
      </c>
      <c r="W177" s="29">
        <f t="shared" si="17"/>
        <v>0.147304189435337</v>
      </c>
      <c r="X177">
        <v>19.73</v>
      </c>
      <c r="Y177" t="s">
        <v>137</v>
      </c>
      <c r="Z177" s="34" t="str">
        <f t="shared" si="18"/>
        <v>Large</v>
      </c>
    </row>
    <row r="178" spans="1:26">
      <c r="A178" t="s">
        <v>748</v>
      </c>
      <c r="B178" s="44">
        <v>44054</v>
      </c>
      <c r="C178" s="34">
        <f t="shared" si="13"/>
        <v>2020</v>
      </c>
      <c r="D178" s="34">
        <f t="shared" si="14"/>
        <v>8</v>
      </c>
      <c r="E178" s="34" t="str">
        <f t="shared" si="15"/>
        <v>August</v>
      </c>
      <c r="F178" s="44">
        <v>44056</v>
      </c>
      <c r="G178" t="s">
        <v>536</v>
      </c>
      <c r="H178" t="s">
        <v>537</v>
      </c>
      <c r="I178" t="s">
        <v>42</v>
      </c>
      <c r="J178" t="s">
        <v>43</v>
      </c>
      <c r="K178" t="s">
        <v>56</v>
      </c>
      <c r="L178" t="s">
        <v>57</v>
      </c>
      <c r="M178" t="s">
        <v>58</v>
      </c>
      <c r="N178" t="s">
        <v>155</v>
      </c>
      <c r="O178" t="s">
        <v>67</v>
      </c>
      <c r="P178" t="s">
        <v>119</v>
      </c>
      <c r="Q178" t="s">
        <v>156</v>
      </c>
      <c r="R178">
        <v>849</v>
      </c>
      <c r="S178">
        <v>1</v>
      </c>
      <c r="T178">
        <v>0</v>
      </c>
      <c r="U178" s="34" t="str">
        <f t="shared" si="16"/>
        <v>No Discount</v>
      </c>
      <c r="V178">
        <v>-50.02</v>
      </c>
      <c r="W178" s="29">
        <f t="shared" si="17"/>
        <v>-0.0589163722025913</v>
      </c>
      <c r="X178">
        <v>25.23</v>
      </c>
      <c r="Y178" t="s">
        <v>38</v>
      </c>
      <c r="Z178" s="34" t="str">
        <f t="shared" si="18"/>
        <v>Medium</v>
      </c>
    </row>
    <row r="179" spans="1:26">
      <c r="A179" t="s">
        <v>749</v>
      </c>
      <c r="B179" s="44">
        <v>45002</v>
      </c>
      <c r="C179" s="34">
        <f t="shared" si="13"/>
        <v>2023</v>
      </c>
      <c r="D179" s="34">
        <f t="shared" si="14"/>
        <v>3</v>
      </c>
      <c r="E179" s="34" t="str">
        <f t="shared" si="15"/>
        <v>March</v>
      </c>
      <c r="F179" s="44">
        <v>45006</v>
      </c>
      <c r="G179" t="s">
        <v>309</v>
      </c>
      <c r="H179" t="s">
        <v>310</v>
      </c>
      <c r="I179" t="s">
        <v>29</v>
      </c>
      <c r="J179" t="s">
        <v>43</v>
      </c>
      <c r="K179" t="s">
        <v>175</v>
      </c>
      <c r="L179" t="s">
        <v>311</v>
      </c>
      <c r="M179" t="s">
        <v>46</v>
      </c>
      <c r="N179" t="s">
        <v>315</v>
      </c>
      <c r="O179" t="s">
        <v>67</v>
      </c>
      <c r="P179" t="s">
        <v>252</v>
      </c>
      <c r="Q179" t="s">
        <v>316</v>
      </c>
      <c r="R179">
        <v>679</v>
      </c>
      <c r="S179">
        <v>1</v>
      </c>
      <c r="T179">
        <v>0</v>
      </c>
      <c r="U179" s="34" t="str">
        <f t="shared" si="16"/>
        <v>No Discount</v>
      </c>
      <c r="V179">
        <v>-48.73</v>
      </c>
      <c r="W179" s="29">
        <f t="shared" si="17"/>
        <v>-0.0717673048600884</v>
      </c>
      <c r="X179">
        <v>49.25</v>
      </c>
      <c r="Y179" t="s">
        <v>51</v>
      </c>
      <c r="Z179" s="34" t="str">
        <f t="shared" si="18"/>
        <v>Medium</v>
      </c>
    </row>
    <row r="180" spans="1:26">
      <c r="A180" t="s">
        <v>750</v>
      </c>
      <c r="B180" s="44">
        <v>44985</v>
      </c>
      <c r="C180" s="34">
        <f t="shared" si="13"/>
        <v>2023</v>
      </c>
      <c r="D180" s="34">
        <f t="shared" si="14"/>
        <v>2</v>
      </c>
      <c r="E180" s="34" t="str">
        <f t="shared" si="15"/>
        <v>February</v>
      </c>
      <c r="F180" s="44">
        <v>44987</v>
      </c>
      <c r="G180" t="s">
        <v>751</v>
      </c>
      <c r="H180" t="s">
        <v>752</v>
      </c>
      <c r="I180" t="s">
        <v>42</v>
      </c>
      <c r="J180" t="s">
        <v>43</v>
      </c>
      <c r="K180" t="s">
        <v>133</v>
      </c>
      <c r="L180" t="s">
        <v>753</v>
      </c>
      <c r="M180" t="s">
        <v>33</v>
      </c>
      <c r="N180" t="s">
        <v>182</v>
      </c>
      <c r="O180" t="s">
        <v>48</v>
      </c>
      <c r="P180" t="s">
        <v>128</v>
      </c>
      <c r="Q180" t="s">
        <v>183</v>
      </c>
      <c r="R180">
        <v>375.25</v>
      </c>
      <c r="S180">
        <v>5</v>
      </c>
      <c r="T180">
        <v>0.05</v>
      </c>
      <c r="U180" s="34" t="str">
        <f t="shared" si="16"/>
        <v>Low</v>
      </c>
      <c r="V180">
        <v>24.73</v>
      </c>
      <c r="W180" s="29">
        <f t="shared" si="17"/>
        <v>0.0659027315123251</v>
      </c>
      <c r="X180">
        <v>42.65</v>
      </c>
      <c r="Y180" t="s">
        <v>96</v>
      </c>
      <c r="Z180" s="34" t="str">
        <f t="shared" si="18"/>
        <v>Small</v>
      </c>
    </row>
    <row r="181" spans="1:26">
      <c r="A181" t="s">
        <v>754</v>
      </c>
      <c r="B181" s="44">
        <v>44028</v>
      </c>
      <c r="C181" s="34">
        <f t="shared" si="13"/>
        <v>2020</v>
      </c>
      <c r="D181" s="34">
        <f t="shared" si="14"/>
        <v>7</v>
      </c>
      <c r="E181" s="34" t="str">
        <f t="shared" si="15"/>
        <v>July</v>
      </c>
      <c r="F181" s="44">
        <v>44030</v>
      </c>
      <c r="G181" t="s">
        <v>131</v>
      </c>
      <c r="H181" t="s">
        <v>132</v>
      </c>
      <c r="I181" t="s">
        <v>29</v>
      </c>
      <c r="J181" t="s">
        <v>30</v>
      </c>
      <c r="K181" t="s">
        <v>133</v>
      </c>
      <c r="L181" t="s">
        <v>134</v>
      </c>
      <c r="M181" t="s">
        <v>33</v>
      </c>
      <c r="N181" t="s">
        <v>684</v>
      </c>
      <c r="O181" t="s">
        <v>48</v>
      </c>
      <c r="P181" t="s">
        <v>60</v>
      </c>
      <c r="Q181" t="s">
        <v>685</v>
      </c>
      <c r="R181">
        <v>71.1</v>
      </c>
      <c r="S181">
        <v>1</v>
      </c>
      <c r="T181">
        <v>0.1</v>
      </c>
      <c r="U181" s="34" t="str">
        <f t="shared" si="16"/>
        <v>Low</v>
      </c>
      <c r="V181">
        <v>-0.05</v>
      </c>
      <c r="W181" s="29">
        <f t="shared" si="17"/>
        <v>-0.00070323488045007</v>
      </c>
      <c r="X181">
        <v>23.88</v>
      </c>
      <c r="Y181" t="s">
        <v>70</v>
      </c>
      <c r="Z181" s="34" t="str">
        <f t="shared" si="18"/>
        <v>Small</v>
      </c>
    </row>
    <row r="182" spans="1:26">
      <c r="A182" t="s">
        <v>755</v>
      </c>
      <c r="B182" s="44">
        <v>44800</v>
      </c>
      <c r="C182" s="34">
        <f t="shared" si="13"/>
        <v>2022</v>
      </c>
      <c r="D182" s="34">
        <f t="shared" si="14"/>
        <v>8</v>
      </c>
      <c r="E182" s="34" t="str">
        <f t="shared" si="15"/>
        <v>August</v>
      </c>
      <c r="F182" s="44">
        <v>44807</v>
      </c>
      <c r="G182" t="s">
        <v>444</v>
      </c>
      <c r="H182" t="s">
        <v>445</v>
      </c>
      <c r="I182" t="s">
        <v>42</v>
      </c>
      <c r="J182" t="s">
        <v>43</v>
      </c>
      <c r="K182" t="s">
        <v>213</v>
      </c>
      <c r="L182" t="s">
        <v>356</v>
      </c>
      <c r="M182" t="s">
        <v>33</v>
      </c>
      <c r="N182" t="s">
        <v>459</v>
      </c>
      <c r="O182" t="s">
        <v>48</v>
      </c>
      <c r="P182" t="s">
        <v>128</v>
      </c>
      <c r="Q182" t="s">
        <v>460</v>
      </c>
      <c r="R182">
        <v>26.1</v>
      </c>
      <c r="S182">
        <v>1</v>
      </c>
      <c r="T182">
        <v>0.1</v>
      </c>
      <c r="U182" s="34" t="str">
        <f t="shared" si="16"/>
        <v>Low</v>
      </c>
      <c r="V182">
        <v>-9.49</v>
      </c>
      <c r="W182" s="29">
        <f t="shared" si="17"/>
        <v>-0.36360153256705</v>
      </c>
      <c r="X182">
        <v>40.32</v>
      </c>
      <c r="Y182" t="s">
        <v>62</v>
      </c>
      <c r="Z182" s="34" t="str">
        <f t="shared" si="18"/>
        <v>Small</v>
      </c>
    </row>
    <row r="183" spans="1:26">
      <c r="A183" t="s">
        <v>756</v>
      </c>
      <c r="B183" s="44">
        <v>45034</v>
      </c>
      <c r="C183" s="34">
        <f t="shared" si="13"/>
        <v>2023</v>
      </c>
      <c r="D183" s="34">
        <f t="shared" si="14"/>
        <v>4</v>
      </c>
      <c r="E183" s="34" t="str">
        <f t="shared" si="15"/>
        <v>April</v>
      </c>
      <c r="F183" s="44">
        <v>45036</v>
      </c>
      <c r="G183" t="s">
        <v>144</v>
      </c>
      <c r="H183" t="s">
        <v>145</v>
      </c>
      <c r="I183" t="s">
        <v>55</v>
      </c>
      <c r="J183" t="s">
        <v>30</v>
      </c>
      <c r="K183" t="s">
        <v>146</v>
      </c>
      <c r="L183" t="s">
        <v>147</v>
      </c>
      <c r="M183" t="s">
        <v>33</v>
      </c>
      <c r="N183" t="s">
        <v>415</v>
      </c>
      <c r="O183" t="s">
        <v>67</v>
      </c>
      <c r="P183" t="s">
        <v>252</v>
      </c>
      <c r="Q183" t="s">
        <v>416</v>
      </c>
      <c r="R183">
        <v>1496.25</v>
      </c>
      <c r="S183">
        <v>5</v>
      </c>
      <c r="T183">
        <v>0.25</v>
      </c>
      <c r="U183" s="34" t="str">
        <f t="shared" si="16"/>
        <v>High</v>
      </c>
      <c r="V183">
        <v>219.22</v>
      </c>
      <c r="W183" s="29">
        <f t="shared" si="17"/>
        <v>0.146512949039265</v>
      </c>
      <c r="X183">
        <v>17.39</v>
      </c>
      <c r="Y183" t="s">
        <v>51</v>
      </c>
      <c r="Z183" s="34" t="str">
        <f t="shared" si="18"/>
        <v>Medium</v>
      </c>
    </row>
    <row r="184" spans="1:26">
      <c r="A184" t="s">
        <v>757</v>
      </c>
      <c r="B184" s="44">
        <v>45033</v>
      </c>
      <c r="C184" s="34">
        <f t="shared" si="13"/>
        <v>2023</v>
      </c>
      <c r="D184" s="34">
        <f t="shared" si="14"/>
        <v>4</v>
      </c>
      <c r="E184" s="34" t="str">
        <f t="shared" si="15"/>
        <v>April</v>
      </c>
      <c r="F184" s="44">
        <v>45034</v>
      </c>
      <c r="G184" t="s">
        <v>539</v>
      </c>
      <c r="H184" t="s">
        <v>540</v>
      </c>
      <c r="I184" t="s">
        <v>42</v>
      </c>
      <c r="J184" t="s">
        <v>43</v>
      </c>
      <c r="K184" t="s">
        <v>273</v>
      </c>
      <c r="L184" t="s">
        <v>541</v>
      </c>
      <c r="M184" t="s">
        <v>46</v>
      </c>
      <c r="N184" t="s">
        <v>127</v>
      </c>
      <c r="O184" t="s">
        <v>48</v>
      </c>
      <c r="P184" t="s">
        <v>128</v>
      </c>
      <c r="Q184" t="s">
        <v>129</v>
      </c>
      <c r="R184">
        <v>325</v>
      </c>
      <c r="S184">
        <v>5</v>
      </c>
      <c r="T184">
        <v>0</v>
      </c>
      <c r="U184" s="34" t="str">
        <f t="shared" si="16"/>
        <v>No Discount</v>
      </c>
      <c r="V184">
        <v>51.05</v>
      </c>
      <c r="W184" s="29">
        <f t="shared" si="17"/>
        <v>0.157076923076923</v>
      </c>
      <c r="X184">
        <v>46.5</v>
      </c>
      <c r="Y184" t="s">
        <v>70</v>
      </c>
      <c r="Z184" s="34" t="str">
        <f t="shared" si="18"/>
        <v>Small</v>
      </c>
    </row>
    <row r="185" spans="1:26">
      <c r="A185" t="s">
        <v>758</v>
      </c>
      <c r="B185" s="44">
        <v>45405</v>
      </c>
      <c r="C185" s="34">
        <f t="shared" si="13"/>
        <v>2024</v>
      </c>
      <c r="D185" s="34">
        <f t="shared" si="14"/>
        <v>4</v>
      </c>
      <c r="E185" s="34" t="str">
        <f t="shared" si="15"/>
        <v>April</v>
      </c>
      <c r="F185" s="44">
        <v>45407</v>
      </c>
      <c r="G185" t="s">
        <v>759</v>
      </c>
      <c r="H185" t="s">
        <v>644</v>
      </c>
      <c r="I185" t="s">
        <v>42</v>
      </c>
      <c r="J185" t="s">
        <v>43</v>
      </c>
      <c r="K185" t="s">
        <v>645</v>
      </c>
      <c r="L185" t="s">
        <v>311</v>
      </c>
      <c r="M185" t="s">
        <v>58</v>
      </c>
      <c r="N185" t="s">
        <v>321</v>
      </c>
      <c r="O185" t="s">
        <v>48</v>
      </c>
      <c r="P185" t="s">
        <v>190</v>
      </c>
      <c r="Q185" t="s">
        <v>322</v>
      </c>
      <c r="R185">
        <v>177</v>
      </c>
      <c r="S185">
        <v>3</v>
      </c>
      <c r="T185">
        <v>0</v>
      </c>
      <c r="U185" s="34" t="str">
        <f t="shared" si="16"/>
        <v>No Discount</v>
      </c>
      <c r="V185">
        <v>16.32</v>
      </c>
      <c r="W185" s="29">
        <f t="shared" si="17"/>
        <v>0.0922033898305085</v>
      </c>
      <c r="X185">
        <v>34.11</v>
      </c>
      <c r="Y185" t="s">
        <v>38</v>
      </c>
      <c r="Z185" s="34" t="str">
        <f t="shared" si="18"/>
        <v>Small</v>
      </c>
    </row>
    <row r="186" spans="1:26">
      <c r="A186" t="s">
        <v>760</v>
      </c>
      <c r="B186" s="44">
        <v>44831</v>
      </c>
      <c r="C186" s="34">
        <f t="shared" si="13"/>
        <v>2022</v>
      </c>
      <c r="D186" s="34">
        <f t="shared" si="14"/>
        <v>9</v>
      </c>
      <c r="E186" s="34" t="str">
        <f t="shared" si="15"/>
        <v>September</v>
      </c>
      <c r="F186" s="44">
        <v>44837</v>
      </c>
      <c r="G186" t="s">
        <v>761</v>
      </c>
      <c r="H186" t="s">
        <v>762</v>
      </c>
      <c r="I186" t="s">
        <v>55</v>
      </c>
      <c r="J186" t="s">
        <v>43</v>
      </c>
      <c r="K186" t="s">
        <v>645</v>
      </c>
      <c r="L186" t="s">
        <v>646</v>
      </c>
      <c r="M186" t="s">
        <v>58</v>
      </c>
      <c r="N186" t="s">
        <v>333</v>
      </c>
      <c r="O186" t="s">
        <v>48</v>
      </c>
      <c r="P186" t="s">
        <v>190</v>
      </c>
      <c r="Q186" t="s">
        <v>334</v>
      </c>
      <c r="R186">
        <v>945</v>
      </c>
      <c r="S186">
        <v>5</v>
      </c>
      <c r="T186">
        <v>0</v>
      </c>
      <c r="U186" s="34" t="str">
        <f t="shared" si="16"/>
        <v>No Discount</v>
      </c>
      <c r="V186">
        <v>184.51</v>
      </c>
      <c r="W186" s="29">
        <f t="shared" si="17"/>
        <v>0.195248677248677</v>
      </c>
      <c r="X186">
        <v>14.98</v>
      </c>
      <c r="Y186" t="s">
        <v>121</v>
      </c>
      <c r="Z186" s="34" t="str">
        <f t="shared" si="18"/>
        <v>Medium</v>
      </c>
    </row>
    <row r="187" spans="1:26">
      <c r="A187" t="s">
        <v>763</v>
      </c>
      <c r="B187" s="44">
        <v>44216</v>
      </c>
      <c r="C187" s="34">
        <f t="shared" si="13"/>
        <v>2021</v>
      </c>
      <c r="D187" s="34">
        <f t="shared" si="14"/>
        <v>1</v>
      </c>
      <c r="E187" s="34" t="str">
        <f t="shared" si="15"/>
        <v>January</v>
      </c>
      <c r="F187" s="44">
        <v>44220</v>
      </c>
      <c r="G187" t="s">
        <v>764</v>
      </c>
      <c r="H187" t="s">
        <v>606</v>
      </c>
      <c r="I187" t="s">
        <v>42</v>
      </c>
      <c r="J187" t="s">
        <v>43</v>
      </c>
      <c r="K187" t="s">
        <v>240</v>
      </c>
      <c r="L187" t="s">
        <v>765</v>
      </c>
      <c r="M187" t="s">
        <v>46</v>
      </c>
      <c r="N187" t="s">
        <v>459</v>
      </c>
      <c r="O187" t="s">
        <v>48</v>
      </c>
      <c r="P187" t="s">
        <v>128</v>
      </c>
      <c r="Q187" t="s">
        <v>460</v>
      </c>
      <c r="R187">
        <v>29</v>
      </c>
      <c r="S187">
        <v>1</v>
      </c>
      <c r="T187">
        <v>0</v>
      </c>
      <c r="U187" s="34" t="str">
        <f t="shared" si="16"/>
        <v>No Discount</v>
      </c>
      <c r="V187">
        <v>-0.97</v>
      </c>
      <c r="W187" s="29">
        <f t="shared" si="17"/>
        <v>-0.033448275862069</v>
      </c>
      <c r="X187">
        <v>22.58</v>
      </c>
      <c r="Y187" t="s">
        <v>96</v>
      </c>
      <c r="Z187" s="34" t="str">
        <f t="shared" si="18"/>
        <v>Small</v>
      </c>
    </row>
    <row r="188" spans="1:26">
      <c r="A188" t="s">
        <v>766</v>
      </c>
      <c r="B188" s="44">
        <v>43841</v>
      </c>
      <c r="C188" s="34">
        <f t="shared" si="13"/>
        <v>2020</v>
      </c>
      <c r="D188" s="34">
        <f t="shared" si="14"/>
        <v>1</v>
      </c>
      <c r="E188" s="34" t="str">
        <f t="shared" si="15"/>
        <v>January</v>
      </c>
      <c r="F188" s="44">
        <v>43846</v>
      </c>
      <c r="G188" t="s">
        <v>347</v>
      </c>
      <c r="H188" t="s">
        <v>348</v>
      </c>
      <c r="I188" t="s">
        <v>55</v>
      </c>
      <c r="J188" t="s">
        <v>43</v>
      </c>
      <c r="K188" t="s">
        <v>349</v>
      </c>
      <c r="L188" t="s">
        <v>350</v>
      </c>
      <c r="M188" t="s">
        <v>33</v>
      </c>
      <c r="N188" t="s">
        <v>251</v>
      </c>
      <c r="O188" t="s">
        <v>67</v>
      </c>
      <c r="P188" t="s">
        <v>252</v>
      </c>
      <c r="Q188" t="s">
        <v>253</v>
      </c>
      <c r="R188">
        <v>2543.2</v>
      </c>
      <c r="S188">
        <v>4</v>
      </c>
      <c r="T188">
        <v>0.15</v>
      </c>
      <c r="U188" s="34" t="str">
        <f t="shared" si="16"/>
        <v>Medium</v>
      </c>
      <c r="V188">
        <v>505.48</v>
      </c>
      <c r="W188" s="29">
        <f t="shared" si="17"/>
        <v>0.1987574709028</v>
      </c>
      <c r="X188">
        <v>10.54</v>
      </c>
      <c r="Y188" t="s">
        <v>121</v>
      </c>
      <c r="Z188" s="34" t="str">
        <f t="shared" si="18"/>
        <v>Large</v>
      </c>
    </row>
    <row r="189" spans="1:26">
      <c r="A189" t="s">
        <v>767</v>
      </c>
      <c r="B189" s="44">
        <v>45408</v>
      </c>
      <c r="C189" s="34">
        <f t="shared" si="13"/>
        <v>2024</v>
      </c>
      <c r="D189" s="34">
        <f t="shared" si="14"/>
        <v>4</v>
      </c>
      <c r="E189" s="34" t="str">
        <f t="shared" si="15"/>
        <v>April</v>
      </c>
      <c r="F189" s="44">
        <v>45414</v>
      </c>
      <c r="G189" t="s">
        <v>260</v>
      </c>
      <c r="H189" t="s">
        <v>261</v>
      </c>
      <c r="I189" t="s">
        <v>42</v>
      </c>
      <c r="J189" t="s">
        <v>43</v>
      </c>
      <c r="K189" t="s">
        <v>262</v>
      </c>
      <c r="L189" t="s">
        <v>263</v>
      </c>
      <c r="M189" t="s">
        <v>58</v>
      </c>
      <c r="N189" t="s">
        <v>278</v>
      </c>
      <c r="O189" t="s">
        <v>35</v>
      </c>
      <c r="P189" t="s">
        <v>202</v>
      </c>
      <c r="Q189" t="s">
        <v>279</v>
      </c>
      <c r="R189">
        <v>3416.2</v>
      </c>
      <c r="S189">
        <v>4</v>
      </c>
      <c r="T189">
        <v>0</v>
      </c>
      <c r="U189" s="34" t="str">
        <f t="shared" si="16"/>
        <v>No Discount</v>
      </c>
      <c r="V189">
        <v>402.52</v>
      </c>
      <c r="W189" s="29">
        <f t="shared" si="17"/>
        <v>0.117826825127334</v>
      </c>
      <c r="X189">
        <v>24.74</v>
      </c>
      <c r="Y189" t="s">
        <v>80</v>
      </c>
      <c r="Z189" s="34" t="str">
        <f t="shared" si="18"/>
        <v>Large</v>
      </c>
    </row>
    <row r="190" spans="1:26">
      <c r="A190" t="s">
        <v>768</v>
      </c>
      <c r="B190" s="44">
        <v>44921</v>
      </c>
      <c r="C190" s="34">
        <f t="shared" si="13"/>
        <v>2022</v>
      </c>
      <c r="D190" s="34">
        <f t="shared" si="14"/>
        <v>12</v>
      </c>
      <c r="E190" s="34" t="str">
        <f t="shared" si="15"/>
        <v>December</v>
      </c>
      <c r="F190" s="44">
        <v>44922</v>
      </c>
      <c r="G190" t="s">
        <v>668</v>
      </c>
      <c r="H190" t="s">
        <v>669</v>
      </c>
      <c r="I190" t="s">
        <v>55</v>
      </c>
      <c r="J190" t="s">
        <v>43</v>
      </c>
      <c r="K190" t="s">
        <v>153</v>
      </c>
      <c r="L190" t="s">
        <v>338</v>
      </c>
      <c r="M190" t="s">
        <v>58</v>
      </c>
      <c r="N190" t="s">
        <v>278</v>
      </c>
      <c r="O190" t="s">
        <v>35</v>
      </c>
      <c r="P190" t="s">
        <v>202</v>
      </c>
      <c r="Q190" t="s">
        <v>279</v>
      </c>
      <c r="R190">
        <v>2697</v>
      </c>
      <c r="S190">
        <v>3</v>
      </c>
      <c r="T190">
        <v>0</v>
      </c>
      <c r="U190" s="34" t="str">
        <f t="shared" si="16"/>
        <v>No Discount</v>
      </c>
      <c r="V190">
        <v>-143.66</v>
      </c>
      <c r="W190" s="29">
        <f t="shared" si="17"/>
        <v>-0.0532665925101965</v>
      </c>
      <c r="X190">
        <v>29.37</v>
      </c>
      <c r="Y190" t="s">
        <v>80</v>
      </c>
      <c r="Z190" s="34" t="str">
        <f t="shared" si="18"/>
        <v>Large</v>
      </c>
    </row>
    <row r="191" spans="1:26">
      <c r="A191" t="s">
        <v>769</v>
      </c>
      <c r="B191" s="44">
        <v>45573</v>
      </c>
      <c r="C191" s="34">
        <f t="shared" si="13"/>
        <v>2024</v>
      </c>
      <c r="D191" s="34">
        <f t="shared" si="14"/>
        <v>10</v>
      </c>
      <c r="E191" s="34" t="str">
        <f t="shared" si="15"/>
        <v>October</v>
      </c>
      <c r="F191" s="44">
        <v>45574</v>
      </c>
      <c r="G191" t="s">
        <v>770</v>
      </c>
      <c r="H191" t="s">
        <v>115</v>
      </c>
      <c r="I191" t="s">
        <v>55</v>
      </c>
      <c r="J191" t="s">
        <v>43</v>
      </c>
      <c r="K191" t="s">
        <v>262</v>
      </c>
      <c r="L191" t="s">
        <v>771</v>
      </c>
      <c r="M191" t="s">
        <v>58</v>
      </c>
      <c r="N191" t="s">
        <v>474</v>
      </c>
      <c r="O191" t="s">
        <v>35</v>
      </c>
      <c r="P191" t="s">
        <v>78</v>
      </c>
      <c r="Q191" t="s">
        <v>475</v>
      </c>
      <c r="R191">
        <v>2517.9</v>
      </c>
      <c r="S191">
        <v>3</v>
      </c>
      <c r="T191">
        <v>0.3</v>
      </c>
      <c r="U191" s="34" t="str">
        <f t="shared" si="16"/>
        <v>High</v>
      </c>
      <c r="V191">
        <v>495.68</v>
      </c>
      <c r="W191" s="29">
        <f t="shared" si="17"/>
        <v>0.196862464752373</v>
      </c>
      <c r="X191">
        <v>26.33</v>
      </c>
      <c r="Y191" t="s">
        <v>137</v>
      </c>
      <c r="Z191" s="34" t="str">
        <f t="shared" si="18"/>
        <v>Large</v>
      </c>
    </row>
    <row r="192" spans="1:26">
      <c r="A192" t="s">
        <v>772</v>
      </c>
      <c r="B192" s="44">
        <v>43908</v>
      </c>
      <c r="C192" s="34">
        <f t="shared" si="13"/>
        <v>2020</v>
      </c>
      <c r="D192" s="34">
        <f t="shared" si="14"/>
        <v>3</v>
      </c>
      <c r="E192" s="34" t="str">
        <f t="shared" si="15"/>
        <v>March</v>
      </c>
      <c r="F192" s="44">
        <v>43909</v>
      </c>
      <c r="G192" t="s">
        <v>309</v>
      </c>
      <c r="H192" t="s">
        <v>310</v>
      </c>
      <c r="I192" t="s">
        <v>29</v>
      </c>
      <c r="J192" t="s">
        <v>43</v>
      </c>
      <c r="K192" t="s">
        <v>175</v>
      </c>
      <c r="L192" t="s">
        <v>311</v>
      </c>
      <c r="M192" t="s">
        <v>46</v>
      </c>
      <c r="N192" t="s">
        <v>228</v>
      </c>
      <c r="O192" t="s">
        <v>67</v>
      </c>
      <c r="P192" t="s">
        <v>103</v>
      </c>
      <c r="Q192" t="s">
        <v>229</v>
      </c>
      <c r="R192">
        <v>149</v>
      </c>
      <c r="S192">
        <v>1</v>
      </c>
      <c r="T192">
        <v>0</v>
      </c>
      <c r="U192" s="34" t="str">
        <f t="shared" si="16"/>
        <v>No Discount</v>
      </c>
      <c r="V192">
        <v>33.35</v>
      </c>
      <c r="W192" s="29">
        <f t="shared" si="17"/>
        <v>0.223825503355705</v>
      </c>
      <c r="X192">
        <v>13.01</v>
      </c>
      <c r="Y192" t="s">
        <v>137</v>
      </c>
      <c r="Z192" s="34" t="str">
        <f t="shared" si="18"/>
        <v>Small</v>
      </c>
    </row>
    <row r="193" spans="1:26">
      <c r="A193" t="s">
        <v>773</v>
      </c>
      <c r="B193" s="44">
        <v>44870</v>
      </c>
      <c r="C193" s="34">
        <f t="shared" si="13"/>
        <v>2022</v>
      </c>
      <c r="D193" s="34">
        <f t="shared" si="14"/>
        <v>11</v>
      </c>
      <c r="E193" s="34" t="str">
        <f t="shared" si="15"/>
        <v>November</v>
      </c>
      <c r="F193" s="44">
        <v>44873</v>
      </c>
      <c r="G193" t="s">
        <v>652</v>
      </c>
      <c r="H193" t="s">
        <v>653</v>
      </c>
      <c r="I193" t="s">
        <v>42</v>
      </c>
      <c r="J193" t="s">
        <v>30</v>
      </c>
      <c r="K193" t="s">
        <v>175</v>
      </c>
      <c r="L193" t="s">
        <v>311</v>
      </c>
      <c r="M193" t="s">
        <v>46</v>
      </c>
      <c r="N193" t="s">
        <v>430</v>
      </c>
      <c r="O193" t="s">
        <v>67</v>
      </c>
      <c r="P193" t="s">
        <v>87</v>
      </c>
      <c r="Q193" t="s">
        <v>431</v>
      </c>
      <c r="R193">
        <v>483.3</v>
      </c>
      <c r="S193">
        <v>3</v>
      </c>
      <c r="T193">
        <v>0.1</v>
      </c>
      <c r="U193" s="34" t="str">
        <f t="shared" si="16"/>
        <v>Low</v>
      </c>
      <c r="V193">
        <v>-44.31</v>
      </c>
      <c r="W193" s="29">
        <f t="shared" si="17"/>
        <v>-0.0916821849782744</v>
      </c>
      <c r="X193">
        <v>18.83</v>
      </c>
      <c r="Y193" t="s">
        <v>121</v>
      </c>
      <c r="Z193" s="34" t="str">
        <f t="shared" si="18"/>
        <v>Small</v>
      </c>
    </row>
    <row r="194" spans="1:26">
      <c r="A194" t="s">
        <v>774</v>
      </c>
      <c r="B194" s="44">
        <v>45032</v>
      </c>
      <c r="C194" s="34">
        <f t="shared" ref="C194:C257" si="19">YEAR(B194)</f>
        <v>2023</v>
      </c>
      <c r="D194" s="34">
        <f t="shared" ref="D194:D257" si="20">MONTH(B194)</f>
        <v>4</v>
      </c>
      <c r="E194" s="34" t="str">
        <f t="shared" ref="E194:E257" si="21">TEXT(B194,"mmmm")</f>
        <v>April</v>
      </c>
      <c r="F194" s="44">
        <v>45039</v>
      </c>
      <c r="G194" t="s">
        <v>775</v>
      </c>
      <c r="H194" t="s">
        <v>776</v>
      </c>
      <c r="I194" t="s">
        <v>55</v>
      </c>
      <c r="J194" t="s">
        <v>43</v>
      </c>
      <c r="K194" t="s">
        <v>180</v>
      </c>
      <c r="L194" t="s">
        <v>181</v>
      </c>
      <c r="M194" t="s">
        <v>46</v>
      </c>
      <c r="N194" t="s">
        <v>94</v>
      </c>
      <c r="O194" t="s">
        <v>35</v>
      </c>
      <c r="P194" t="s">
        <v>36</v>
      </c>
      <c r="Q194" t="s">
        <v>95</v>
      </c>
      <c r="R194">
        <v>1271.25</v>
      </c>
      <c r="S194">
        <v>1</v>
      </c>
      <c r="T194">
        <v>0.25</v>
      </c>
      <c r="U194" s="34" t="str">
        <f t="shared" ref="U194:U257" si="22">IF(T194=0,"No Discount",IF(T194&lt;=0.1,"Low",IF(T194&lt;=0.2,"Medium","High")))</f>
        <v>High</v>
      </c>
      <c r="V194">
        <v>225.76</v>
      </c>
      <c r="W194" s="29">
        <f t="shared" ref="W194:W257" si="23">V194/R194</f>
        <v>0.177588987217306</v>
      </c>
      <c r="X194">
        <v>10.23</v>
      </c>
      <c r="Y194" t="s">
        <v>38</v>
      </c>
      <c r="Z194" s="34" t="str">
        <f t="shared" ref="Z194:Z257" si="24">IF(R194&lt;500,"Small",IF(R194&lt;=2000,"Medium","Large"))</f>
        <v>Medium</v>
      </c>
    </row>
    <row r="195" spans="1:26">
      <c r="A195" t="s">
        <v>777</v>
      </c>
      <c r="B195" s="44">
        <v>44193</v>
      </c>
      <c r="C195" s="34">
        <f t="shared" si="19"/>
        <v>2020</v>
      </c>
      <c r="D195" s="34">
        <f t="shared" si="20"/>
        <v>12</v>
      </c>
      <c r="E195" s="34" t="str">
        <f t="shared" si="21"/>
        <v>December</v>
      </c>
      <c r="F195" s="44">
        <v>44196</v>
      </c>
      <c r="G195" t="s">
        <v>444</v>
      </c>
      <c r="H195" t="s">
        <v>445</v>
      </c>
      <c r="I195" t="s">
        <v>42</v>
      </c>
      <c r="J195" t="s">
        <v>43</v>
      </c>
      <c r="K195" t="s">
        <v>213</v>
      </c>
      <c r="L195" t="s">
        <v>356</v>
      </c>
      <c r="M195" t="s">
        <v>33</v>
      </c>
      <c r="N195" t="s">
        <v>315</v>
      </c>
      <c r="O195" t="s">
        <v>67</v>
      </c>
      <c r="P195" t="s">
        <v>252</v>
      </c>
      <c r="Q195" t="s">
        <v>316</v>
      </c>
      <c r="R195">
        <v>475.3</v>
      </c>
      <c r="S195">
        <v>1</v>
      </c>
      <c r="T195">
        <v>0.3</v>
      </c>
      <c r="U195" s="34" t="str">
        <f t="shared" si="22"/>
        <v>High</v>
      </c>
      <c r="V195">
        <v>83.55</v>
      </c>
      <c r="W195" s="29">
        <f t="shared" si="23"/>
        <v>0.175783715548075</v>
      </c>
      <c r="X195">
        <v>38.37</v>
      </c>
      <c r="Y195" t="s">
        <v>137</v>
      </c>
      <c r="Z195" s="34" t="str">
        <f t="shared" si="24"/>
        <v>Small</v>
      </c>
    </row>
    <row r="196" spans="1:26">
      <c r="A196" t="s">
        <v>778</v>
      </c>
      <c r="B196" s="44">
        <v>45019</v>
      </c>
      <c r="C196" s="34">
        <f t="shared" si="19"/>
        <v>2023</v>
      </c>
      <c r="D196" s="34">
        <f t="shared" si="20"/>
        <v>4</v>
      </c>
      <c r="E196" s="34" t="str">
        <f t="shared" si="21"/>
        <v>April</v>
      </c>
      <c r="F196" s="44">
        <v>45024</v>
      </c>
      <c r="G196" t="s">
        <v>347</v>
      </c>
      <c r="H196" t="s">
        <v>348</v>
      </c>
      <c r="I196" t="s">
        <v>55</v>
      </c>
      <c r="J196" t="s">
        <v>43</v>
      </c>
      <c r="K196" t="s">
        <v>349</v>
      </c>
      <c r="L196" t="s">
        <v>350</v>
      </c>
      <c r="M196" t="s">
        <v>33</v>
      </c>
      <c r="N196" t="s">
        <v>235</v>
      </c>
      <c r="O196" t="s">
        <v>35</v>
      </c>
      <c r="P196" t="s">
        <v>78</v>
      </c>
      <c r="Q196" t="s">
        <v>236</v>
      </c>
      <c r="R196">
        <v>411.75</v>
      </c>
      <c r="S196">
        <v>1</v>
      </c>
      <c r="T196">
        <v>0.25</v>
      </c>
      <c r="U196" s="34" t="str">
        <f t="shared" si="22"/>
        <v>High</v>
      </c>
      <c r="V196">
        <v>35.9</v>
      </c>
      <c r="W196" s="29">
        <f t="shared" si="23"/>
        <v>0.0871888281724347</v>
      </c>
      <c r="X196">
        <v>45.02</v>
      </c>
      <c r="Y196" t="s">
        <v>137</v>
      </c>
      <c r="Z196" s="34" t="str">
        <f t="shared" si="24"/>
        <v>Small</v>
      </c>
    </row>
    <row r="197" spans="1:26">
      <c r="A197" t="s">
        <v>779</v>
      </c>
      <c r="B197" s="44">
        <v>45631</v>
      </c>
      <c r="C197" s="34">
        <f t="shared" si="19"/>
        <v>2024</v>
      </c>
      <c r="D197" s="34">
        <f t="shared" si="20"/>
        <v>12</v>
      </c>
      <c r="E197" s="34" t="str">
        <f t="shared" si="21"/>
        <v>December</v>
      </c>
      <c r="F197" s="44">
        <v>45638</v>
      </c>
      <c r="G197" t="s">
        <v>780</v>
      </c>
      <c r="H197" t="s">
        <v>41</v>
      </c>
      <c r="I197" t="s">
        <v>42</v>
      </c>
      <c r="J197" t="s">
        <v>43</v>
      </c>
      <c r="K197" t="s">
        <v>74</v>
      </c>
      <c r="L197" t="s">
        <v>613</v>
      </c>
      <c r="M197" t="s">
        <v>76</v>
      </c>
      <c r="N197" t="s">
        <v>315</v>
      </c>
      <c r="O197" t="s">
        <v>67</v>
      </c>
      <c r="P197" t="s">
        <v>252</v>
      </c>
      <c r="Q197" t="s">
        <v>316</v>
      </c>
      <c r="R197">
        <v>2546.25</v>
      </c>
      <c r="S197">
        <v>5</v>
      </c>
      <c r="T197">
        <v>0.25</v>
      </c>
      <c r="U197" s="34" t="str">
        <f t="shared" si="22"/>
        <v>High</v>
      </c>
      <c r="V197">
        <v>297.25</v>
      </c>
      <c r="W197" s="29">
        <f t="shared" si="23"/>
        <v>0.11674030436917</v>
      </c>
      <c r="X197">
        <v>27.67</v>
      </c>
      <c r="Y197" t="s">
        <v>96</v>
      </c>
      <c r="Z197" s="34" t="str">
        <f t="shared" si="24"/>
        <v>Large</v>
      </c>
    </row>
    <row r="198" spans="1:26">
      <c r="A198" t="s">
        <v>781</v>
      </c>
      <c r="B198" s="44">
        <v>44826</v>
      </c>
      <c r="C198" s="34">
        <f t="shared" si="19"/>
        <v>2022</v>
      </c>
      <c r="D198" s="34">
        <f t="shared" si="20"/>
        <v>9</v>
      </c>
      <c r="E198" s="34" t="str">
        <f t="shared" si="21"/>
        <v>September</v>
      </c>
      <c r="F198" s="44">
        <v>44831</v>
      </c>
      <c r="G198" t="s">
        <v>221</v>
      </c>
      <c r="H198" t="s">
        <v>222</v>
      </c>
      <c r="I198" t="s">
        <v>42</v>
      </c>
      <c r="J198" t="s">
        <v>30</v>
      </c>
      <c r="K198" t="s">
        <v>100</v>
      </c>
      <c r="L198" t="s">
        <v>101</v>
      </c>
      <c r="M198" t="s">
        <v>33</v>
      </c>
      <c r="N198" t="s">
        <v>162</v>
      </c>
      <c r="O198" t="s">
        <v>35</v>
      </c>
      <c r="P198" t="s">
        <v>163</v>
      </c>
      <c r="Q198" t="s">
        <v>164</v>
      </c>
      <c r="R198">
        <v>2745</v>
      </c>
      <c r="S198">
        <v>5</v>
      </c>
      <c r="T198">
        <v>0</v>
      </c>
      <c r="U198" s="34" t="str">
        <f t="shared" si="22"/>
        <v>No Discount</v>
      </c>
      <c r="V198">
        <v>321.55</v>
      </c>
      <c r="W198" s="29">
        <f t="shared" si="23"/>
        <v>0.117140255009107</v>
      </c>
      <c r="X198">
        <v>26.16</v>
      </c>
      <c r="Y198" t="s">
        <v>96</v>
      </c>
      <c r="Z198" s="34" t="str">
        <f t="shared" si="24"/>
        <v>Large</v>
      </c>
    </row>
    <row r="199" spans="1:26">
      <c r="A199" t="s">
        <v>782</v>
      </c>
      <c r="B199" s="44">
        <v>44957</v>
      </c>
      <c r="C199" s="34">
        <f t="shared" si="19"/>
        <v>2023</v>
      </c>
      <c r="D199" s="34">
        <f t="shared" si="20"/>
        <v>1</v>
      </c>
      <c r="E199" s="34" t="str">
        <f t="shared" si="21"/>
        <v>January</v>
      </c>
      <c r="F199" s="44">
        <v>44961</v>
      </c>
      <c r="G199" t="s">
        <v>783</v>
      </c>
      <c r="H199" t="s">
        <v>784</v>
      </c>
      <c r="I199" t="s">
        <v>42</v>
      </c>
      <c r="J199" t="s">
        <v>30</v>
      </c>
      <c r="K199" t="s">
        <v>175</v>
      </c>
      <c r="L199" t="s">
        <v>311</v>
      </c>
      <c r="M199" t="s">
        <v>46</v>
      </c>
      <c r="N199" t="s">
        <v>102</v>
      </c>
      <c r="O199" t="s">
        <v>67</v>
      </c>
      <c r="P199" t="s">
        <v>103</v>
      </c>
      <c r="Q199" t="s">
        <v>104</v>
      </c>
      <c r="R199">
        <v>678.3</v>
      </c>
      <c r="S199">
        <v>2</v>
      </c>
      <c r="T199">
        <v>0.15</v>
      </c>
      <c r="U199" s="34" t="str">
        <f t="shared" si="22"/>
        <v>Medium</v>
      </c>
      <c r="V199">
        <v>-65.9</v>
      </c>
      <c r="W199" s="29">
        <f t="shared" si="23"/>
        <v>-0.0971546513342179</v>
      </c>
      <c r="X199">
        <v>38.8</v>
      </c>
      <c r="Y199" t="s">
        <v>38</v>
      </c>
      <c r="Z199" s="34" t="str">
        <f t="shared" si="24"/>
        <v>Medium</v>
      </c>
    </row>
    <row r="200" spans="1:26">
      <c r="A200" t="s">
        <v>785</v>
      </c>
      <c r="B200" s="44">
        <v>45428</v>
      </c>
      <c r="C200" s="34">
        <f t="shared" si="19"/>
        <v>2024</v>
      </c>
      <c r="D200" s="34">
        <f t="shared" si="20"/>
        <v>5</v>
      </c>
      <c r="E200" s="34" t="str">
        <f t="shared" si="21"/>
        <v>May</v>
      </c>
      <c r="F200" s="44">
        <v>45429</v>
      </c>
      <c r="G200" t="s">
        <v>318</v>
      </c>
      <c r="H200" t="s">
        <v>319</v>
      </c>
      <c r="I200" t="s">
        <v>42</v>
      </c>
      <c r="J200" t="s">
        <v>30</v>
      </c>
      <c r="K200" t="s">
        <v>320</v>
      </c>
      <c r="L200" t="s">
        <v>181</v>
      </c>
      <c r="M200" t="s">
        <v>46</v>
      </c>
      <c r="N200" t="s">
        <v>409</v>
      </c>
      <c r="O200" t="s">
        <v>48</v>
      </c>
      <c r="P200" t="s">
        <v>60</v>
      </c>
      <c r="Q200" t="s">
        <v>410</v>
      </c>
      <c r="R200">
        <v>99.45</v>
      </c>
      <c r="S200">
        <v>3</v>
      </c>
      <c r="T200">
        <v>0.15</v>
      </c>
      <c r="U200" s="34" t="str">
        <f t="shared" si="22"/>
        <v>Medium</v>
      </c>
      <c r="V200">
        <v>-21.33</v>
      </c>
      <c r="W200" s="29">
        <f t="shared" si="23"/>
        <v>-0.21447963800905</v>
      </c>
      <c r="X200">
        <v>44.59</v>
      </c>
      <c r="Y200" t="s">
        <v>38</v>
      </c>
      <c r="Z200" s="34" t="str">
        <f t="shared" si="24"/>
        <v>Small</v>
      </c>
    </row>
    <row r="201" spans="1:26">
      <c r="A201" t="s">
        <v>786</v>
      </c>
      <c r="B201" s="44">
        <v>45029</v>
      </c>
      <c r="C201" s="34">
        <f t="shared" si="19"/>
        <v>2023</v>
      </c>
      <c r="D201" s="34">
        <f t="shared" si="20"/>
        <v>4</v>
      </c>
      <c r="E201" s="34" t="str">
        <f t="shared" si="21"/>
        <v>April</v>
      </c>
      <c r="F201" s="44">
        <v>45031</v>
      </c>
      <c r="G201" t="s">
        <v>271</v>
      </c>
      <c r="H201" t="s">
        <v>272</v>
      </c>
      <c r="I201" t="s">
        <v>55</v>
      </c>
      <c r="J201" t="s">
        <v>30</v>
      </c>
      <c r="K201" t="s">
        <v>273</v>
      </c>
      <c r="L201" t="s">
        <v>274</v>
      </c>
      <c r="M201" t="s">
        <v>46</v>
      </c>
      <c r="N201" t="s">
        <v>339</v>
      </c>
      <c r="O201" t="s">
        <v>35</v>
      </c>
      <c r="P201" t="s">
        <v>78</v>
      </c>
      <c r="Q201" t="s">
        <v>340</v>
      </c>
      <c r="R201">
        <v>412.2</v>
      </c>
      <c r="S201">
        <v>2</v>
      </c>
      <c r="T201">
        <v>0</v>
      </c>
      <c r="U201" s="34" t="str">
        <f t="shared" si="22"/>
        <v>No Discount</v>
      </c>
      <c r="V201">
        <v>-42.16</v>
      </c>
      <c r="W201" s="29">
        <f t="shared" si="23"/>
        <v>-0.10228044638525</v>
      </c>
      <c r="X201">
        <v>30.62</v>
      </c>
      <c r="Y201" t="s">
        <v>80</v>
      </c>
      <c r="Z201" s="34" t="str">
        <f t="shared" si="24"/>
        <v>Small</v>
      </c>
    </row>
    <row r="202" spans="1:26">
      <c r="A202" t="s">
        <v>787</v>
      </c>
      <c r="B202" s="44">
        <v>45273</v>
      </c>
      <c r="C202" s="34">
        <f t="shared" si="19"/>
        <v>2023</v>
      </c>
      <c r="D202" s="34">
        <f t="shared" si="20"/>
        <v>12</v>
      </c>
      <c r="E202" s="34" t="str">
        <f t="shared" si="21"/>
        <v>December</v>
      </c>
      <c r="F202" s="44">
        <v>45278</v>
      </c>
      <c r="G202" t="s">
        <v>271</v>
      </c>
      <c r="H202" t="s">
        <v>272</v>
      </c>
      <c r="I202" t="s">
        <v>55</v>
      </c>
      <c r="J202" t="s">
        <v>30</v>
      </c>
      <c r="K202" t="s">
        <v>273</v>
      </c>
      <c r="L202" t="s">
        <v>274</v>
      </c>
      <c r="M202" t="s">
        <v>46</v>
      </c>
      <c r="N202" t="s">
        <v>223</v>
      </c>
      <c r="O202" t="s">
        <v>48</v>
      </c>
      <c r="P202" t="s">
        <v>60</v>
      </c>
      <c r="Q202" t="s">
        <v>224</v>
      </c>
      <c r="R202">
        <v>445</v>
      </c>
      <c r="S202">
        <v>5</v>
      </c>
      <c r="T202">
        <v>0</v>
      </c>
      <c r="U202" s="34" t="str">
        <f t="shared" si="22"/>
        <v>No Discount</v>
      </c>
      <c r="V202">
        <v>33.62</v>
      </c>
      <c r="W202" s="29">
        <f t="shared" si="23"/>
        <v>0.0755505617977528</v>
      </c>
      <c r="X202">
        <v>36.25</v>
      </c>
      <c r="Y202" t="s">
        <v>62</v>
      </c>
      <c r="Z202" s="34" t="str">
        <f t="shared" si="24"/>
        <v>Small</v>
      </c>
    </row>
    <row r="203" spans="1:26">
      <c r="A203" t="s">
        <v>788</v>
      </c>
      <c r="B203" s="44">
        <v>45251</v>
      </c>
      <c r="C203" s="34">
        <f t="shared" si="19"/>
        <v>2023</v>
      </c>
      <c r="D203" s="34">
        <f t="shared" si="20"/>
        <v>11</v>
      </c>
      <c r="E203" s="34" t="str">
        <f t="shared" si="21"/>
        <v>November</v>
      </c>
      <c r="F203" s="44">
        <v>45258</v>
      </c>
      <c r="G203" t="s">
        <v>789</v>
      </c>
      <c r="H203" t="s">
        <v>790</v>
      </c>
      <c r="I203" t="s">
        <v>55</v>
      </c>
      <c r="J203" t="s">
        <v>43</v>
      </c>
      <c r="K203" t="s">
        <v>100</v>
      </c>
      <c r="L203" t="s">
        <v>420</v>
      </c>
      <c r="M203" t="s">
        <v>33</v>
      </c>
      <c r="N203" t="s">
        <v>397</v>
      </c>
      <c r="O203" t="s">
        <v>48</v>
      </c>
      <c r="P203" t="s">
        <v>128</v>
      </c>
      <c r="Q203" t="s">
        <v>398</v>
      </c>
      <c r="R203">
        <v>100</v>
      </c>
      <c r="S203">
        <v>4</v>
      </c>
      <c r="T203">
        <v>0</v>
      </c>
      <c r="U203" s="34" t="str">
        <f t="shared" si="22"/>
        <v>No Discount</v>
      </c>
      <c r="V203">
        <v>20.72</v>
      </c>
      <c r="W203" s="29">
        <f t="shared" si="23"/>
        <v>0.2072</v>
      </c>
      <c r="X203">
        <v>14.28</v>
      </c>
      <c r="Y203" t="s">
        <v>62</v>
      </c>
      <c r="Z203" s="34" t="str">
        <f t="shared" si="24"/>
        <v>Small</v>
      </c>
    </row>
    <row r="204" spans="1:26">
      <c r="A204" t="s">
        <v>791</v>
      </c>
      <c r="B204" s="44">
        <v>45240</v>
      </c>
      <c r="C204" s="34">
        <f t="shared" si="19"/>
        <v>2023</v>
      </c>
      <c r="D204" s="34">
        <f t="shared" si="20"/>
        <v>11</v>
      </c>
      <c r="E204" s="34" t="str">
        <f t="shared" si="21"/>
        <v>November</v>
      </c>
      <c r="F204" s="44">
        <v>45241</v>
      </c>
      <c r="G204" t="s">
        <v>466</v>
      </c>
      <c r="H204" t="s">
        <v>467</v>
      </c>
      <c r="I204" t="s">
        <v>42</v>
      </c>
      <c r="J204" t="s">
        <v>43</v>
      </c>
      <c r="K204" t="s">
        <v>273</v>
      </c>
      <c r="L204" t="s">
        <v>468</v>
      </c>
      <c r="M204" t="s">
        <v>46</v>
      </c>
      <c r="N204" t="s">
        <v>135</v>
      </c>
      <c r="O204" t="s">
        <v>67</v>
      </c>
      <c r="P204" t="s">
        <v>68</v>
      </c>
      <c r="Q204" t="s">
        <v>136</v>
      </c>
      <c r="R204">
        <v>1849.65</v>
      </c>
      <c r="S204">
        <v>3</v>
      </c>
      <c r="T204">
        <v>0.05</v>
      </c>
      <c r="U204" s="34" t="str">
        <f t="shared" si="22"/>
        <v>Low</v>
      </c>
      <c r="V204">
        <v>-100.26</v>
      </c>
      <c r="W204" s="29">
        <f t="shared" si="23"/>
        <v>-0.0542048495661341</v>
      </c>
      <c r="X204">
        <v>25.94</v>
      </c>
      <c r="Y204" t="s">
        <v>121</v>
      </c>
      <c r="Z204" s="34" t="str">
        <f t="shared" si="24"/>
        <v>Medium</v>
      </c>
    </row>
    <row r="205" spans="1:26">
      <c r="A205" t="s">
        <v>792</v>
      </c>
      <c r="B205" s="44">
        <v>45596</v>
      </c>
      <c r="C205" s="34">
        <f t="shared" si="19"/>
        <v>2024</v>
      </c>
      <c r="D205" s="34">
        <f t="shared" si="20"/>
        <v>10</v>
      </c>
      <c r="E205" s="34" t="str">
        <f t="shared" si="21"/>
        <v>October</v>
      </c>
      <c r="F205" s="44">
        <v>45603</v>
      </c>
      <c r="G205" t="s">
        <v>347</v>
      </c>
      <c r="H205" t="s">
        <v>348</v>
      </c>
      <c r="I205" t="s">
        <v>55</v>
      </c>
      <c r="J205" t="s">
        <v>43</v>
      </c>
      <c r="K205" t="s">
        <v>349</v>
      </c>
      <c r="L205" t="s">
        <v>350</v>
      </c>
      <c r="M205" t="s">
        <v>33</v>
      </c>
      <c r="N205" t="s">
        <v>118</v>
      </c>
      <c r="O205" t="s">
        <v>67</v>
      </c>
      <c r="P205" t="s">
        <v>119</v>
      </c>
      <c r="Q205" t="s">
        <v>120</v>
      </c>
      <c r="R205">
        <v>3237.3</v>
      </c>
      <c r="S205">
        <v>3</v>
      </c>
      <c r="T205">
        <v>0.1</v>
      </c>
      <c r="U205" s="34" t="str">
        <f t="shared" si="22"/>
        <v>Low</v>
      </c>
      <c r="V205">
        <v>-270.56</v>
      </c>
      <c r="W205" s="29">
        <f t="shared" si="23"/>
        <v>-0.0835758193556359</v>
      </c>
      <c r="X205">
        <v>0</v>
      </c>
      <c r="Y205" t="s">
        <v>51</v>
      </c>
      <c r="Z205" s="34" t="str">
        <f t="shared" si="24"/>
        <v>Large</v>
      </c>
    </row>
    <row r="206" spans="1:26">
      <c r="A206" t="s">
        <v>793</v>
      </c>
      <c r="B206" s="44">
        <v>45632</v>
      </c>
      <c r="C206" s="34">
        <f t="shared" si="19"/>
        <v>2024</v>
      </c>
      <c r="D206" s="34">
        <f t="shared" si="20"/>
        <v>12</v>
      </c>
      <c r="E206" s="34" t="str">
        <f t="shared" si="21"/>
        <v>December</v>
      </c>
      <c r="F206" s="44">
        <v>45639</v>
      </c>
      <c r="G206" t="s">
        <v>64</v>
      </c>
      <c r="H206" t="s">
        <v>65</v>
      </c>
      <c r="I206" t="s">
        <v>42</v>
      </c>
      <c r="J206" t="s">
        <v>43</v>
      </c>
      <c r="K206" t="s">
        <v>31</v>
      </c>
      <c r="L206" t="s">
        <v>32</v>
      </c>
      <c r="M206" t="s">
        <v>33</v>
      </c>
      <c r="N206" t="s">
        <v>228</v>
      </c>
      <c r="O206" t="s">
        <v>67</v>
      </c>
      <c r="P206" t="s">
        <v>103</v>
      </c>
      <c r="Q206" t="s">
        <v>229</v>
      </c>
      <c r="R206">
        <v>596</v>
      </c>
      <c r="S206">
        <v>4</v>
      </c>
      <c r="T206">
        <v>0</v>
      </c>
      <c r="U206" s="34" t="str">
        <f t="shared" si="22"/>
        <v>No Discount</v>
      </c>
      <c r="V206">
        <v>102.08</v>
      </c>
      <c r="W206" s="29">
        <f t="shared" si="23"/>
        <v>0.171275167785235</v>
      </c>
      <c r="X206">
        <v>17.33</v>
      </c>
      <c r="Y206" t="s">
        <v>62</v>
      </c>
      <c r="Z206" s="34" t="str">
        <f t="shared" si="24"/>
        <v>Medium</v>
      </c>
    </row>
    <row r="207" spans="1:26">
      <c r="A207" t="s">
        <v>794</v>
      </c>
      <c r="B207" s="44">
        <v>44062</v>
      </c>
      <c r="C207" s="34">
        <f t="shared" si="19"/>
        <v>2020</v>
      </c>
      <c r="D207" s="34">
        <f t="shared" si="20"/>
        <v>8</v>
      </c>
      <c r="E207" s="34" t="str">
        <f t="shared" si="21"/>
        <v>August</v>
      </c>
      <c r="F207" s="44">
        <v>44065</v>
      </c>
      <c r="G207" t="s">
        <v>795</v>
      </c>
      <c r="H207" t="s">
        <v>796</v>
      </c>
      <c r="I207" t="s">
        <v>42</v>
      </c>
      <c r="J207" t="s">
        <v>43</v>
      </c>
      <c r="K207" t="s">
        <v>551</v>
      </c>
      <c r="L207" t="s">
        <v>718</v>
      </c>
      <c r="M207" t="s">
        <v>33</v>
      </c>
      <c r="N207" t="s">
        <v>351</v>
      </c>
      <c r="O207" t="s">
        <v>67</v>
      </c>
      <c r="P207" t="s">
        <v>68</v>
      </c>
      <c r="Q207" t="s">
        <v>352</v>
      </c>
      <c r="R207">
        <v>1797</v>
      </c>
      <c r="S207">
        <v>4</v>
      </c>
      <c r="T207">
        <v>0.25</v>
      </c>
      <c r="U207" s="34" t="str">
        <f t="shared" si="22"/>
        <v>High</v>
      </c>
      <c r="V207">
        <v>436.33</v>
      </c>
      <c r="W207" s="29">
        <f t="shared" si="23"/>
        <v>0.242810239287702</v>
      </c>
      <c r="X207">
        <v>43.06</v>
      </c>
      <c r="Y207" t="s">
        <v>70</v>
      </c>
      <c r="Z207" s="34" t="str">
        <f t="shared" si="24"/>
        <v>Medium</v>
      </c>
    </row>
    <row r="208" spans="1:26">
      <c r="A208" t="s">
        <v>797</v>
      </c>
      <c r="B208" s="44">
        <v>44391</v>
      </c>
      <c r="C208" s="34">
        <f t="shared" si="19"/>
        <v>2021</v>
      </c>
      <c r="D208" s="34">
        <f t="shared" si="20"/>
        <v>7</v>
      </c>
      <c r="E208" s="34" t="str">
        <f t="shared" si="21"/>
        <v>July</v>
      </c>
      <c r="F208" s="44">
        <v>44392</v>
      </c>
      <c r="G208" t="s">
        <v>347</v>
      </c>
      <c r="H208" t="s">
        <v>348</v>
      </c>
      <c r="I208" t="s">
        <v>55</v>
      </c>
      <c r="J208" t="s">
        <v>43</v>
      </c>
      <c r="K208" t="s">
        <v>349</v>
      </c>
      <c r="L208" t="s">
        <v>350</v>
      </c>
      <c r="M208" t="s">
        <v>33</v>
      </c>
      <c r="N208" t="s">
        <v>367</v>
      </c>
      <c r="O208" t="s">
        <v>35</v>
      </c>
      <c r="P208" t="s">
        <v>202</v>
      </c>
      <c r="Q208" t="s">
        <v>368</v>
      </c>
      <c r="R208">
        <v>419.3</v>
      </c>
      <c r="S208">
        <v>1</v>
      </c>
      <c r="T208">
        <v>0.3</v>
      </c>
      <c r="U208" s="34" t="str">
        <f t="shared" si="22"/>
        <v>High</v>
      </c>
      <c r="V208">
        <v>83.81</v>
      </c>
      <c r="W208" s="29">
        <f t="shared" si="23"/>
        <v>0.199880753637014</v>
      </c>
      <c r="X208">
        <v>28.13</v>
      </c>
      <c r="Y208" t="s">
        <v>70</v>
      </c>
      <c r="Z208" s="34" t="str">
        <f t="shared" si="24"/>
        <v>Small</v>
      </c>
    </row>
    <row r="209" spans="1:26">
      <c r="A209" t="s">
        <v>798</v>
      </c>
      <c r="B209" s="44">
        <v>44699</v>
      </c>
      <c r="C209" s="34">
        <f t="shared" si="19"/>
        <v>2022</v>
      </c>
      <c r="D209" s="34">
        <f t="shared" si="20"/>
        <v>5</v>
      </c>
      <c r="E209" s="34" t="str">
        <f t="shared" si="21"/>
        <v>May</v>
      </c>
      <c r="F209" s="44">
        <v>44701</v>
      </c>
      <c r="G209" t="s">
        <v>799</v>
      </c>
      <c r="H209" t="s">
        <v>800</v>
      </c>
      <c r="I209" t="s">
        <v>55</v>
      </c>
      <c r="J209" t="s">
        <v>43</v>
      </c>
      <c r="K209" t="s">
        <v>56</v>
      </c>
      <c r="L209" t="s">
        <v>57</v>
      </c>
      <c r="M209" t="s">
        <v>58</v>
      </c>
      <c r="N209" t="s">
        <v>118</v>
      </c>
      <c r="O209" t="s">
        <v>67</v>
      </c>
      <c r="P209" t="s">
        <v>119</v>
      </c>
      <c r="Q209" t="s">
        <v>120</v>
      </c>
      <c r="R209">
        <v>5695.25</v>
      </c>
      <c r="S209">
        <v>5</v>
      </c>
      <c r="T209">
        <v>0.05</v>
      </c>
      <c r="U209" s="34" t="str">
        <f t="shared" si="22"/>
        <v>Low</v>
      </c>
      <c r="V209">
        <v>563.93</v>
      </c>
      <c r="W209" s="29">
        <f t="shared" si="23"/>
        <v>0.0990176023879549</v>
      </c>
      <c r="X209">
        <v>18.64</v>
      </c>
      <c r="Y209" t="s">
        <v>121</v>
      </c>
      <c r="Z209" s="34" t="str">
        <f t="shared" si="24"/>
        <v>Large</v>
      </c>
    </row>
    <row r="210" spans="1:26">
      <c r="A210" t="s">
        <v>801</v>
      </c>
      <c r="B210" s="44">
        <v>44361</v>
      </c>
      <c r="C210" s="34">
        <f t="shared" si="19"/>
        <v>2021</v>
      </c>
      <c r="D210" s="34">
        <f t="shared" si="20"/>
        <v>6</v>
      </c>
      <c r="E210" s="34" t="str">
        <f t="shared" si="21"/>
        <v>June</v>
      </c>
      <c r="F210" s="44">
        <v>44362</v>
      </c>
      <c r="G210" t="s">
        <v>600</v>
      </c>
      <c r="H210" t="s">
        <v>601</v>
      </c>
      <c r="I210" t="s">
        <v>55</v>
      </c>
      <c r="J210" t="s">
        <v>43</v>
      </c>
      <c r="K210" t="s">
        <v>602</v>
      </c>
      <c r="L210" t="s">
        <v>603</v>
      </c>
      <c r="M210" t="s">
        <v>46</v>
      </c>
      <c r="N210" t="s">
        <v>367</v>
      </c>
      <c r="O210" t="s">
        <v>35</v>
      </c>
      <c r="P210" t="s">
        <v>202</v>
      </c>
      <c r="Q210" t="s">
        <v>368</v>
      </c>
      <c r="R210">
        <v>1797</v>
      </c>
      <c r="S210">
        <v>3</v>
      </c>
      <c r="T210">
        <v>0</v>
      </c>
      <c r="U210" s="34" t="str">
        <f t="shared" si="22"/>
        <v>No Discount</v>
      </c>
      <c r="V210">
        <v>0</v>
      </c>
      <c r="W210" s="29">
        <f t="shared" si="23"/>
        <v>0</v>
      </c>
      <c r="X210">
        <v>10.01</v>
      </c>
      <c r="Y210" t="s">
        <v>121</v>
      </c>
      <c r="Z210" s="34" t="str">
        <f t="shared" si="24"/>
        <v>Medium</v>
      </c>
    </row>
    <row r="211" spans="1:26">
      <c r="A211" t="s">
        <v>802</v>
      </c>
      <c r="B211" s="44">
        <v>45610</v>
      </c>
      <c r="C211" s="34">
        <f t="shared" si="19"/>
        <v>2024</v>
      </c>
      <c r="D211" s="34">
        <f t="shared" si="20"/>
        <v>11</v>
      </c>
      <c r="E211" s="34" t="str">
        <f t="shared" si="21"/>
        <v>November</v>
      </c>
      <c r="F211" s="44">
        <v>45617</v>
      </c>
      <c r="G211" t="s">
        <v>803</v>
      </c>
      <c r="H211" t="s">
        <v>804</v>
      </c>
      <c r="I211" t="s">
        <v>55</v>
      </c>
      <c r="J211" t="s">
        <v>43</v>
      </c>
      <c r="K211" t="s">
        <v>551</v>
      </c>
      <c r="L211" t="s">
        <v>718</v>
      </c>
      <c r="M211" t="s">
        <v>33</v>
      </c>
      <c r="N211" t="s">
        <v>251</v>
      </c>
      <c r="O211" t="s">
        <v>67</v>
      </c>
      <c r="P211" t="s">
        <v>252</v>
      </c>
      <c r="Q211" t="s">
        <v>253</v>
      </c>
      <c r="R211">
        <v>2244</v>
      </c>
      <c r="S211">
        <v>3</v>
      </c>
      <c r="T211">
        <v>0</v>
      </c>
      <c r="U211" s="34" t="str">
        <f t="shared" si="22"/>
        <v>No Discount</v>
      </c>
      <c r="V211">
        <v>397.78</v>
      </c>
      <c r="W211" s="29">
        <f t="shared" si="23"/>
        <v>0.177263814616756</v>
      </c>
      <c r="X211">
        <v>20.45</v>
      </c>
      <c r="Y211" t="s">
        <v>96</v>
      </c>
      <c r="Z211" s="34" t="str">
        <f t="shared" si="24"/>
        <v>Large</v>
      </c>
    </row>
    <row r="212" spans="1:26">
      <c r="A212" t="s">
        <v>805</v>
      </c>
      <c r="B212" s="44">
        <v>45582</v>
      </c>
      <c r="C212" s="34">
        <f t="shared" si="19"/>
        <v>2024</v>
      </c>
      <c r="D212" s="34">
        <f t="shared" si="20"/>
        <v>10</v>
      </c>
      <c r="E212" s="34" t="str">
        <f t="shared" si="21"/>
        <v>October</v>
      </c>
      <c r="F212" s="44">
        <v>45586</v>
      </c>
      <c r="G212" t="s">
        <v>806</v>
      </c>
      <c r="H212" t="s">
        <v>807</v>
      </c>
      <c r="I212" t="s">
        <v>29</v>
      </c>
      <c r="J212" t="s">
        <v>43</v>
      </c>
      <c r="K212" t="s">
        <v>125</v>
      </c>
      <c r="L212" t="s">
        <v>808</v>
      </c>
      <c r="M212" t="s">
        <v>58</v>
      </c>
      <c r="N212" t="s">
        <v>102</v>
      </c>
      <c r="O212" t="s">
        <v>67</v>
      </c>
      <c r="P212" t="s">
        <v>103</v>
      </c>
      <c r="Q212" t="s">
        <v>104</v>
      </c>
      <c r="R212">
        <v>1995</v>
      </c>
      <c r="S212">
        <v>5</v>
      </c>
      <c r="T212">
        <v>0</v>
      </c>
      <c r="U212" s="34" t="str">
        <f t="shared" si="22"/>
        <v>No Discount</v>
      </c>
      <c r="V212">
        <v>189.79</v>
      </c>
      <c r="W212" s="29">
        <f t="shared" si="23"/>
        <v>0.0951328320802005</v>
      </c>
      <c r="X212">
        <v>32.36</v>
      </c>
      <c r="Y212" t="s">
        <v>121</v>
      </c>
      <c r="Z212" s="34" t="str">
        <f t="shared" si="24"/>
        <v>Medium</v>
      </c>
    </row>
    <row r="213" spans="1:26">
      <c r="A213" t="s">
        <v>809</v>
      </c>
      <c r="B213" s="44">
        <v>45043</v>
      </c>
      <c r="C213" s="34">
        <f t="shared" si="19"/>
        <v>2023</v>
      </c>
      <c r="D213" s="34">
        <f t="shared" si="20"/>
        <v>4</v>
      </c>
      <c r="E213" s="34" t="str">
        <f t="shared" si="21"/>
        <v>April</v>
      </c>
      <c r="F213" s="44">
        <v>45048</v>
      </c>
      <c r="G213" t="s">
        <v>660</v>
      </c>
      <c r="H213" t="s">
        <v>661</v>
      </c>
      <c r="I213" t="s">
        <v>42</v>
      </c>
      <c r="J213" t="s">
        <v>43</v>
      </c>
      <c r="K213" t="s">
        <v>187</v>
      </c>
      <c r="L213" t="s">
        <v>662</v>
      </c>
      <c r="M213" t="s">
        <v>33</v>
      </c>
      <c r="N213" t="s">
        <v>409</v>
      </c>
      <c r="O213" t="s">
        <v>48</v>
      </c>
      <c r="P213" t="s">
        <v>60</v>
      </c>
      <c r="Q213" t="s">
        <v>410</v>
      </c>
      <c r="R213">
        <v>132.6</v>
      </c>
      <c r="S213">
        <v>4</v>
      </c>
      <c r="T213">
        <v>0.15</v>
      </c>
      <c r="U213" s="34" t="str">
        <f t="shared" si="22"/>
        <v>Medium</v>
      </c>
      <c r="V213">
        <v>4.27</v>
      </c>
      <c r="W213" s="29">
        <f t="shared" si="23"/>
        <v>0.0322021116138763</v>
      </c>
      <c r="X213">
        <v>29.98</v>
      </c>
      <c r="Y213" t="s">
        <v>51</v>
      </c>
      <c r="Z213" s="34" t="str">
        <f t="shared" si="24"/>
        <v>Small</v>
      </c>
    </row>
    <row r="214" spans="1:26">
      <c r="A214" t="s">
        <v>810</v>
      </c>
      <c r="B214" s="44">
        <v>44776</v>
      </c>
      <c r="C214" s="34">
        <f t="shared" si="19"/>
        <v>2022</v>
      </c>
      <c r="D214" s="34">
        <f t="shared" si="20"/>
        <v>8</v>
      </c>
      <c r="E214" s="34" t="str">
        <f t="shared" si="21"/>
        <v>August</v>
      </c>
      <c r="F214" s="44">
        <v>44779</v>
      </c>
      <c r="G214" t="s">
        <v>811</v>
      </c>
      <c r="H214" t="s">
        <v>812</v>
      </c>
      <c r="I214" t="s">
        <v>42</v>
      </c>
      <c r="J214" t="s">
        <v>43</v>
      </c>
      <c r="K214" t="s">
        <v>331</v>
      </c>
      <c r="L214" t="s">
        <v>813</v>
      </c>
      <c r="M214" t="s">
        <v>58</v>
      </c>
      <c r="N214" t="s">
        <v>315</v>
      </c>
      <c r="O214" t="s">
        <v>67</v>
      </c>
      <c r="P214" t="s">
        <v>252</v>
      </c>
      <c r="Q214" t="s">
        <v>316</v>
      </c>
      <c r="R214">
        <v>1086.4</v>
      </c>
      <c r="S214">
        <v>2</v>
      </c>
      <c r="T214">
        <v>0.2</v>
      </c>
      <c r="U214" s="34" t="str">
        <f t="shared" si="22"/>
        <v>Medium</v>
      </c>
      <c r="V214">
        <v>128.37</v>
      </c>
      <c r="W214" s="29">
        <f t="shared" si="23"/>
        <v>0.118160898379971</v>
      </c>
      <c r="X214">
        <v>6.67</v>
      </c>
      <c r="Y214" t="s">
        <v>80</v>
      </c>
      <c r="Z214" s="34" t="str">
        <f t="shared" si="24"/>
        <v>Medium</v>
      </c>
    </row>
    <row r="215" spans="1:26">
      <c r="A215" t="s">
        <v>814</v>
      </c>
      <c r="B215" s="44">
        <v>44828</v>
      </c>
      <c r="C215" s="34">
        <f t="shared" si="19"/>
        <v>2022</v>
      </c>
      <c r="D215" s="34">
        <f t="shared" si="20"/>
        <v>9</v>
      </c>
      <c r="E215" s="34" t="str">
        <f t="shared" si="21"/>
        <v>September</v>
      </c>
      <c r="F215" s="44">
        <v>44830</v>
      </c>
      <c r="G215" t="s">
        <v>815</v>
      </c>
      <c r="H215" t="s">
        <v>816</v>
      </c>
      <c r="I215" t="s">
        <v>29</v>
      </c>
      <c r="J215" t="s">
        <v>30</v>
      </c>
      <c r="K215" t="s">
        <v>92</v>
      </c>
      <c r="L215" t="s">
        <v>269</v>
      </c>
      <c r="M215" t="s">
        <v>76</v>
      </c>
      <c r="N215" t="s">
        <v>673</v>
      </c>
      <c r="O215" t="s">
        <v>35</v>
      </c>
      <c r="P215" t="s">
        <v>202</v>
      </c>
      <c r="Q215" t="s">
        <v>674</v>
      </c>
      <c r="R215">
        <v>2796</v>
      </c>
      <c r="S215">
        <v>5</v>
      </c>
      <c r="T215">
        <v>0.2</v>
      </c>
      <c r="U215" s="34" t="str">
        <f t="shared" si="22"/>
        <v>Medium</v>
      </c>
      <c r="V215">
        <v>692.11</v>
      </c>
      <c r="W215" s="29">
        <f t="shared" si="23"/>
        <v>0.247535765379113</v>
      </c>
      <c r="X215">
        <v>22.97</v>
      </c>
      <c r="Y215" t="s">
        <v>137</v>
      </c>
      <c r="Z215" s="34" t="str">
        <f t="shared" si="24"/>
        <v>Large</v>
      </c>
    </row>
    <row r="216" spans="1:26">
      <c r="A216" t="s">
        <v>817</v>
      </c>
      <c r="B216" s="44">
        <v>44741</v>
      </c>
      <c r="C216" s="34">
        <f t="shared" si="19"/>
        <v>2022</v>
      </c>
      <c r="D216" s="34">
        <f t="shared" si="20"/>
        <v>6</v>
      </c>
      <c r="E216" s="34" t="str">
        <f t="shared" si="21"/>
        <v>June</v>
      </c>
      <c r="F216" s="44">
        <v>44743</v>
      </c>
      <c r="G216" t="s">
        <v>629</v>
      </c>
      <c r="H216" t="s">
        <v>630</v>
      </c>
      <c r="I216" t="s">
        <v>42</v>
      </c>
      <c r="J216" t="s">
        <v>43</v>
      </c>
      <c r="K216" t="s">
        <v>125</v>
      </c>
      <c r="L216" t="s">
        <v>631</v>
      </c>
      <c r="M216" t="s">
        <v>58</v>
      </c>
      <c r="N216" t="s">
        <v>215</v>
      </c>
      <c r="O216" t="s">
        <v>35</v>
      </c>
      <c r="P216" t="s">
        <v>36</v>
      </c>
      <c r="Q216" t="s">
        <v>216</v>
      </c>
      <c r="R216">
        <v>2598</v>
      </c>
      <c r="S216">
        <v>2</v>
      </c>
      <c r="T216">
        <v>0</v>
      </c>
      <c r="U216" s="34" t="str">
        <f t="shared" si="22"/>
        <v>No Discount</v>
      </c>
      <c r="V216">
        <v>377.44</v>
      </c>
      <c r="W216" s="29">
        <f t="shared" si="23"/>
        <v>0.145280985373364</v>
      </c>
      <c r="X216">
        <v>40.87</v>
      </c>
      <c r="Y216" t="s">
        <v>51</v>
      </c>
      <c r="Z216" s="34" t="str">
        <f t="shared" si="24"/>
        <v>Large</v>
      </c>
    </row>
    <row r="217" spans="1:26">
      <c r="A217" t="s">
        <v>818</v>
      </c>
      <c r="B217" s="44">
        <v>44903</v>
      </c>
      <c r="C217" s="34">
        <f t="shared" si="19"/>
        <v>2022</v>
      </c>
      <c r="D217" s="34">
        <f t="shared" si="20"/>
        <v>12</v>
      </c>
      <c r="E217" s="34" t="str">
        <f t="shared" si="21"/>
        <v>December</v>
      </c>
      <c r="F217" s="44">
        <v>44904</v>
      </c>
      <c r="G217" t="s">
        <v>819</v>
      </c>
      <c r="H217" t="s">
        <v>820</v>
      </c>
      <c r="I217" t="s">
        <v>29</v>
      </c>
      <c r="J217" t="s">
        <v>43</v>
      </c>
      <c r="K217" t="s">
        <v>180</v>
      </c>
      <c r="L217" t="s">
        <v>821</v>
      </c>
      <c r="M217" t="s">
        <v>46</v>
      </c>
      <c r="N217" t="s">
        <v>34</v>
      </c>
      <c r="O217" t="s">
        <v>35</v>
      </c>
      <c r="P217" t="s">
        <v>36</v>
      </c>
      <c r="Q217" t="s">
        <v>37</v>
      </c>
      <c r="R217">
        <v>1347</v>
      </c>
      <c r="S217">
        <v>3</v>
      </c>
      <c r="T217">
        <v>0</v>
      </c>
      <c r="U217" s="34" t="str">
        <f t="shared" si="22"/>
        <v>No Discount</v>
      </c>
      <c r="V217">
        <v>153.44</v>
      </c>
      <c r="W217" s="29">
        <f t="shared" si="23"/>
        <v>0.113912397921307</v>
      </c>
      <c r="X217">
        <v>27.33</v>
      </c>
      <c r="Y217" t="s">
        <v>70</v>
      </c>
      <c r="Z217" s="34" t="str">
        <f t="shared" si="24"/>
        <v>Medium</v>
      </c>
    </row>
    <row r="218" spans="1:26">
      <c r="A218" t="s">
        <v>822</v>
      </c>
      <c r="B218" s="44">
        <v>44281</v>
      </c>
      <c r="C218" s="34">
        <f t="shared" si="19"/>
        <v>2021</v>
      </c>
      <c r="D218" s="34">
        <f t="shared" si="20"/>
        <v>3</v>
      </c>
      <c r="E218" s="34" t="str">
        <f t="shared" si="21"/>
        <v>March</v>
      </c>
      <c r="F218" s="44">
        <v>44283</v>
      </c>
      <c r="G218" t="s">
        <v>823</v>
      </c>
      <c r="H218" t="s">
        <v>824</v>
      </c>
      <c r="I218" t="s">
        <v>42</v>
      </c>
      <c r="J218" t="s">
        <v>43</v>
      </c>
      <c r="K218" t="s">
        <v>133</v>
      </c>
      <c r="L218" t="s">
        <v>753</v>
      </c>
      <c r="M218" t="s">
        <v>33</v>
      </c>
      <c r="N218" t="s">
        <v>182</v>
      </c>
      <c r="O218" t="s">
        <v>48</v>
      </c>
      <c r="P218" t="s">
        <v>128</v>
      </c>
      <c r="Q218" t="s">
        <v>183</v>
      </c>
      <c r="R218">
        <v>395</v>
      </c>
      <c r="S218">
        <v>5</v>
      </c>
      <c r="T218">
        <v>0</v>
      </c>
      <c r="U218" s="34" t="str">
        <f t="shared" si="22"/>
        <v>No Discount</v>
      </c>
      <c r="V218">
        <v>66.89</v>
      </c>
      <c r="W218" s="29">
        <f t="shared" si="23"/>
        <v>0.169341772151899</v>
      </c>
      <c r="X218">
        <v>40.38</v>
      </c>
      <c r="Y218" t="s">
        <v>38</v>
      </c>
      <c r="Z218" s="34" t="str">
        <f t="shared" si="24"/>
        <v>Small</v>
      </c>
    </row>
    <row r="219" spans="1:26">
      <c r="A219" t="s">
        <v>825</v>
      </c>
      <c r="B219" s="44">
        <v>45608</v>
      </c>
      <c r="C219" s="34">
        <f t="shared" si="19"/>
        <v>2024</v>
      </c>
      <c r="D219" s="34">
        <f t="shared" si="20"/>
        <v>11</v>
      </c>
      <c r="E219" s="34" t="str">
        <f t="shared" si="21"/>
        <v>November</v>
      </c>
      <c r="F219" s="44">
        <v>45609</v>
      </c>
      <c r="G219" t="s">
        <v>826</v>
      </c>
      <c r="H219" t="s">
        <v>827</v>
      </c>
      <c r="I219" t="s">
        <v>42</v>
      </c>
      <c r="J219" t="s">
        <v>43</v>
      </c>
      <c r="K219" t="s">
        <v>108</v>
      </c>
      <c r="L219" t="s">
        <v>485</v>
      </c>
      <c r="M219" t="s">
        <v>58</v>
      </c>
      <c r="N219" t="s">
        <v>66</v>
      </c>
      <c r="O219" t="s">
        <v>67</v>
      </c>
      <c r="P219" t="s">
        <v>68</v>
      </c>
      <c r="Q219" t="s">
        <v>69</v>
      </c>
      <c r="R219">
        <v>2876.4</v>
      </c>
      <c r="S219">
        <v>4</v>
      </c>
      <c r="T219">
        <v>0.1</v>
      </c>
      <c r="U219" s="34" t="str">
        <f t="shared" si="22"/>
        <v>Low</v>
      </c>
      <c r="V219">
        <v>570.38</v>
      </c>
      <c r="W219" s="29">
        <f t="shared" si="23"/>
        <v>0.198296481713253</v>
      </c>
      <c r="X219">
        <v>16.34</v>
      </c>
      <c r="Y219" t="s">
        <v>137</v>
      </c>
      <c r="Z219" s="34" t="str">
        <f t="shared" si="24"/>
        <v>Large</v>
      </c>
    </row>
    <row r="220" spans="1:26">
      <c r="A220" t="s">
        <v>828</v>
      </c>
      <c r="B220" s="44">
        <v>44600</v>
      </c>
      <c r="C220" s="34">
        <f t="shared" si="19"/>
        <v>2022</v>
      </c>
      <c r="D220" s="34">
        <f t="shared" si="20"/>
        <v>2</v>
      </c>
      <c r="E220" s="34" t="str">
        <f t="shared" si="21"/>
        <v>February</v>
      </c>
      <c r="F220" s="44">
        <v>44602</v>
      </c>
      <c r="G220" t="s">
        <v>829</v>
      </c>
      <c r="H220" t="s">
        <v>830</v>
      </c>
      <c r="I220" t="s">
        <v>29</v>
      </c>
      <c r="J220" t="s">
        <v>43</v>
      </c>
      <c r="K220" t="s">
        <v>168</v>
      </c>
      <c r="L220" t="s">
        <v>169</v>
      </c>
      <c r="M220" t="s">
        <v>76</v>
      </c>
      <c r="N220" t="s">
        <v>424</v>
      </c>
      <c r="O220" t="s">
        <v>67</v>
      </c>
      <c r="P220" t="s">
        <v>103</v>
      </c>
      <c r="Q220" t="s">
        <v>425</v>
      </c>
      <c r="R220">
        <v>486.75</v>
      </c>
      <c r="S220">
        <v>1</v>
      </c>
      <c r="T220">
        <v>0.25</v>
      </c>
      <c r="U220" s="34" t="str">
        <f t="shared" si="22"/>
        <v>High</v>
      </c>
      <c r="V220">
        <v>63.61</v>
      </c>
      <c r="W220" s="29">
        <f t="shared" si="23"/>
        <v>0.130683102208526</v>
      </c>
      <c r="X220">
        <v>31.33</v>
      </c>
      <c r="Y220" t="s">
        <v>38</v>
      </c>
      <c r="Z220" s="34" t="str">
        <f t="shared" si="24"/>
        <v>Small</v>
      </c>
    </row>
    <row r="221" spans="1:26">
      <c r="A221" t="s">
        <v>831</v>
      </c>
      <c r="B221" s="44">
        <v>44451</v>
      </c>
      <c r="C221" s="34">
        <f t="shared" si="19"/>
        <v>2021</v>
      </c>
      <c r="D221" s="34">
        <f t="shared" si="20"/>
        <v>9</v>
      </c>
      <c r="E221" s="34" t="str">
        <f t="shared" si="21"/>
        <v>September</v>
      </c>
      <c r="F221" s="44">
        <v>44452</v>
      </c>
      <c r="G221" t="s">
        <v>643</v>
      </c>
      <c r="H221" t="s">
        <v>644</v>
      </c>
      <c r="I221" t="s">
        <v>42</v>
      </c>
      <c r="J221" t="s">
        <v>43</v>
      </c>
      <c r="K221" t="s">
        <v>645</v>
      </c>
      <c r="L221" t="s">
        <v>646</v>
      </c>
      <c r="M221" t="s">
        <v>58</v>
      </c>
      <c r="N221" t="s">
        <v>235</v>
      </c>
      <c r="O221" t="s">
        <v>35</v>
      </c>
      <c r="P221" t="s">
        <v>78</v>
      </c>
      <c r="Q221" t="s">
        <v>236</v>
      </c>
      <c r="R221">
        <v>2058.75</v>
      </c>
      <c r="S221">
        <v>5</v>
      </c>
      <c r="T221">
        <v>0.25</v>
      </c>
      <c r="U221" s="34" t="str">
        <f t="shared" si="22"/>
        <v>High</v>
      </c>
      <c r="V221">
        <v>-105.01</v>
      </c>
      <c r="W221" s="29">
        <f t="shared" si="23"/>
        <v>-0.0510066788099575</v>
      </c>
      <c r="X221">
        <v>6.92</v>
      </c>
      <c r="Y221" t="s">
        <v>51</v>
      </c>
      <c r="Z221" s="34" t="str">
        <f t="shared" si="24"/>
        <v>Large</v>
      </c>
    </row>
    <row r="222" spans="1:26">
      <c r="A222" t="s">
        <v>832</v>
      </c>
      <c r="B222" s="44">
        <v>44627</v>
      </c>
      <c r="C222" s="34">
        <f t="shared" si="19"/>
        <v>2022</v>
      </c>
      <c r="D222" s="34">
        <f t="shared" si="20"/>
        <v>3</v>
      </c>
      <c r="E222" s="34" t="str">
        <f t="shared" si="21"/>
        <v>March</v>
      </c>
      <c r="F222" s="44">
        <v>44633</v>
      </c>
      <c r="G222" t="s">
        <v>833</v>
      </c>
      <c r="H222" t="s">
        <v>834</v>
      </c>
      <c r="I222" t="s">
        <v>55</v>
      </c>
      <c r="J222" t="s">
        <v>43</v>
      </c>
      <c r="K222" t="s">
        <v>640</v>
      </c>
      <c r="L222" t="s">
        <v>641</v>
      </c>
      <c r="M222" t="s">
        <v>76</v>
      </c>
      <c r="N222" t="s">
        <v>189</v>
      </c>
      <c r="O222" t="s">
        <v>48</v>
      </c>
      <c r="P222" t="s">
        <v>190</v>
      </c>
      <c r="Q222" t="s">
        <v>191</v>
      </c>
      <c r="R222">
        <v>35</v>
      </c>
      <c r="S222">
        <v>1</v>
      </c>
      <c r="T222">
        <v>0</v>
      </c>
      <c r="U222" s="34" t="str">
        <f t="shared" si="22"/>
        <v>No Discount</v>
      </c>
      <c r="V222">
        <v>-9.11</v>
      </c>
      <c r="W222" s="29">
        <f t="shared" si="23"/>
        <v>-0.260285714285714</v>
      </c>
      <c r="X222">
        <v>42.05</v>
      </c>
      <c r="Y222" t="s">
        <v>38</v>
      </c>
      <c r="Z222" s="34" t="str">
        <f t="shared" si="24"/>
        <v>Small</v>
      </c>
    </row>
    <row r="223" spans="1:26">
      <c r="A223" t="s">
        <v>835</v>
      </c>
      <c r="B223" s="44">
        <v>43931</v>
      </c>
      <c r="C223" s="34">
        <f t="shared" si="19"/>
        <v>2020</v>
      </c>
      <c r="D223" s="34">
        <f t="shared" si="20"/>
        <v>4</v>
      </c>
      <c r="E223" s="34" t="str">
        <f t="shared" si="21"/>
        <v>April</v>
      </c>
      <c r="F223" s="44">
        <v>43937</v>
      </c>
      <c r="G223" t="s">
        <v>318</v>
      </c>
      <c r="H223" t="s">
        <v>319</v>
      </c>
      <c r="I223" t="s">
        <v>42</v>
      </c>
      <c r="J223" t="s">
        <v>30</v>
      </c>
      <c r="K223" t="s">
        <v>320</v>
      </c>
      <c r="L223" t="s">
        <v>181</v>
      </c>
      <c r="M223" t="s">
        <v>46</v>
      </c>
      <c r="N223" t="s">
        <v>375</v>
      </c>
      <c r="O223" t="s">
        <v>35</v>
      </c>
      <c r="P223" t="s">
        <v>163</v>
      </c>
      <c r="Q223" t="s">
        <v>376</v>
      </c>
      <c r="R223">
        <v>2336.4</v>
      </c>
      <c r="S223">
        <v>4</v>
      </c>
      <c r="T223">
        <v>0.1</v>
      </c>
      <c r="U223" s="34" t="str">
        <f t="shared" si="22"/>
        <v>Low</v>
      </c>
      <c r="V223">
        <v>336.85</v>
      </c>
      <c r="W223" s="29">
        <f t="shared" si="23"/>
        <v>0.144174798835816</v>
      </c>
      <c r="X223">
        <v>45.37</v>
      </c>
      <c r="Y223" t="s">
        <v>70</v>
      </c>
      <c r="Z223" s="34" t="str">
        <f t="shared" si="24"/>
        <v>Large</v>
      </c>
    </row>
    <row r="224" spans="1:26">
      <c r="A224" t="s">
        <v>836</v>
      </c>
      <c r="B224" s="44">
        <v>43955</v>
      </c>
      <c r="C224" s="34">
        <f t="shared" si="19"/>
        <v>2020</v>
      </c>
      <c r="D224" s="34">
        <f t="shared" si="20"/>
        <v>5</v>
      </c>
      <c r="E224" s="34" t="str">
        <f t="shared" si="21"/>
        <v>May</v>
      </c>
      <c r="F224" s="44">
        <v>43956</v>
      </c>
      <c r="G224" t="s">
        <v>295</v>
      </c>
      <c r="H224" t="s">
        <v>296</v>
      </c>
      <c r="I224" t="s">
        <v>29</v>
      </c>
      <c r="J224" t="s">
        <v>30</v>
      </c>
      <c r="K224" t="s">
        <v>297</v>
      </c>
      <c r="L224" t="s">
        <v>298</v>
      </c>
      <c r="M224" t="s">
        <v>46</v>
      </c>
      <c r="N224" t="s">
        <v>837</v>
      </c>
      <c r="O224" t="s">
        <v>35</v>
      </c>
      <c r="P224" t="s">
        <v>111</v>
      </c>
      <c r="Q224" t="s">
        <v>838</v>
      </c>
      <c r="R224">
        <v>429.6</v>
      </c>
      <c r="S224">
        <v>3</v>
      </c>
      <c r="T224">
        <v>0.2</v>
      </c>
      <c r="U224" s="34" t="str">
        <f t="shared" si="22"/>
        <v>Medium</v>
      </c>
      <c r="V224">
        <v>91.16</v>
      </c>
      <c r="W224" s="29">
        <f t="shared" si="23"/>
        <v>0.21219739292365</v>
      </c>
      <c r="X224">
        <v>11.18</v>
      </c>
      <c r="Y224" t="s">
        <v>121</v>
      </c>
      <c r="Z224" s="34" t="str">
        <f t="shared" si="24"/>
        <v>Small</v>
      </c>
    </row>
    <row r="225" spans="1:26">
      <c r="A225" t="s">
        <v>839</v>
      </c>
      <c r="B225" s="44">
        <v>43861</v>
      </c>
      <c r="C225" s="34">
        <f t="shared" si="19"/>
        <v>2020</v>
      </c>
      <c r="D225" s="34">
        <f t="shared" si="20"/>
        <v>1</v>
      </c>
      <c r="E225" s="34" t="str">
        <f t="shared" si="21"/>
        <v>January</v>
      </c>
      <c r="F225" s="44">
        <v>43865</v>
      </c>
      <c r="G225" t="s">
        <v>98</v>
      </c>
      <c r="H225" t="s">
        <v>99</v>
      </c>
      <c r="I225" t="s">
        <v>55</v>
      </c>
      <c r="J225" t="s">
        <v>43</v>
      </c>
      <c r="K225" t="s">
        <v>100</v>
      </c>
      <c r="L225" t="s">
        <v>101</v>
      </c>
      <c r="M225" t="s">
        <v>33</v>
      </c>
      <c r="N225" t="s">
        <v>66</v>
      </c>
      <c r="O225" t="s">
        <v>67</v>
      </c>
      <c r="P225" t="s">
        <v>68</v>
      </c>
      <c r="Q225" t="s">
        <v>69</v>
      </c>
      <c r="R225">
        <v>1358.3</v>
      </c>
      <c r="S225">
        <v>2</v>
      </c>
      <c r="T225">
        <v>0.15</v>
      </c>
      <c r="U225" s="34" t="str">
        <f t="shared" si="22"/>
        <v>Medium</v>
      </c>
      <c r="V225">
        <v>128.66</v>
      </c>
      <c r="W225" s="29">
        <f t="shared" si="23"/>
        <v>0.0947213428550394</v>
      </c>
      <c r="X225">
        <v>23.91</v>
      </c>
      <c r="Y225" t="s">
        <v>70</v>
      </c>
      <c r="Z225" s="34" t="str">
        <f t="shared" si="24"/>
        <v>Medium</v>
      </c>
    </row>
    <row r="226" spans="1:26">
      <c r="A226" t="s">
        <v>840</v>
      </c>
      <c r="B226" s="44">
        <v>44077</v>
      </c>
      <c r="C226" s="34">
        <f t="shared" si="19"/>
        <v>2020</v>
      </c>
      <c r="D226" s="34">
        <f t="shared" si="20"/>
        <v>9</v>
      </c>
      <c r="E226" s="34" t="str">
        <f t="shared" si="21"/>
        <v>September</v>
      </c>
      <c r="F226" s="44">
        <v>44080</v>
      </c>
      <c r="G226" t="s">
        <v>123</v>
      </c>
      <c r="H226" t="s">
        <v>124</v>
      </c>
      <c r="I226" t="s">
        <v>29</v>
      </c>
      <c r="J226" t="s">
        <v>43</v>
      </c>
      <c r="K226" t="s">
        <v>125</v>
      </c>
      <c r="L226" t="s">
        <v>126</v>
      </c>
      <c r="M226" t="s">
        <v>58</v>
      </c>
      <c r="N226" t="s">
        <v>375</v>
      </c>
      <c r="O226" t="s">
        <v>35</v>
      </c>
      <c r="P226" t="s">
        <v>163</v>
      </c>
      <c r="Q226" t="s">
        <v>376</v>
      </c>
      <c r="R226">
        <v>2076.8</v>
      </c>
      <c r="S226">
        <v>4</v>
      </c>
      <c r="T226">
        <v>0.2</v>
      </c>
      <c r="U226" s="34" t="str">
        <f t="shared" si="22"/>
        <v>Medium</v>
      </c>
      <c r="V226">
        <v>507.76</v>
      </c>
      <c r="W226" s="29">
        <f t="shared" si="23"/>
        <v>0.244491525423729</v>
      </c>
      <c r="X226">
        <v>38.12</v>
      </c>
      <c r="Y226" t="s">
        <v>51</v>
      </c>
      <c r="Z226" s="34" t="str">
        <f t="shared" si="24"/>
        <v>Large</v>
      </c>
    </row>
    <row r="227" spans="1:26">
      <c r="A227" t="s">
        <v>841</v>
      </c>
      <c r="B227" s="44">
        <v>44888</v>
      </c>
      <c r="C227" s="34">
        <f t="shared" si="19"/>
        <v>2022</v>
      </c>
      <c r="D227" s="34">
        <f t="shared" si="20"/>
        <v>11</v>
      </c>
      <c r="E227" s="34" t="str">
        <f t="shared" si="21"/>
        <v>November</v>
      </c>
      <c r="F227" s="44">
        <v>44890</v>
      </c>
      <c r="G227" t="s">
        <v>842</v>
      </c>
      <c r="H227" t="s">
        <v>843</v>
      </c>
      <c r="I227" t="s">
        <v>42</v>
      </c>
      <c r="J227" t="s">
        <v>43</v>
      </c>
      <c r="K227" t="s">
        <v>92</v>
      </c>
      <c r="L227" t="s">
        <v>93</v>
      </c>
      <c r="M227" t="s">
        <v>76</v>
      </c>
      <c r="N227" t="s">
        <v>189</v>
      </c>
      <c r="O227" t="s">
        <v>48</v>
      </c>
      <c r="P227" t="s">
        <v>190</v>
      </c>
      <c r="Q227" t="s">
        <v>191</v>
      </c>
      <c r="R227">
        <v>131.25</v>
      </c>
      <c r="S227">
        <v>5</v>
      </c>
      <c r="T227">
        <v>0.25</v>
      </c>
      <c r="U227" s="34" t="str">
        <f t="shared" si="22"/>
        <v>High</v>
      </c>
      <c r="V227">
        <v>22.91</v>
      </c>
      <c r="W227" s="29">
        <f t="shared" si="23"/>
        <v>0.174552380952381</v>
      </c>
      <c r="X227">
        <v>11.14</v>
      </c>
      <c r="Y227" t="s">
        <v>96</v>
      </c>
      <c r="Z227" s="34" t="str">
        <f t="shared" si="24"/>
        <v>Small</v>
      </c>
    </row>
    <row r="228" spans="1:26">
      <c r="A228" t="s">
        <v>844</v>
      </c>
      <c r="B228" s="44">
        <v>44490</v>
      </c>
      <c r="C228" s="34">
        <f t="shared" si="19"/>
        <v>2021</v>
      </c>
      <c r="D228" s="34">
        <f t="shared" si="20"/>
        <v>10</v>
      </c>
      <c r="E228" s="34" t="str">
        <f t="shared" si="21"/>
        <v>October</v>
      </c>
      <c r="F228" s="44">
        <v>44496</v>
      </c>
      <c r="G228" t="s">
        <v>295</v>
      </c>
      <c r="H228" t="s">
        <v>296</v>
      </c>
      <c r="I228" t="s">
        <v>29</v>
      </c>
      <c r="J228" t="s">
        <v>30</v>
      </c>
      <c r="K228" t="s">
        <v>297</v>
      </c>
      <c r="L228" t="s">
        <v>298</v>
      </c>
      <c r="M228" t="s">
        <v>46</v>
      </c>
      <c r="N228" t="s">
        <v>223</v>
      </c>
      <c r="O228" t="s">
        <v>48</v>
      </c>
      <c r="P228" t="s">
        <v>60</v>
      </c>
      <c r="Q228" t="s">
        <v>224</v>
      </c>
      <c r="R228">
        <v>186.9</v>
      </c>
      <c r="S228">
        <v>3</v>
      </c>
      <c r="T228">
        <v>0.3</v>
      </c>
      <c r="U228" s="34" t="str">
        <f t="shared" si="22"/>
        <v>High</v>
      </c>
      <c r="V228">
        <v>7.82</v>
      </c>
      <c r="W228" s="29">
        <f t="shared" si="23"/>
        <v>0.041840556447298</v>
      </c>
      <c r="X228">
        <v>36.25</v>
      </c>
      <c r="Y228" t="s">
        <v>62</v>
      </c>
      <c r="Z228" s="34" t="str">
        <f t="shared" si="24"/>
        <v>Small</v>
      </c>
    </row>
    <row r="229" spans="1:26">
      <c r="A229" t="s">
        <v>845</v>
      </c>
      <c r="B229" s="44">
        <v>44569</v>
      </c>
      <c r="C229" s="34">
        <f t="shared" si="19"/>
        <v>2022</v>
      </c>
      <c r="D229" s="34">
        <f t="shared" si="20"/>
        <v>1</v>
      </c>
      <c r="E229" s="34" t="str">
        <f t="shared" si="21"/>
        <v>January</v>
      </c>
      <c r="F229" s="44">
        <v>44570</v>
      </c>
      <c r="G229" t="s">
        <v>660</v>
      </c>
      <c r="H229" t="s">
        <v>661</v>
      </c>
      <c r="I229" t="s">
        <v>42</v>
      </c>
      <c r="J229" t="s">
        <v>43</v>
      </c>
      <c r="K229" t="s">
        <v>187</v>
      </c>
      <c r="L229" t="s">
        <v>662</v>
      </c>
      <c r="M229" t="s">
        <v>33</v>
      </c>
      <c r="N229" t="s">
        <v>459</v>
      </c>
      <c r="O229" t="s">
        <v>48</v>
      </c>
      <c r="P229" t="s">
        <v>128</v>
      </c>
      <c r="Q229" t="s">
        <v>460</v>
      </c>
      <c r="R229">
        <v>29</v>
      </c>
      <c r="S229">
        <v>1</v>
      </c>
      <c r="T229">
        <v>0</v>
      </c>
      <c r="U229" s="34" t="str">
        <f t="shared" si="22"/>
        <v>No Discount</v>
      </c>
      <c r="V229">
        <v>-0.42</v>
      </c>
      <c r="W229" s="29">
        <f t="shared" si="23"/>
        <v>-0.0144827586206897</v>
      </c>
      <c r="X229">
        <v>13.01</v>
      </c>
      <c r="Y229" t="s">
        <v>70</v>
      </c>
      <c r="Z229" s="34" t="str">
        <f t="shared" si="24"/>
        <v>Small</v>
      </c>
    </row>
    <row r="230" spans="1:26">
      <c r="A230" t="s">
        <v>846</v>
      </c>
      <c r="B230" s="44">
        <v>44778</v>
      </c>
      <c r="C230" s="34">
        <f t="shared" si="19"/>
        <v>2022</v>
      </c>
      <c r="D230" s="34">
        <f t="shared" si="20"/>
        <v>8</v>
      </c>
      <c r="E230" s="34" t="str">
        <f t="shared" si="21"/>
        <v>August</v>
      </c>
      <c r="F230" s="44">
        <v>44781</v>
      </c>
      <c r="G230" t="s">
        <v>123</v>
      </c>
      <c r="H230" t="s">
        <v>124</v>
      </c>
      <c r="I230" t="s">
        <v>29</v>
      </c>
      <c r="J230" t="s">
        <v>43</v>
      </c>
      <c r="K230" t="s">
        <v>125</v>
      </c>
      <c r="L230" t="s">
        <v>126</v>
      </c>
      <c r="M230" t="s">
        <v>58</v>
      </c>
      <c r="N230" t="s">
        <v>441</v>
      </c>
      <c r="O230" t="s">
        <v>67</v>
      </c>
      <c r="P230" t="s">
        <v>68</v>
      </c>
      <c r="Q230" t="s">
        <v>442</v>
      </c>
      <c r="R230">
        <v>1348.5</v>
      </c>
      <c r="S230">
        <v>2</v>
      </c>
      <c r="T230">
        <v>0.25</v>
      </c>
      <c r="U230" s="34" t="str">
        <f t="shared" si="22"/>
        <v>High</v>
      </c>
      <c r="V230">
        <v>200.65</v>
      </c>
      <c r="W230" s="29">
        <f t="shared" si="23"/>
        <v>0.14879495736003</v>
      </c>
      <c r="X230">
        <v>5.42</v>
      </c>
      <c r="Y230" t="s">
        <v>96</v>
      </c>
      <c r="Z230" s="34" t="str">
        <f t="shared" si="24"/>
        <v>Medium</v>
      </c>
    </row>
    <row r="231" spans="1:26">
      <c r="A231" t="s">
        <v>847</v>
      </c>
      <c r="B231" s="44">
        <v>45399</v>
      </c>
      <c r="C231" s="34">
        <f t="shared" si="19"/>
        <v>2024</v>
      </c>
      <c r="D231" s="34">
        <f t="shared" si="20"/>
        <v>4</v>
      </c>
      <c r="E231" s="34" t="str">
        <f t="shared" si="21"/>
        <v>April</v>
      </c>
      <c r="F231" s="44">
        <v>45406</v>
      </c>
      <c r="G231" t="s">
        <v>221</v>
      </c>
      <c r="H231" t="s">
        <v>222</v>
      </c>
      <c r="I231" t="s">
        <v>42</v>
      </c>
      <c r="J231" t="s">
        <v>30</v>
      </c>
      <c r="K231" t="s">
        <v>100</v>
      </c>
      <c r="L231" t="s">
        <v>101</v>
      </c>
      <c r="M231" t="s">
        <v>33</v>
      </c>
      <c r="N231" t="s">
        <v>286</v>
      </c>
      <c r="O231" t="s">
        <v>35</v>
      </c>
      <c r="P231" t="s">
        <v>202</v>
      </c>
      <c r="Q231" t="s">
        <v>287</v>
      </c>
      <c r="R231">
        <v>402.3</v>
      </c>
      <c r="S231">
        <v>3</v>
      </c>
      <c r="T231">
        <v>0.1</v>
      </c>
      <c r="U231" s="34" t="str">
        <f t="shared" si="22"/>
        <v>Low</v>
      </c>
      <c r="V231">
        <v>67.23</v>
      </c>
      <c r="W231" s="29">
        <f t="shared" si="23"/>
        <v>0.167114093959732</v>
      </c>
      <c r="X231">
        <v>44.11</v>
      </c>
      <c r="Y231" t="s">
        <v>121</v>
      </c>
      <c r="Z231" s="34" t="str">
        <f t="shared" si="24"/>
        <v>Small</v>
      </c>
    </row>
    <row r="232" spans="1:26">
      <c r="A232" t="s">
        <v>848</v>
      </c>
      <c r="B232" s="44">
        <v>44745</v>
      </c>
      <c r="C232" s="34">
        <f t="shared" si="19"/>
        <v>2022</v>
      </c>
      <c r="D232" s="34">
        <f t="shared" si="20"/>
        <v>7</v>
      </c>
      <c r="E232" s="34" t="str">
        <f t="shared" si="21"/>
        <v>July</v>
      </c>
      <c r="F232" s="44">
        <v>44746</v>
      </c>
      <c r="G232" t="s">
        <v>849</v>
      </c>
      <c r="H232" t="s">
        <v>850</v>
      </c>
      <c r="I232" t="s">
        <v>55</v>
      </c>
      <c r="J232" t="s">
        <v>43</v>
      </c>
      <c r="K232" t="s">
        <v>199</v>
      </c>
      <c r="L232" t="s">
        <v>851</v>
      </c>
      <c r="M232" t="s">
        <v>46</v>
      </c>
      <c r="N232" t="s">
        <v>135</v>
      </c>
      <c r="O232" t="s">
        <v>67</v>
      </c>
      <c r="P232" t="s">
        <v>68</v>
      </c>
      <c r="Q232" t="s">
        <v>136</v>
      </c>
      <c r="R232">
        <v>1849.65</v>
      </c>
      <c r="S232">
        <v>3</v>
      </c>
      <c r="T232">
        <v>0.05</v>
      </c>
      <c r="U232" s="34" t="str">
        <f t="shared" si="22"/>
        <v>Low</v>
      </c>
      <c r="V232">
        <v>328.07</v>
      </c>
      <c r="W232" s="29">
        <f t="shared" si="23"/>
        <v>0.177368691374044</v>
      </c>
      <c r="X232">
        <v>16.23</v>
      </c>
      <c r="Y232" t="s">
        <v>70</v>
      </c>
      <c r="Z232" s="34" t="str">
        <f t="shared" si="24"/>
        <v>Medium</v>
      </c>
    </row>
    <row r="233" spans="1:26">
      <c r="A233" t="s">
        <v>852</v>
      </c>
      <c r="B233" s="44">
        <v>45005</v>
      </c>
      <c r="C233" s="34">
        <f t="shared" si="19"/>
        <v>2023</v>
      </c>
      <c r="D233" s="34">
        <f t="shared" si="20"/>
        <v>3</v>
      </c>
      <c r="E233" s="34" t="str">
        <f t="shared" si="21"/>
        <v>March</v>
      </c>
      <c r="F233" s="44">
        <v>45010</v>
      </c>
      <c r="G233" t="s">
        <v>853</v>
      </c>
      <c r="H233" t="s">
        <v>854</v>
      </c>
      <c r="I233" t="s">
        <v>29</v>
      </c>
      <c r="J233" t="s">
        <v>43</v>
      </c>
      <c r="K233" t="s">
        <v>180</v>
      </c>
      <c r="L233" t="s">
        <v>181</v>
      </c>
      <c r="M233" t="s">
        <v>46</v>
      </c>
      <c r="N233" t="s">
        <v>66</v>
      </c>
      <c r="O233" t="s">
        <v>67</v>
      </c>
      <c r="P233" t="s">
        <v>68</v>
      </c>
      <c r="Q233" t="s">
        <v>69</v>
      </c>
      <c r="R233">
        <v>1598</v>
      </c>
      <c r="S233">
        <v>2</v>
      </c>
      <c r="T233">
        <v>0</v>
      </c>
      <c r="U233" s="34" t="str">
        <f t="shared" si="22"/>
        <v>No Discount</v>
      </c>
      <c r="V233">
        <v>229.7</v>
      </c>
      <c r="W233" s="29">
        <f t="shared" si="23"/>
        <v>0.143742177722153</v>
      </c>
      <c r="X233">
        <v>33.33</v>
      </c>
      <c r="Y233" t="s">
        <v>51</v>
      </c>
      <c r="Z233" s="34" t="str">
        <f t="shared" si="24"/>
        <v>Medium</v>
      </c>
    </row>
    <row r="234" spans="1:26">
      <c r="A234" t="s">
        <v>855</v>
      </c>
      <c r="B234" s="44">
        <v>43988</v>
      </c>
      <c r="C234" s="34">
        <f t="shared" si="19"/>
        <v>2020</v>
      </c>
      <c r="D234" s="34">
        <f t="shared" si="20"/>
        <v>6</v>
      </c>
      <c r="E234" s="34" t="str">
        <f t="shared" si="21"/>
        <v>June</v>
      </c>
      <c r="F234" s="44">
        <v>43994</v>
      </c>
      <c r="G234" t="s">
        <v>856</v>
      </c>
      <c r="H234" t="s">
        <v>857</v>
      </c>
      <c r="I234" t="s">
        <v>29</v>
      </c>
      <c r="J234" t="s">
        <v>43</v>
      </c>
      <c r="K234" t="s">
        <v>245</v>
      </c>
      <c r="L234" t="s">
        <v>511</v>
      </c>
      <c r="M234" t="s">
        <v>76</v>
      </c>
      <c r="N234" t="s">
        <v>77</v>
      </c>
      <c r="O234" t="s">
        <v>35</v>
      </c>
      <c r="P234" t="s">
        <v>78</v>
      </c>
      <c r="Q234" t="s">
        <v>79</v>
      </c>
      <c r="R234">
        <v>2790</v>
      </c>
      <c r="S234">
        <v>2</v>
      </c>
      <c r="T234">
        <v>0</v>
      </c>
      <c r="U234" s="34" t="str">
        <f t="shared" si="22"/>
        <v>No Discount</v>
      </c>
      <c r="V234">
        <v>414.77</v>
      </c>
      <c r="W234" s="29">
        <f t="shared" si="23"/>
        <v>0.148663082437276</v>
      </c>
      <c r="X234">
        <v>12.43</v>
      </c>
      <c r="Y234" t="s">
        <v>137</v>
      </c>
      <c r="Z234" s="34" t="str">
        <f t="shared" si="24"/>
        <v>Large</v>
      </c>
    </row>
    <row r="235" spans="1:26">
      <c r="A235" t="s">
        <v>858</v>
      </c>
      <c r="B235" s="44">
        <v>44372</v>
      </c>
      <c r="C235" s="34">
        <f t="shared" si="19"/>
        <v>2021</v>
      </c>
      <c r="D235" s="34">
        <f t="shared" si="20"/>
        <v>6</v>
      </c>
      <c r="E235" s="34" t="str">
        <f t="shared" si="21"/>
        <v>June</v>
      </c>
      <c r="F235" s="44">
        <v>44378</v>
      </c>
      <c r="G235" t="s">
        <v>354</v>
      </c>
      <c r="H235" t="s">
        <v>355</v>
      </c>
      <c r="I235" t="s">
        <v>29</v>
      </c>
      <c r="J235" t="s">
        <v>43</v>
      </c>
      <c r="K235" t="s">
        <v>213</v>
      </c>
      <c r="L235" t="s">
        <v>356</v>
      </c>
      <c r="M235" t="s">
        <v>33</v>
      </c>
      <c r="N235" t="s">
        <v>201</v>
      </c>
      <c r="O235" t="s">
        <v>35</v>
      </c>
      <c r="P235" t="s">
        <v>202</v>
      </c>
      <c r="Q235" t="s">
        <v>203</v>
      </c>
      <c r="R235">
        <v>1683.75</v>
      </c>
      <c r="S235">
        <v>5</v>
      </c>
      <c r="T235">
        <v>0.25</v>
      </c>
      <c r="U235" s="34" t="str">
        <f t="shared" si="22"/>
        <v>High</v>
      </c>
      <c r="V235">
        <v>-141.28</v>
      </c>
      <c r="W235" s="29">
        <f t="shared" si="23"/>
        <v>-0.0839079435783222</v>
      </c>
      <c r="X235">
        <v>21.95</v>
      </c>
      <c r="Y235" t="s">
        <v>137</v>
      </c>
      <c r="Z235" s="34" t="str">
        <f t="shared" si="24"/>
        <v>Medium</v>
      </c>
    </row>
    <row r="236" spans="1:26">
      <c r="A236" t="s">
        <v>859</v>
      </c>
      <c r="B236" s="44">
        <v>45323</v>
      </c>
      <c r="C236" s="34">
        <f t="shared" si="19"/>
        <v>2024</v>
      </c>
      <c r="D236" s="34">
        <f t="shared" si="20"/>
        <v>2</v>
      </c>
      <c r="E236" s="34" t="str">
        <f t="shared" si="21"/>
        <v>February</v>
      </c>
      <c r="F236" s="44">
        <v>45327</v>
      </c>
      <c r="G236" t="s">
        <v>450</v>
      </c>
      <c r="H236" t="s">
        <v>451</v>
      </c>
      <c r="I236" t="s">
        <v>42</v>
      </c>
      <c r="J236" t="s">
        <v>43</v>
      </c>
      <c r="K236" t="s">
        <v>199</v>
      </c>
      <c r="L236" t="s">
        <v>396</v>
      </c>
      <c r="M236" t="s">
        <v>46</v>
      </c>
      <c r="N236" t="s">
        <v>278</v>
      </c>
      <c r="O236" t="s">
        <v>35</v>
      </c>
      <c r="P236" t="s">
        <v>202</v>
      </c>
      <c r="Q236" t="s">
        <v>279</v>
      </c>
      <c r="R236">
        <v>1798</v>
      </c>
      <c r="S236">
        <v>2</v>
      </c>
      <c r="T236">
        <v>0</v>
      </c>
      <c r="U236" s="34" t="str">
        <f t="shared" si="22"/>
        <v>No Discount</v>
      </c>
      <c r="V236">
        <v>446.06</v>
      </c>
      <c r="W236" s="29">
        <f t="shared" si="23"/>
        <v>0.248086763070078</v>
      </c>
      <c r="X236">
        <v>11.46</v>
      </c>
      <c r="Y236" t="s">
        <v>62</v>
      </c>
      <c r="Z236" s="34" t="str">
        <f t="shared" si="24"/>
        <v>Medium</v>
      </c>
    </row>
    <row r="237" spans="1:26">
      <c r="A237" t="s">
        <v>860</v>
      </c>
      <c r="B237" s="44">
        <v>45276</v>
      </c>
      <c r="C237" s="34">
        <f t="shared" si="19"/>
        <v>2023</v>
      </c>
      <c r="D237" s="34">
        <f t="shared" si="20"/>
        <v>12</v>
      </c>
      <c r="E237" s="34" t="str">
        <f t="shared" si="21"/>
        <v>December</v>
      </c>
      <c r="F237" s="44">
        <v>45282</v>
      </c>
      <c r="G237" t="s">
        <v>861</v>
      </c>
      <c r="H237" t="s">
        <v>862</v>
      </c>
      <c r="I237" t="s">
        <v>42</v>
      </c>
      <c r="J237" t="s">
        <v>43</v>
      </c>
      <c r="K237" t="s">
        <v>640</v>
      </c>
      <c r="L237" t="s">
        <v>863</v>
      </c>
      <c r="M237" t="s">
        <v>76</v>
      </c>
      <c r="N237" t="s">
        <v>251</v>
      </c>
      <c r="O237" t="s">
        <v>67</v>
      </c>
      <c r="P237" t="s">
        <v>252</v>
      </c>
      <c r="Q237" t="s">
        <v>253</v>
      </c>
      <c r="R237">
        <v>1496</v>
      </c>
      <c r="S237">
        <v>2</v>
      </c>
      <c r="T237">
        <v>0</v>
      </c>
      <c r="U237" s="34" t="str">
        <f t="shared" si="22"/>
        <v>No Discount</v>
      </c>
      <c r="V237">
        <v>266.66</v>
      </c>
      <c r="W237" s="29">
        <f t="shared" si="23"/>
        <v>0.178248663101604</v>
      </c>
      <c r="X237">
        <v>8.73</v>
      </c>
      <c r="Y237" t="s">
        <v>80</v>
      </c>
      <c r="Z237" s="34" t="str">
        <f t="shared" si="24"/>
        <v>Medium</v>
      </c>
    </row>
    <row r="238" spans="1:26">
      <c r="A238" t="s">
        <v>864</v>
      </c>
      <c r="B238" s="44">
        <v>44750</v>
      </c>
      <c r="C238" s="34">
        <f t="shared" si="19"/>
        <v>2022</v>
      </c>
      <c r="D238" s="34">
        <f t="shared" si="20"/>
        <v>7</v>
      </c>
      <c r="E238" s="34" t="str">
        <f t="shared" si="21"/>
        <v>July</v>
      </c>
      <c r="F238" s="44">
        <v>44755</v>
      </c>
      <c r="G238" t="s">
        <v>865</v>
      </c>
      <c r="H238" t="s">
        <v>866</v>
      </c>
      <c r="I238" t="s">
        <v>42</v>
      </c>
      <c r="J238" t="s">
        <v>43</v>
      </c>
      <c r="K238" t="s">
        <v>44</v>
      </c>
      <c r="L238" t="s">
        <v>45</v>
      </c>
      <c r="M238" t="s">
        <v>46</v>
      </c>
      <c r="N238" t="s">
        <v>382</v>
      </c>
      <c r="O238" t="s">
        <v>67</v>
      </c>
      <c r="P238" t="s">
        <v>119</v>
      </c>
      <c r="Q238" t="s">
        <v>383</v>
      </c>
      <c r="R238">
        <v>4021.5</v>
      </c>
      <c r="S238">
        <v>5</v>
      </c>
      <c r="T238">
        <v>0.3</v>
      </c>
      <c r="U238" s="34" t="str">
        <f t="shared" si="22"/>
        <v>High</v>
      </c>
      <c r="V238">
        <v>596.22</v>
      </c>
      <c r="W238" s="29">
        <f t="shared" si="23"/>
        <v>0.148258112644536</v>
      </c>
      <c r="X238">
        <v>23.36</v>
      </c>
      <c r="Y238" t="s">
        <v>137</v>
      </c>
      <c r="Z238" s="34" t="str">
        <f t="shared" si="24"/>
        <v>Large</v>
      </c>
    </row>
    <row r="239" spans="1:26">
      <c r="A239" t="s">
        <v>867</v>
      </c>
      <c r="B239" s="44">
        <v>45283</v>
      </c>
      <c r="C239" s="34">
        <f t="shared" si="19"/>
        <v>2023</v>
      </c>
      <c r="D239" s="34">
        <f t="shared" si="20"/>
        <v>12</v>
      </c>
      <c r="E239" s="34" t="str">
        <f t="shared" si="21"/>
        <v>December</v>
      </c>
      <c r="F239" s="44">
        <v>45290</v>
      </c>
      <c r="G239" t="s">
        <v>491</v>
      </c>
      <c r="H239" t="s">
        <v>492</v>
      </c>
      <c r="I239" t="s">
        <v>29</v>
      </c>
      <c r="J239" t="s">
        <v>43</v>
      </c>
      <c r="K239" t="s">
        <v>56</v>
      </c>
      <c r="L239" t="s">
        <v>493</v>
      </c>
      <c r="M239" t="s">
        <v>58</v>
      </c>
      <c r="N239" t="s">
        <v>868</v>
      </c>
      <c r="O239" t="s">
        <v>48</v>
      </c>
      <c r="P239" t="s">
        <v>190</v>
      </c>
      <c r="Q239" t="s">
        <v>869</v>
      </c>
      <c r="R239">
        <v>298</v>
      </c>
      <c r="S239">
        <v>2</v>
      </c>
      <c r="T239">
        <v>0</v>
      </c>
      <c r="U239" s="34" t="str">
        <f t="shared" si="22"/>
        <v>No Discount</v>
      </c>
      <c r="V239">
        <v>50.81</v>
      </c>
      <c r="W239" s="29">
        <f t="shared" si="23"/>
        <v>0.170503355704698</v>
      </c>
      <c r="X239">
        <v>49.16</v>
      </c>
      <c r="Y239" t="s">
        <v>137</v>
      </c>
      <c r="Z239" s="34" t="str">
        <f t="shared" si="24"/>
        <v>Small</v>
      </c>
    </row>
    <row r="240" spans="1:26">
      <c r="A240" t="s">
        <v>870</v>
      </c>
      <c r="B240" s="44">
        <v>43960</v>
      </c>
      <c r="C240" s="34">
        <f t="shared" si="19"/>
        <v>2020</v>
      </c>
      <c r="D240" s="34">
        <f t="shared" si="20"/>
        <v>5</v>
      </c>
      <c r="E240" s="34" t="str">
        <f t="shared" si="21"/>
        <v>May</v>
      </c>
      <c r="F240" s="44">
        <v>43967</v>
      </c>
      <c r="G240" t="s">
        <v>740</v>
      </c>
      <c r="H240" t="s">
        <v>741</v>
      </c>
      <c r="I240" t="s">
        <v>29</v>
      </c>
      <c r="J240" t="s">
        <v>43</v>
      </c>
      <c r="K240" t="s">
        <v>31</v>
      </c>
      <c r="L240" t="s">
        <v>32</v>
      </c>
      <c r="M240" t="s">
        <v>33</v>
      </c>
      <c r="N240" t="s">
        <v>110</v>
      </c>
      <c r="O240" t="s">
        <v>35</v>
      </c>
      <c r="P240" t="s">
        <v>111</v>
      </c>
      <c r="Q240" t="s">
        <v>112</v>
      </c>
      <c r="R240">
        <v>318.4</v>
      </c>
      <c r="S240">
        <v>2</v>
      </c>
      <c r="T240">
        <v>0.2</v>
      </c>
      <c r="U240" s="34" t="str">
        <f t="shared" si="22"/>
        <v>Medium</v>
      </c>
      <c r="V240">
        <v>-31.53</v>
      </c>
      <c r="W240" s="29">
        <f t="shared" si="23"/>
        <v>-0.0990263819095478</v>
      </c>
      <c r="X240">
        <v>20.18</v>
      </c>
      <c r="Y240" t="s">
        <v>70</v>
      </c>
      <c r="Z240" s="34" t="str">
        <f t="shared" si="24"/>
        <v>Small</v>
      </c>
    </row>
    <row r="241" spans="1:26">
      <c r="A241" t="s">
        <v>871</v>
      </c>
      <c r="B241" s="44">
        <v>45434</v>
      </c>
      <c r="C241" s="34">
        <f t="shared" si="19"/>
        <v>2024</v>
      </c>
      <c r="D241" s="34">
        <f t="shared" si="20"/>
        <v>5</v>
      </c>
      <c r="E241" s="34" t="str">
        <f t="shared" si="21"/>
        <v>May</v>
      </c>
      <c r="F241" s="44">
        <v>45438</v>
      </c>
      <c r="G241" t="s">
        <v>98</v>
      </c>
      <c r="H241" t="s">
        <v>99</v>
      </c>
      <c r="I241" t="s">
        <v>55</v>
      </c>
      <c r="J241" t="s">
        <v>43</v>
      </c>
      <c r="K241" t="s">
        <v>100</v>
      </c>
      <c r="L241" t="s">
        <v>101</v>
      </c>
      <c r="M241" t="s">
        <v>33</v>
      </c>
      <c r="N241" t="s">
        <v>872</v>
      </c>
      <c r="O241" t="s">
        <v>35</v>
      </c>
      <c r="P241" t="s">
        <v>163</v>
      </c>
      <c r="Q241" t="s">
        <v>873</v>
      </c>
      <c r="R241">
        <v>5996</v>
      </c>
      <c r="S241">
        <v>4</v>
      </c>
      <c r="T241">
        <v>0</v>
      </c>
      <c r="U241" s="34" t="str">
        <f t="shared" si="22"/>
        <v>No Discount</v>
      </c>
      <c r="V241">
        <v>711.65</v>
      </c>
      <c r="W241" s="29">
        <f t="shared" si="23"/>
        <v>0.118687458305537</v>
      </c>
      <c r="X241">
        <v>26.24</v>
      </c>
      <c r="Y241" t="s">
        <v>51</v>
      </c>
      <c r="Z241" s="34" t="str">
        <f t="shared" si="24"/>
        <v>Large</v>
      </c>
    </row>
    <row r="242" spans="1:26">
      <c r="A242" t="s">
        <v>874</v>
      </c>
      <c r="B242" s="44">
        <v>44584</v>
      </c>
      <c r="C242" s="34">
        <f t="shared" si="19"/>
        <v>2022</v>
      </c>
      <c r="D242" s="34">
        <f t="shared" si="20"/>
        <v>1</v>
      </c>
      <c r="E242" s="34" t="str">
        <f t="shared" si="21"/>
        <v>January</v>
      </c>
      <c r="F242" s="44">
        <v>44586</v>
      </c>
      <c r="G242" t="s">
        <v>412</v>
      </c>
      <c r="H242" t="s">
        <v>413</v>
      </c>
      <c r="I242" t="s">
        <v>55</v>
      </c>
      <c r="J242" t="s">
        <v>30</v>
      </c>
      <c r="K242" t="s">
        <v>284</v>
      </c>
      <c r="L242" t="s">
        <v>414</v>
      </c>
      <c r="M242" t="s">
        <v>76</v>
      </c>
      <c r="N242" t="s">
        <v>110</v>
      </c>
      <c r="O242" t="s">
        <v>35</v>
      </c>
      <c r="P242" t="s">
        <v>111</v>
      </c>
      <c r="Q242" t="s">
        <v>112</v>
      </c>
      <c r="R242">
        <v>597</v>
      </c>
      <c r="S242">
        <v>3</v>
      </c>
      <c r="T242">
        <v>0</v>
      </c>
      <c r="U242" s="34" t="str">
        <f t="shared" si="22"/>
        <v>No Discount</v>
      </c>
      <c r="V242">
        <v>93.89</v>
      </c>
      <c r="W242" s="29">
        <f t="shared" si="23"/>
        <v>0.157269681742044</v>
      </c>
      <c r="X242">
        <v>45.24</v>
      </c>
      <c r="Y242" t="s">
        <v>121</v>
      </c>
      <c r="Z242" s="34" t="str">
        <f t="shared" si="24"/>
        <v>Medium</v>
      </c>
    </row>
    <row r="243" spans="1:26">
      <c r="A243" t="s">
        <v>875</v>
      </c>
      <c r="B243" s="44">
        <v>44490</v>
      </c>
      <c r="C243" s="34">
        <f t="shared" si="19"/>
        <v>2021</v>
      </c>
      <c r="D243" s="34">
        <f t="shared" si="20"/>
        <v>10</v>
      </c>
      <c r="E243" s="34" t="str">
        <f t="shared" si="21"/>
        <v>October</v>
      </c>
      <c r="F243" s="44">
        <v>44497</v>
      </c>
      <c r="G243" t="s">
        <v>876</v>
      </c>
      <c r="H243" t="s">
        <v>877</v>
      </c>
      <c r="I243" t="s">
        <v>42</v>
      </c>
      <c r="J243" t="s">
        <v>30</v>
      </c>
      <c r="K243" t="s">
        <v>56</v>
      </c>
      <c r="L243" t="s">
        <v>493</v>
      </c>
      <c r="M243" t="s">
        <v>58</v>
      </c>
      <c r="N243" t="s">
        <v>34</v>
      </c>
      <c r="O243" t="s">
        <v>35</v>
      </c>
      <c r="P243" t="s">
        <v>36</v>
      </c>
      <c r="Q243" t="s">
        <v>37</v>
      </c>
      <c r="R243">
        <v>1706.2</v>
      </c>
      <c r="S243">
        <v>4</v>
      </c>
      <c r="T243">
        <v>0.05</v>
      </c>
      <c r="U243" s="34" t="str">
        <f t="shared" si="22"/>
        <v>Low</v>
      </c>
      <c r="V243">
        <v>423.81</v>
      </c>
      <c r="W243" s="29">
        <f t="shared" si="23"/>
        <v>0.248394092134568</v>
      </c>
      <c r="X243">
        <v>9.13</v>
      </c>
      <c r="Y243" t="s">
        <v>137</v>
      </c>
      <c r="Z243" s="34" t="str">
        <f t="shared" si="24"/>
        <v>Medium</v>
      </c>
    </row>
    <row r="244" spans="1:26">
      <c r="A244" t="s">
        <v>878</v>
      </c>
      <c r="B244" s="44">
        <v>44520</v>
      </c>
      <c r="C244" s="34">
        <f t="shared" si="19"/>
        <v>2021</v>
      </c>
      <c r="D244" s="34">
        <f t="shared" si="20"/>
        <v>11</v>
      </c>
      <c r="E244" s="34" t="str">
        <f t="shared" si="21"/>
        <v>November</v>
      </c>
      <c r="F244" s="44">
        <v>44523</v>
      </c>
      <c r="G244" t="s">
        <v>879</v>
      </c>
      <c r="H244" t="s">
        <v>880</v>
      </c>
      <c r="I244" t="s">
        <v>42</v>
      </c>
      <c r="J244" t="s">
        <v>30</v>
      </c>
      <c r="K244" t="s">
        <v>44</v>
      </c>
      <c r="L244" t="s">
        <v>195</v>
      </c>
      <c r="M244" t="s">
        <v>46</v>
      </c>
      <c r="N244" t="s">
        <v>868</v>
      </c>
      <c r="O244" t="s">
        <v>48</v>
      </c>
      <c r="P244" t="s">
        <v>190</v>
      </c>
      <c r="Q244" t="s">
        <v>869</v>
      </c>
      <c r="R244">
        <v>104.3</v>
      </c>
      <c r="S244">
        <v>1</v>
      </c>
      <c r="T244">
        <v>0.3</v>
      </c>
      <c r="U244" s="34" t="str">
        <f t="shared" si="22"/>
        <v>High</v>
      </c>
      <c r="V244">
        <v>15.03</v>
      </c>
      <c r="W244" s="29">
        <f t="shared" si="23"/>
        <v>0.144103547459252</v>
      </c>
      <c r="X244">
        <v>26.39</v>
      </c>
      <c r="Y244" t="s">
        <v>70</v>
      </c>
      <c r="Z244" s="34" t="str">
        <f t="shared" si="24"/>
        <v>Small</v>
      </c>
    </row>
    <row r="245" spans="1:26">
      <c r="A245" t="s">
        <v>881</v>
      </c>
      <c r="B245" s="44">
        <v>44393</v>
      </c>
      <c r="C245" s="34">
        <f t="shared" si="19"/>
        <v>2021</v>
      </c>
      <c r="D245" s="34">
        <f t="shared" si="20"/>
        <v>7</v>
      </c>
      <c r="E245" s="34" t="str">
        <f t="shared" si="21"/>
        <v>July</v>
      </c>
      <c r="F245" s="44">
        <v>44396</v>
      </c>
      <c r="G245" t="s">
        <v>53</v>
      </c>
      <c r="H245" t="s">
        <v>54</v>
      </c>
      <c r="I245" t="s">
        <v>55</v>
      </c>
      <c r="J245" t="s">
        <v>43</v>
      </c>
      <c r="K245" t="s">
        <v>56</v>
      </c>
      <c r="L245" t="s">
        <v>57</v>
      </c>
      <c r="M245" t="s">
        <v>58</v>
      </c>
      <c r="N245" t="s">
        <v>189</v>
      </c>
      <c r="O245" t="s">
        <v>48</v>
      </c>
      <c r="P245" t="s">
        <v>190</v>
      </c>
      <c r="Q245" t="s">
        <v>191</v>
      </c>
      <c r="R245">
        <v>126</v>
      </c>
      <c r="S245">
        <v>4</v>
      </c>
      <c r="T245">
        <v>0.1</v>
      </c>
      <c r="U245" s="34" t="str">
        <f t="shared" si="22"/>
        <v>Low</v>
      </c>
      <c r="V245">
        <v>-16.54</v>
      </c>
      <c r="W245" s="29">
        <f t="shared" si="23"/>
        <v>-0.131269841269841</v>
      </c>
      <c r="X245">
        <v>21.53</v>
      </c>
      <c r="Y245" t="s">
        <v>96</v>
      </c>
      <c r="Z245" s="34" t="str">
        <f t="shared" si="24"/>
        <v>Small</v>
      </c>
    </row>
    <row r="246" spans="1:26">
      <c r="A246" t="s">
        <v>882</v>
      </c>
      <c r="B246" s="44">
        <v>44305</v>
      </c>
      <c r="C246" s="34">
        <f t="shared" si="19"/>
        <v>2021</v>
      </c>
      <c r="D246" s="34">
        <f t="shared" si="20"/>
        <v>4</v>
      </c>
      <c r="E246" s="34" t="str">
        <f t="shared" si="21"/>
        <v>April</v>
      </c>
      <c r="F246" s="44">
        <v>44311</v>
      </c>
      <c r="G246" t="s">
        <v>883</v>
      </c>
      <c r="H246" t="s">
        <v>729</v>
      </c>
      <c r="I246" t="s">
        <v>29</v>
      </c>
      <c r="J246" t="s">
        <v>43</v>
      </c>
      <c r="K246" t="s">
        <v>472</v>
      </c>
      <c r="L246" t="s">
        <v>473</v>
      </c>
      <c r="M246" t="s">
        <v>58</v>
      </c>
      <c r="N246" t="s">
        <v>837</v>
      </c>
      <c r="O246" t="s">
        <v>35</v>
      </c>
      <c r="P246" t="s">
        <v>111</v>
      </c>
      <c r="Q246" t="s">
        <v>838</v>
      </c>
      <c r="R246">
        <v>125.3</v>
      </c>
      <c r="S246">
        <v>1</v>
      </c>
      <c r="T246">
        <v>0.3</v>
      </c>
      <c r="U246" s="34" t="str">
        <f t="shared" si="22"/>
        <v>High</v>
      </c>
      <c r="V246">
        <v>-8.02</v>
      </c>
      <c r="W246" s="29">
        <f t="shared" si="23"/>
        <v>-0.0640063846767757</v>
      </c>
      <c r="X246">
        <v>5.86</v>
      </c>
      <c r="Y246" t="s">
        <v>137</v>
      </c>
      <c r="Z246" s="34" t="str">
        <f t="shared" si="24"/>
        <v>Small</v>
      </c>
    </row>
    <row r="247" spans="1:26">
      <c r="A247" t="s">
        <v>884</v>
      </c>
      <c r="B247" s="44">
        <v>45301</v>
      </c>
      <c r="C247" s="34">
        <f t="shared" si="19"/>
        <v>2024</v>
      </c>
      <c r="D247" s="34">
        <f t="shared" si="20"/>
        <v>1</v>
      </c>
      <c r="E247" s="34" t="str">
        <f t="shared" si="21"/>
        <v>January</v>
      </c>
      <c r="F247" s="44">
        <v>45302</v>
      </c>
      <c r="G247" t="s">
        <v>885</v>
      </c>
      <c r="H247" t="s">
        <v>886</v>
      </c>
      <c r="I247" t="s">
        <v>42</v>
      </c>
      <c r="J247" t="s">
        <v>43</v>
      </c>
      <c r="K247" t="s">
        <v>297</v>
      </c>
      <c r="L247" t="s">
        <v>887</v>
      </c>
      <c r="M247" t="s">
        <v>46</v>
      </c>
      <c r="N247" t="s">
        <v>673</v>
      </c>
      <c r="O247" t="s">
        <v>35</v>
      </c>
      <c r="P247" t="s">
        <v>202</v>
      </c>
      <c r="Q247" t="s">
        <v>674</v>
      </c>
      <c r="R247">
        <v>664.05</v>
      </c>
      <c r="S247">
        <v>1</v>
      </c>
      <c r="T247">
        <v>0.05</v>
      </c>
      <c r="U247" s="34" t="str">
        <f t="shared" si="22"/>
        <v>Low</v>
      </c>
      <c r="V247">
        <v>109.18</v>
      </c>
      <c r="W247" s="29">
        <f t="shared" si="23"/>
        <v>0.164415330170921</v>
      </c>
      <c r="X247">
        <v>34.51</v>
      </c>
      <c r="Y247" t="s">
        <v>62</v>
      </c>
      <c r="Z247" s="34" t="str">
        <f t="shared" si="24"/>
        <v>Medium</v>
      </c>
    </row>
    <row r="248" spans="1:26">
      <c r="A248" t="s">
        <v>888</v>
      </c>
      <c r="B248" s="44">
        <v>44478</v>
      </c>
      <c r="C248" s="34">
        <f t="shared" si="19"/>
        <v>2021</v>
      </c>
      <c r="D248" s="34">
        <f t="shared" si="20"/>
        <v>10</v>
      </c>
      <c r="E248" s="34" t="str">
        <f t="shared" si="21"/>
        <v>October</v>
      </c>
      <c r="F248" s="44">
        <v>44480</v>
      </c>
      <c r="G248" t="s">
        <v>652</v>
      </c>
      <c r="H248" t="s">
        <v>653</v>
      </c>
      <c r="I248" t="s">
        <v>42</v>
      </c>
      <c r="J248" t="s">
        <v>30</v>
      </c>
      <c r="K248" t="s">
        <v>175</v>
      </c>
      <c r="L248" t="s">
        <v>311</v>
      </c>
      <c r="M248" t="s">
        <v>46</v>
      </c>
      <c r="N248" t="s">
        <v>421</v>
      </c>
      <c r="O248" t="s">
        <v>67</v>
      </c>
      <c r="P248" t="s">
        <v>252</v>
      </c>
      <c r="Q248" t="s">
        <v>422</v>
      </c>
      <c r="R248">
        <v>2439.6</v>
      </c>
      <c r="S248">
        <v>3</v>
      </c>
      <c r="T248">
        <v>0.05</v>
      </c>
      <c r="U248" s="34" t="str">
        <f t="shared" si="22"/>
        <v>Low</v>
      </c>
      <c r="V248">
        <v>235.71</v>
      </c>
      <c r="W248" s="29">
        <f t="shared" si="23"/>
        <v>0.0966182980816527</v>
      </c>
      <c r="X248">
        <v>27.49</v>
      </c>
      <c r="Y248" t="s">
        <v>51</v>
      </c>
      <c r="Z248" s="34" t="str">
        <f t="shared" si="24"/>
        <v>Large</v>
      </c>
    </row>
    <row r="249" spans="1:26">
      <c r="A249" t="s">
        <v>889</v>
      </c>
      <c r="B249" s="44">
        <v>45619</v>
      </c>
      <c r="C249" s="34">
        <f t="shared" si="19"/>
        <v>2024</v>
      </c>
      <c r="D249" s="34">
        <f t="shared" si="20"/>
        <v>11</v>
      </c>
      <c r="E249" s="34" t="str">
        <f t="shared" si="21"/>
        <v>November</v>
      </c>
      <c r="F249" s="44">
        <v>45625</v>
      </c>
      <c r="G249" t="s">
        <v>890</v>
      </c>
      <c r="H249" t="s">
        <v>891</v>
      </c>
      <c r="I249" t="s">
        <v>29</v>
      </c>
      <c r="J249" t="s">
        <v>43</v>
      </c>
      <c r="K249" t="s">
        <v>349</v>
      </c>
      <c r="L249" t="s">
        <v>892</v>
      </c>
      <c r="M249" t="s">
        <v>33</v>
      </c>
      <c r="N249" t="s">
        <v>94</v>
      </c>
      <c r="O249" t="s">
        <v>35</v>
      </c>
      <c r="P249" t="s">
        <v>36</v>
      </c>
      <c r="Q249" t="s">
        <v>95</v>
      </c>
      <c r="R249">
        <v>3051</v>
      </c>
      <c r="S249">
        <v>2</v>
      </c>
      <c r="T249">
        <v>0.1</v>
      </c>
      <c r="U249" s="34" t="str">
        <f t="shared" si="22"/>
        <v>Low</v>
      </c>
      <c r="V249">
        <v>-156.39</v>
      </c>
      <c r="W249" s="29">
        <f t="shared" si="23"/>
        <v>-0.0512586037364798</v>
      </c>
      <c r="X249">
        <v>12.81</v>
      </c>
      <c r="Y249" t="s">
        <v>96</v>
      </c>
      <c r="Z249" s="34" t="str">
        <f t="shared" si="24"/>
        <v>Large</v>
      </c>
    </row>
    <row r="250" spans="1:26">
      <c r="A250" t="s">
        <v>893</v>
      </c>
      <c r="B250" s="44">
        <v>44390</v>
      </c>
      <c r="C250" s="34">
        <f t="shared" si="19"/>
        <v>2021</v>
      </c>
      <c r="D250" s="34">
        <f t="shared" si="20"/>
        <v>7</v>
      </c>
      <c r="E250" s="34" t="str">
        <f t="shared" si="21"/>
        <v>July</v>
      </c>
      <c r="F250" s="44">
        <v>44392</v>
      </c>
      <c r="G250" t="s">
        <v>40</v>
      </c>
      <c r="H250" t="s">
        <v>41</v>
      </c>
      <c r="I250" t="s">
        <v>42</v>
      </c>
      <c r="J250" t="s">
        <v>43</v>
      </c>
      <c r="K250" t="s">
        <v>44</v>
      </c>
      <c r="L250" t="s">
        <v>45</v>
      </c>
      <c r="M250" t="s">
        <v>46</v>
      </c>
      <c r="N250" t="s">
        <v>397</v>
      </c>
      <c r="O250" t="s">
        <v>48</v>
      </c>
      <c r="P250" t="s">
        <v>128</v>
      </c>
      <c r="Q250" t="s">
        <v>398</v>
      </c>
      <c r="R250">
        <v>63.75</v>
      </c>
      <c r="S250">
        <v>3</v>
      </c>
      <c r="T250">
        <v>0.15</v>
      </c>
      <c r="U250" s="34" t="str">
        <f t="shared" si="22"/>
        <v>Medium</v>
      </c>
      <c r="V250">
        <v>-7.53</v>
      </c>
      <c r="W250" s="29">
        <f t="shared" si="23"/>
        <v>-0.118117647058824</v>
      </c>
      <c r="X250">
        <v>14.48</v>
      </c>
      <c r="Y250" t="s">
        <v>80</v>
      </c>
      <c r="Z250" s="34" t="str">
        <f t="shared" si="24"/>
        <v>Small</v>
      </c>
    </row>
    <row r="251" spans="1:26">
      <c r="A251" t="s">
        <v>894</v>
      </c>
      <c r="B251" s="44">
        <v>45269</v>
      </c>
      <c r="C251" s="34">
        <f t="shared" si="19"/>
        <v>2023</v>
      </c>
      <c r="D251" s="34">
        <f t="shared" si="20"/>
        <v>12</v>
      </c>
      <c r="E251" s="34" t="str">
        <f t="shared" si="21"/>
        <v>December</v>
      </c>
      <c r="F251" s="44">
        <v>45273</v>
      </c>
      <c r="G251" t="s">
        <v>895</v>
      </c>
      <c r="H251" t="s">
        <v>669</v>
      </c>
      <c r="I251" t="s">
        <v>29</v>
      </c>
      <c r="J251" t="s">
        <v>43</v>
      </c>
      <c r="K251" t="s">
        <v>125</v>
      </c>
      <c r="L251" t="s">
        <v>808</v>
      </c>
      <c r="M251" t="s">
        <v>58</v>
      </c>
      <c r="N251" t="s">
        <v>251</v>
      </c>
      <c r="O251" t="s">
        <v>67</v>
      </c>
      <c r="P251" t="s">
        <v>252</v>
      </c>
      <c r="Q251" t="s">
        <v>253</v>
      </c>
      <c r="R251">
        <v>2019.6</v>
      </c>
      <c r="S251">
        <v>3</v>
      </c>
      <c r="T251">
        <v>0.1</v>
      </c>
      <c r="U251" s="34" t="str">
        <f t="shared" si="22"/>
        <v>Low</v>
      </c>
      <c r="V251">
        <v>238.05</v>
      </c>
      <c r="W251" s="29">
        <f t="shared" si="23"/>
        <v>0.117869875222816</v>
      </c>
      <c r="X251">
        <v>14.34</v>
      </c>
      <c r="Y251" t="s">
        <v>96</v>
      </c>
      <c r="Z251" s="34" t="str">
        <f t="shared" si="24"/>
        <v>Large</v>
      </c>
    </row>
    <row r="252" spans="1:26">
      <c r="A252" t="s">
        <v>896</v>
      </c>
      <c r="B252" s="44">
        <v>44889</v>
      </c>
      <c r="C252" s="34">
        <f t="shared" si="19"/>
        <v>2022</v>
      </c>
      <c r="D252" s="34">
        <f t="shared" si="20"/>
        <v>11</v>
      </c>
      <c r="E252" s="34" t="str">
        <f t="shared" si="21"/>
        <v>November</v>
      </c>
      <c r="F252" s="44">
        <v>44893</v>
      </c>
      <c r="G252" t="s">
        <v>412</v>
      </c>
      <c r="H252" t="s">
        <v>413</v>
      </c>
      <c r="I252" t="s">
        <v>55</v>
      </c>
      <c r="J252" t="s">
        <v>30</v>
      </c>
      <c r="K252" t="s">
        <v>284</v>
      </c>
      <c r="L252" t="s">
        <v>414</v>
      </c>
      <c r="M252" t="s">
        <v>76</v>
      </c>
      <c r="N252" t="s">
        <v>430</v>
      </c>
      <c r="O252" t="s">
        <v>67</v>
      </c>
      <c r="P252" t="s">
        <v>87</v>
      </c>
      <c r="Q252" t="s">
        <v>431</v>
      </c>
      <c r="R252">
        <v>895</v>
      </c>
      <c r="S252">
        <v>5</v>
      </c>
      <c r="T252">
        <v>0</v>
      </c>
      <c r="U252" s="34" t="str">
        <f t="shared" si="22"/>
        <v>No Discount</v>
      </c>
      <c r="V252">
        <v>210.39</v>
      </c>
      <c r="W252" s="29">
        <f t="shared" si="23"/>
        <v>0.235072625698324</v>
      </c>
      <c r="X252">
        <v>44.53</v>
      </c>
      <c r="Y252" t="s">
        <v>137</v>
      </c>
      <c r="Z252" s="34" t="str">
        <f t="shared" si="24"/>
        <v>Medium</v>
      </c>
    </row>
    <row r="253" spans="1:26">
      <c r="A253" t="s">
        <v>897</v>
      </c>
      <c r="B253" s="44">
        <v>44967</v>
      </c>
      <c r="C253" s="34">
        <f t="shared" si="19"/>
        <v>2023</v>
      </c>
      <c r="D253" s="34">
        <f t="shared" si="20"/>
        <v>2</v>
      </c>
      <c r="E253" s="34" t="str">
        <f t="shared" si="21"/>
        <v>February</v>
      </c>
      <c r="F253" s="44">
        <v>44974</v>
      </c>
      <c r="G253" t="s">
        <v>898</v>
      </c>
      <c r="H253" t="s">
        <v>899</v>
      </c>
      <c r="I253" t="s">
        <v>29</v>
      </c>
      <c r="J253" t="s">
        <v>43</v>
      </c>
      <c r="K253" t="s">
        <v>349</v>
      </c>
      <c r="L253" t="s">
        <v>892</v>
      </c>
      <c r="M253" t="s">
        <v>33</v>
      </c>
      <c r="N253" t="s">
        <v>59</v>
      </c>
      <c r="O253" t="s">
        <v>48</v>
      </c>
      <c r="P253" t="s">
        <v>60</v>
      </c>
      <c r="Q253" t="s">
        <v>61</v>
      </c>
      <c r="R253">
        <v>174</v>
      </c>
      <c r="S253">
        <v>1</v>
      </c>
      <c r="T253">
        <v>0</v>
      </c>
      <c r="U253" s="34" t="str">
        <f t="shared" si="22"/>
        <v>No Discount</v>
      </c>
      <c r="V253">
        <v>24.07</v>
      </c>
      <c r="W253" s="29">
        <f t="shared" si="23"/>
        <v>0.138333333333333</v>
      </c>
      <c r="X253">
        <v>24.16</v>
      </c>
      <c r="Y253" t="s">
        <v>38</v>
      </c>
      <c r="Z253" s="34" t="str">
        <f t="shared" si="24"/>
        <v>Small</v>
      </c>
    </row>
    <row r="254" spans="1:26">
      <c r="A254" t="s">
        <v>900</v>
      </c>
      <c r="B254" s="44">
        <v>44571</v>
      </c>
      <c r="C254" s="34">
        <f t="shared" si="19"/>
        <v>2022</v>
      </c>
      <c r="D254" s="34">
        <f t="shared" si="20"/>
        <v>1</v>
      </c>
      <c r="E254" s="34" t="str">
        <f t="shared" si="21"/>
        <v>January</v>
      </c>
      <c r="F254" s="44">
        <v>44573</v>
      </c>
      <c r="G254" t="s">
        <v>901</v>
      </c>
      <c r="H254" t="s">
        <v>902</v>
      </c>
      <c r="I254" t="s">
        <v>42</v>
      </c>
      <c r="J254" t="s">
        <v>43</v>
      </c>
      <c r="K254" t="s">
        <v>262</v>
      </c>
      <c r="L254" t="s">
        <v>568</v>
      </c>
      <c r="M254" t="s">
        <v>58</v>
      </c>
      <c r="N254" t="s">
        <v>189</v>
      </c>
      <c r="O254" t="s">
        <v>48</v>
      </c>
      <c r="P254" t="s">
        <v>190</v>
      </c>
      <c r="Q254" t="s">
        <v>191</v>
      </c>
      <c r="R254">
        <v>78.75</v>
      </c>
      <c r="S254">
        <v>3</v>
      </c>
      <c r="T254">
        <v>0.25</v>
      </c>
      <c r="U254" s="34" t="str">
        <f t="shared" si="22"/>
        <v>High</v>
      </c>
      <c r="V254">
        <v>-3.91</v>
      </c>
      <c r="W254" s="29">
        <f t="shared" si="23"/>
        <v>-0.0496507936507937</v>
      </c>
      <c r="X254">
        <v>39.29</v>
      </c>
      <c r="Y254" t="s">
        <v>137</v>
      </c>
      <c r="Z254" s="34" t="str">
        <f t="shared" si="24"/>
        <v>Small</v>
      </c>
    </row>
    <row r="255" spans="1:26">
      <c r="A255" t="s">
        <v>903</v>
      </c>
      <c r="B255" s="44">
        <v>44937</v>
      </c>
      <c r="C255" s="34">
        <f t="shared" si="19"/>
        <v>2023</v>
      </c>
      <c r="D255" s="34">
        <f t="shared" si="20"/>
        <v>1</v>
      </c>
      <c r="E255" s="34" t="str">
        <f t="shared" si="21"/>
        <v>January</v>
      </c>
      <c r="F255" s="44">
        <v>44939</v>
      </c>
      <c r="G255" t="s">
        <v>681</v>
      </c>
      <c r="H255" t="s">
        <v>682</v>
      </c>
      <c r="I255" t="s">
        <v>55</v>
      </c>
      <c r="J255" t="s">
        <v>43</v>
      </c>
      <c r="K255" t="s">
        <v>187</v>
      </c>
      <c r="L255" t="s">
        <v>662</v>
      </c>
      <c r="M255" t="s">
        <v>33</v>
      </c>
      <c r="N255" t="s">
        <v>533</v>
      </c>
      <c r="O255" t="s">
        <v>67</v>
      </c>
      <c r="P255" t="s">
        <v>119</v>
      </c>
      <c r="Q255" t="s">
        <v>534</v>
      </c>
      <c r="R255">
        <v>1538.6</v>
      </c>
      <c r="S255">
        <v>2</v>
      </c>
      <c r="T255">
        <v>0.3</v>
      </c>
      <c r="U255" s="34" t="str">
        <f t="shared" si="22"/>
        <v>High</v>
      </c>
      <c r="V255">
        <v>170.27</v>
      </c>
      <c r="W255" s="29">
        <f t="shared" si="23"/>
        <v>0.110665540101391</v>
      </c>
      <c r="X255">
        <v>47.87</v>
      </c>
      <c r="Y255" t="s">
        <v>62</v>
      </c>
      <c r="Z255" s="34" t="str">
        <f t="shared" si="24"/>
        <v>Medium</v>
      </c>
    </row>
    <row r="256" spans="1:26">
      <c r="A256" t="s">
        <v>904</v>
      </c>
      <c r="B256" s="44">
        <v>44488</v>
      </c>
      <c r="C256" s="34">
        <f t="shared" si="19"/>
        <v>2021</v>
      </c>
      <c r="D256" s="34">
        <f t="shared" si="20"/>
        <v>10</v>
      </c>
      <c r="E256" s="34" t="str">
        <f t="shared" si="21"/>
        <v>October</v>
      </c>
      <c r="F256" s="44">
        <v>44491</v>
      </c>
      <c r="G256" t="s">
        <v>144</v>
      </c>
      <c r="H256" t="s">
        <v>145</v>
      </c>
      <c r="I256" t="s">
        <v>55</v>
      </c>
      <c r="J256" t="s">
        <v>30</v>
      </c>
      <c r="K256" t="s">
        <v>146</v>
      </c>
      <c r="L256" t="s">
        <v>147</v>
      </c>
      <c r="M256" t="s">
        <v>33</v>
      </c>
      <c r="N256" t="s">
        <v>286</v>
      </c>
      <c r="O256" t="s">
        <v>35</v>
      </c>
      <c r="P256" t="s">
        <v>202</v>
      </c>
      <c r="Q256" t="s">
        <v>287</v>
      </c>
      <c r="R256">
        <v>149</v>
      </c>
      <c r="S256">
        <v>1</v>
      </c>
      <c r="T256">
        <v>0</v>
      </c>
      <c r="U256" s="34" t="str">
        <f t="shared" si="22"/>
        <v>No Discount</v>
      </c>
      <c r="V256">
        <v>22.48</v>
      </c>
      <c r="W256" s="29">
        <f t="shared" si="23"/>
        <v>0.150872483221477</v>
      </c>
      <c r="X256">
        <v>34.35</v>
      </c>
      <c r="Y256" t="s">
        <v>80</v>
      </c>
      <c r="Z256" s="34" t="str">
        <f t="shared" si="24"/>
        <v>Small</v>
      </c>
    </row>
    <row r="257" spans="1:26">
      <c r="A257" t="s">
        <v>905</v>
      </c>
      <c r="B257" s="44">
        <v>44103</v>
      </c>
      <c r="C257" s="34">
        <f t="shared" si="19"/>
        <v>2020</v>
      </c>
      <c r="D257" s="34">
        <f t="shared" si="20"/>
        <v>9</v>
      </c>
      <c r="E257" s="34" t="str">
        <f t="shared" si="21"/>
        <v>September</v>
      </c>
      <c r="F257" s="44">
        <v>44106</v>
      </c>
      <c r="G257" t="s">
        <v>906</v>
      </c>
      <c r="H257" t="s">
        <v>907</v>
      </c>
      <c r="I257" t="s">
        <v>55</v>
      </c>
      <c r="J257" t="s">
        <v>43</v>
      </c>
      <c r="K257" t="s">
        <v>472</v>
      </c>
      <c r="L257" t="s">
        <v>473</v>
      </c>
      <c r="M257" t="s">
        <v>58</v>
      </c>
      <c r="N257" t="s">
        <v>170</v>
      </c>
      <c r="O257" t="s">
        <v>48</v>
      </c>
      <c r="P257" t="s">
        <v>49</v>
      </c>
      <c r="Q257" t="s">
        <v>171</v>
      </c>
      <c r="R257">
        <v>141.55</v>
      </c>
      <c r="S257">
        <v>1</v>
      </c>
      <c r="T257">
        <v>0.05</v>
      </c>
      <c r="U257" s="34" t="str">
        <f t="shared" si="22"/>
        <v>Low</v>
      </c>
      <c r="V257">
        <v>16.28</v>
      </c>
      <c r="W257" s="29">
        <f t="shared" si="23"/>
        <v>0.115012363122572</v>
      </c>
      <c r="X257">
        <v>49.53</v>
      </c>
      <c r="Y257" t="s">
        <v>137</v>
      </c>
      <c r="Z257" s="34" t="str">
        <f t="shared" si="24"/>
        <v>Small</v>
      </c>
    </row>
    <row r="258" spans="1:26">
      <c r="A258" t="s">
        <v>908</v>
      </c>
      <c r="B258" s="44">
        <v>44497</v>
      </c>
      <c r="C258" s="34">
        <f t="shared" ref="C258:C321" si="25">YEAR(B258)</f>
        <v>2021</v>
      </c>
      <c r="D258" s="34">
        <f t="shared" ref="D258:D321" si="26">MONTH(B258)</f>
        <v>10</v>
      </c>
      <c r="E258" s="34" t="str">
        <f t="shared" ref="E258:E321" si="27">TEXT(B258,"mmmm")</f>
        <v>October</v>
      </c>
      <c r="F258" s="44">
        <v>44500</v>
      </c>
      <c r="G258" t="s">
        <v>64</v>
      </c>
      <c r="H258" t="s">
        <v>65</v>
      </c>
      <c r="I258" t="s">
        <v>42</v>
      </c>
      <c r="J258" t="s">
        <v>43</v>
      </c>
      <c r="K258" t="s">
        <v>31</v>
      </c>
      <c r="L258" t="s">
        <v>32</v>
      </c>
      <c r="M258" t="s">
        <v>33</v>
      </c>
      <c r="N258" t="s">
        <v>141</v>
      </c>
      <c r="O258" t="s">
        <v>35</v>
      </c>
      <c r="P258" t="s">
        <v>111</v>
      </c>
      <c r="Q258" t="s">
        <v>142</v>
      </c>
      <c r="R258">
        <v>670.5</v>
      </c>
      <c r="S258">
        <v>5</v>
      </c>
      <c r="T258">
        <v>0.1</v>
      </c>
      <c r="U258" s="34" t="str">
        <f t="shared" ref="U258:U321" si="28">IF(T258=0,"No Discount",IF(T258&lt;=0.1,"Low",IF(T258&lt;=0.2,"Medium","High")))</f>
        <v>Low</v>
      </c>
      <c r="V258">
        <v>163.6</v>
      </c>
      <c r="W258" s="29">
        <f t="shared" ref="W258:W321" si="29">V258/R258</f>
        <v>0.24399701715138</v>
      </c>
      <c r="X258">
        <v>13.42</v>
      </c>
      <c r="Y258" t="s">
        <v>121</v>
      </c>
      <c r="Z258" s="34" t="str">
        <f t="shared" ref="Z258:Z321" si="30">IF(R258&lt;500,"Small",IF(R258&lt;=2000,"Medium","Large"))</f>
        <v>Medium</v>
      </c>
    </row>
    <row r="259" spans="1:26">
      <c r="A259" t="s">
        <v>909</v>
      </c>
      <c r="B259" s="44">
        <v>44557</v>
      </c>
      <c r="C259" s="34">
        <f t="shared" si="25"/>
        <v>2021</v>
      </c>
      <c r="D259" s="34">
        <f t="shared" si="26"/>
        <v>12</v>
      </c>
      <c r="E259" s="34" t="str">
        <f t="shared" si="27"/>
        <v>December</v>
      </c>
      <c r="F259" s="44">
        <v>44563</v>
      </c>
      <c r="G259" t="s">
        <v>144</v>
      </c>
      <c r="H259" t="s">
        <v>145</v>
      </c>
      <c r="I259" t="s">
        <v>55</v>
      </c>
      <c r="J259" t="s">
        <v>30</v>
      </c>
      <c r="K259" t="s">
        <v>146</v>
      </c>
      <c r="L259" t="s">
        <v>147</v>
      </c>
      <c r="M259" t="s">
        <v>33</v>
      </c>
      <c r="N259" t="s">
        <v>670</v>
      </c>
      <c r="O259" t="s">
        <v>48</v>
      </c>
      <c r="P259" t="s">
        <v>49</v>
      </c>
      <c r="Q259" t="s">
        <v>671</v>
      </c>
      <c r="R259">
        <v>392</v>
      </c>
      <c r="S259">
        <v>5</v>
      </c>
      <c r="T259">
        <v>0.2</v>
      </c>
      <c r="U259" s="34" t="str">
        <f t="shared" si="28"/>
        <v>Medium</v>
      </c>
      <c r="V259">
        <v>34.43</v>
      </c>
      <c r="W259" s="29">
        <f t="shared" si="29"/>
        <v>0.0878316326530612</v>
      </c>
      <c r="X259">
        <v>42.04</v>
      </c>
      <c r="Y259" t="s">
        <v>121</v>
      </c>
      <c r="Z259" s="34" t="str">
        <f t="shared" si="30"/>
        <v>Small</v>
      </c>
    </row>
    <row r="260" spans="1:26">
      <c r="A260" t="s">
        <v>910</v>
      </c>
      <c r="B260" s="44">
        <v>45162</v>
      </c>
      <c r="C260" s="34">
        <f t="shared" si="25"/>
        <v>2023</v>
      </c>
      <c r="D260" s="34">
        <f t="shared" si="26"/>
        <v>8</v>
      </c>
      <c r="E260" s="34" t="str">
        <f t="shared" si="27"/>
        <v>August</v>
      </c>
      <c r="F260" s="44">
        <v>45164</v>
      </c>
      <c r="G260" t="s">
        <v>911</v>
      </c>
      <c r="H260" t="s">
        <v>912</v>
      </c>
      <c r="I260" t="s">
        <v>55</v>
      </c>
      <c r="J260" t="s">
        <v>43</v>
      </c>
      <c r="K260" t="s">
        <v>175</v>
      </c>
      <c r="L260" t="s">
        <v>738</v>
      </c>
      <c r="M260" t="s">
        <v>46</v>
      </c>
      <c r="N260" t="s">
        <v>868</v>
      </c>
      <c r="O260" t="s">
        <v>48</v>
      </c>
      <c r="P260" t="s">
        <v>190</v>
      </c>
      <c r="Q260" t="s">
        <v>869</v>
      </c>
      <c r="R260">
        <v>506.6</v>
      </c>
      <c r="S260">
        <v>4</v>
      </c>
      <c r="T260">
        <v>0.15</v>
      </c>
      <c r="U260" s="34" t="str">
        <f t="shared" si="28"/>
        <v>Medium</v>
      </c>
      <c r="V260">
        <v>90.07</v>
      </c>
      <c r="W260" s="29">
        <f t="shared" si="29"/>
        <v>0.177793130675089</v>
      </c>
      <c r="X260">
        <v>37.51</v>
      </c>
      <c r="Y260" t="s">
        <v>38</v>
      </c>
      <c r="Z260" s="34" t="str">
        <f t="shared" si="30"/>
        <v>Medium</v>
      </c>
    </row>
    <row r="261" spans="1:26">
      <c r="A261" t="s">
        <v>913</v>
      </c>
      <c r="B261" s="44">
        <v>45291</v>
      </c>
      <c r="C261" s="34">
        <f t="shared" si="25"/>
        <v>2023</v>
      </c>
      <c r="D261" s="34">
        <f t="shared" si="26"/>
        <v>12</v>
      </c>
      <c r="E261" s="34" t="str">
        <f t="shared" si="27"/>
        <v>December</v>
      </c>
      <c r="F261" s="44">
        <v>45293</v>
      </c>
      <c r="G261" t="s">
        <v>914</v>
      </c>
      <c r="H261" t="s">
        <v>915</v>
      </c>
      <c r="I261" t="s">
        <v>55</v>
      </c>
      <c r="J261" t="s">
        <v>43</v>
      </c>
      <c r="K261" t="s">
        <v>56</v>
      </c>
      <c r="L261" t="s">
        <v>493</v>
      </c>
      <c r="M261" t="s">
        <v>58</v>
      </c>
      <c r="N261" t="s">
        <v>235</v>
      </c>
      <c r="O261" t="s">
        <v>35</v>
      </c>
      <c r="P261" t="s">
        <v>78</v>
      </c>
      <c r="Q261" t="s">
        <v>236</v>
      </c>
      <c r="R261">
        <v>1098</v>
      </c>
      <c r="S261">
        <v>2</v>
      </c>
      <c r="T261">
        <v>0</v>
      </c>
      <c r="U261" s="34" t="str">
        <f t="shared" si="28"/>
        <v>No Discount</v>
      </c>
      <c r="V261">
        <v>0</v>
      </c>
      <c r="W261" s="29">
        <f t="shared" si="29"/>
        <v>0</v>
      </c>
      <c r="X261">
        <v>22.05</v>
      </c>
      <c r="Y261" t="s">
        <v>80</v>
      </c>
      <c r="Z261" s="34" t="str">
        <f t="shared" si="30"/>
        <v>Medium</v>
      </c>
    </row>
    <row r="262" spans="1:26">
      <c r="A262" t="s">
        <v>916</v>
      </c>
      <c r="B262" s="44">
        <v>44134</v>
      </c>
      <c r="C262" s="34">
        <f t="shared" si="25"/>
        <v>2020</v>
      </c>
      <c r="D262" s="34">
        <f t="shared" si="26"/>
        <v>10</v>
      </c>
      <c r="E262" s="34" t="str">
        <f t="shared" si="27"/>
        <v>October</v>
      </c>
      <c r="F262" s="44">
        <v>44135</v>
      </c>
      <c r="G262" t="s">
        <v>573</v>
      </c>
      <c r="H262" t="s">
        <v>574</v>
      </c>
      <c r="I262" t="s">
        <v>55</v>
      </c>
      <c r="J262" t="s">
        <v>43</v>
      </c>
      <c r="K262" t="s">
        <v>180</v>
      </c>
      <c r="L262" t="s">
        <v>291</v>
      </c>
      <c r="M262" t="s">
        <v>46</v>
      </c>
      <c r="N262" t="s">
        <v>66</v>
      </c>
      <c r="O262" t="s">
        <v>67</v>
      </c>
      <c r="P262" t="s">
        <v>68</v>
      </c>
      <c r="Q262" t="s">
        <v>69</v>
      </c>
      <c r="R262">
        <v>2397</v>
      </c>
      <c r="S262">
        <v>3</v>
      </c>
      <c r="T262">
        <v>0</v>
      </c>
      <c r="U262" s="34" t="str">
        <f t="shared" si="28"/>
        <v>No Discount</v>
      </c>
      <c r="V262">
        <v>356.09</v>
      </c>
      <c r="W262" s="29">
        <f t="shared" si="29"/>
        <v>0.148556528994577</v>
      </c>
      <c r="X262">
        <v>11.54</v>
      </c>
      <c r="Y262" t="s">
        <v>96</v>
      </c>
      <c r="Z262" s="34" t="str">
        <f t="shared" si="30"/>
        <v>Large</v>
      </c>
    </row>
    <row r="263" spans="1:26">
      <c r="A263" t="s">
        <v>917</v>
      </c>
      <c r="B263" s="44">
        <v>44855</v>
      </c>
      <c r="C263" s="34">
        <f t="shared" si="25"/>
        <v>2022</v>
      </c>
      <c r="D263" s="34">
        <f t="shared" si="26"/>
        <v>10</v>
      </c>
      <c r="E263" s="34" t="str">
        <f t="shared" si="27"/>
        <v>October</v>
      </c>
      <c r="F263" s="44">
        <v>44857</v>
      </c>
      <c r="G263" t="s">
        <v>98</v>
      </c>
      <c r="H263" t="s">
        <v>99</v>
      </c>
      <c r="I263" t="s">
        <v>55</v>
      </c>
      <c r="J263" t="s">
        <v>43</v>
      </c>
      <c r="K263" t="s">
        <v>100</v>
      </c>
      <c r="L263" t="s">
        <v>101</v>
      </c>
      <c r="M263" t="s">
        <v>33</v>
      </c>
      <c r="N263" t="s">
        <v>162</v>
      </c>
      <c r="O263" t="s">
        <v>35</v>
      </c>
      <c r="P263" t="s">
        <v>163</v>
      </c>
      <c r="Q263" t="s">
        <v>164</v>
      </c>
      <c r="R263">
        <v>1317.6</v>
      </c>
      <c r="S263">
        <v>3</v>
      </c>
      <c r="T263">
        <v>0.2</v>
      </c>
      <c r="U263" s="34" t="str">
        <f t="shared" si="28"/>
        <v>Medium</v>
      </c>
      <c r="V263">
        <v>252.22</v>
      </c>
      <c r="W263" s="29">
        <f t="shared" si="29"/>
        <v>0.19142380085003</v>
      </c>
      <c r="X263">
        <v>37.66</v>
      </c>
      <c r="Y263" t="s">
        <v>137</v>
      </c>
      <c r="Z263" s="34" t="str">
        <f t="shared" si="30"/>
        <v>Medium</v>
      </c>
    </row>
    <row r="264" spans="1:26">
      <c r="A264" t="s">
        <v>918</v>
      </c>
      <c r="B264" s="44">
        <v>45381</v>
      </c>
      <c r="C264" s="34">
        <f t="shared" si="25"/>
        <v>2024</v>
      </c>
      <c r="D264" s="34">
        <f t="shared" si="26"/>
        <v>3</v>
      </c>
      <c r="E264" s="34" t="str">
        <f t="shared" si="27"/>
        <v>March</v>
      </c>
      <c r="F264" s="44">
        <v>45382</v>
      </c>
      <c r="G264" t="s">
        <v>919</v>
      </c>
      <c r="H264" t="s">
        <v>857</v>
      </c>
      <c r="I264" t="s">
        <v>29</v>
      </c>
      <c r="J264" t="s">
        <v>43</v>
      </c>
      <c r="K264" t="s">
        <v>100</v>
      </c>
      <c r="L264" t="s">
        <v>590</v>
      </c>
      <c r="M264" t="s">
        <v>33</v>
      </c>
      <c r="N264" t="s">
        <v>110</v>
      </c>
      <c r="O264" t="s">
        <v>35</v>
      </c>
      <c r="P264" t="s">
        <v>111</v>
      </c>
      <c r="Q264" t="s">
        <v>112</v>
      </c>
      <c r="R264">
        <v>477.6</v>
      </c>
      <c r="S264">
        <v>3</v>
      </c>
      <c r="T264">
        <v>0.2</v>
      </c>
      <c r="U264" s="34" t="str">
        <f t="shared" si="28"/>
        <v>Medium</v>
      </c>
      <c r="V264">
        <v>58.45</v>
      </c>
      <c r="W264" s="29">
        <f t="shared" si="29"/>
        <v>0.122382747068677</v>
      </c>
      <c r="X264">
        <v>43.96</v>
      </c>
      <c r="Y264" t="s">
        <v>137</v>
      </c>
      <c r="Z264" s="34" t="str">
        <f t="shared" si="30"/>
        <v>Small</v>
      </c>
    </row>
    <row r="265" spans="1:26">
      <c r="A265" t="s">
        <v>920</v>
      </c>
      <c r="B265" s="44">
        <v>45170</v>
      </c>
      <c r="C265" s="34">
        <f t="shared" si="25"/>
        <v>2023</v>
      </c>
      <c r="D265" s="34">
        <f t="shared" si="26"/>
        <v>9</v>
      </c>
      <c r="E265" s="34" t="str">
        <f t="shared" si="27"/>
        <v>September</v>
      </c>
      <c r="F265" s="44">
        <v>45176</v>
      </c>
      <c r="G265" t="s">
        <v>921</v>
      </c>
      <c r="H265" t="s">
        <v>922</v>
      </c>
      <c r="I265" t="s">
        <v>55</v>
      </c>
      <c r="J265" t="s">
        <v>43</v>
      </c>
      <c r="K265" t="s">
        <v>199</v>
      </c>
      <c r="L265" t="s">
        <v>851</v>
      </c>
      <c r="M265" t="s">
        <v>46</v>
      </c>
      <c r="N265" t="s">
        <v>409</v>
      </c>
      <c r="O265" t="s">
        <v>48</v>
      </c>
      <c r="P265" t="s">
        <v>60</v>
      </c>
      <c r="Q265" t="s">
        <v>410</v>
      </c>
      <c r="R265">
        <v>93.6</v>
      </c>
      <c r="S265">
        <v>3</v>
      </c>
      <c r="T265">
        <v>0.2</v>
      </c>
      <c r="U265" s="34" t="str">
        <f t="shared" si="28"/>
        <v>Medium</v>
      </c>
      <c r="V265">
        <v>16.67</v>
      </c>
      <c r="W265" s="29">
        <f t="shared" si="29"/>
        <v>0.178098290598291</v>
      </c>
      <c r="X265">
        <v>13.07</v>
      </c>
      <c r="Y265" t="s">
        <v>80</v>
      </c>
      <c r="Z265" s="34" t="str">
        <f t="shared" si="30"/>
        <v>Small</v>
      </c>
    </row>
    <row r="266" spans="1:26">
      <c r="A266" t="s">
        <v>923</v>
      </c>
      <c r="B266" s="44">
        <v>45317</v>
      </c>
      <c r="C266" s="34">
        <f t="shared" si="25"/>
        <v>2024</v>
      </c>
      <c r="D266" s="34">
        <f t="shared" si="26"/>
        <v>1</v>
      </c>
      <c r="E266" s="34" t="str">
        <f t="shared" si="27"/>
        <v>January</v>
      </c>
      <c r="F266" s="44">
        <v>45322</v>
      </c>
      <c r="G266" t="s">
        <v>924</v>
      </c>
      <c r="H266" t="s">
        <v>925</v>
      </c>
      <c r="I266" t="s">
        <v>42</v>
      </c>
      <c r="J266" t="s">
        <v>43</v>
      </c>
      <c r="K266" t="s">
        <v>438</v>
      </c>
      <c r="L266" t="s">
        <v>439</v>
      </c>
      <c r="M266" t="s">
        <v>76</v>
      </c>
      <c r="N266" t="s">
        <v>474</v>
      </c>
      <c r="O266" t="s">
        <v>35</v>
      </c>
      <c r="P266" t="s">
        <v>78</v>
      </c>
      <c r="Q266" t="s">
        <v>475</v>
      </c>
      <c r="R266">
        <v>4076.6</v>
      </c>
      <c r="S266">
        <v>4</v>
      </c>
      <c r="T266">
        <v>0.15</v>
      </c>
      <c r="U266" s="34" t="str">
        <f t="shared" si="28"/>
        <v>Medium</v>
      </c>
      <c r="V266">
        <v>890.53</v>
      </c>
      <c r="W266" s="29">
        <f t="shared" si="29"/>
        <v>0.218449197860963</v>
      </c>
      <c r="X266">
        <v>21.07</v>
      </c>
      <c r="Y266" t="s">
        <v>137</v>
      </c>
      <c r="Z266" s="34" t="str">
        <f t="shared" si="30"/>
        <v>Large</v>
      </c>
    </row>
    <row r="267" spans="1:26">
      <c r="A267" t="s">
        <v>926</v>
      </c>
      <c r="B267" s="44">
        <v>44034</v>
      </c>
      <c r="C267" s="34">
        <f t="shared" si="25"/>
        <v>2020</v>
      </c>
      <c r="D267" s="34">
        <f t="shared" si="26"/>
        <v>7</v>
      </c>
      <c r="E267" s="34" t="str">
        <f t="shared" si="27"/>
        <v>July</v>
      </c>
      <c r="F267" s="44">
        <v>44039</v>
      </c>
      <c r="G267" t="s">
        <v>687</v>
      </c>
      <c r="H267" t="s">
        <v>688</v>
      </c>
      <c r="I267" t="s">
        <v>42</v>
      </c>
      <c r="J267" t="s">
        <v>30</v>
      </c>
      <c r="K267" t="s">
        <v>213</v>
      </c>
      <c r="L267" t="s">
        <v>408</v>
      </c>
      <c r="M267" t="s">
        <v>33</v>
      </c>
      <c r="N267" t="s">
        <v>77</v>
      </c>
      <c r="O267" t="s">
        <v>35</v>
      </c>
      <c r="P267" t="s">
        <v>78</v>
      </c>
      <c r="Q267" t="s">
        <v>79</v>
      </c>
      <c r="R267">
        <v>2511</v>
      </c>
      <c r="S267">
        <v>2</v>
      </c>
      <c r="T267">
        <v>0.1</v>
      </c>
      <c r="U267" s="34" t="str">
        <f t="shared" si="28"/>
        <v>Low</v>
      </c>
      <c r="V267">
        <v>624.31</v>
      </c>
      <c r="W267" s="29">
        <f t="shared" si="29"/>
        <v>0.24863002787734</v>
      </c>
      <c r="X267">
        <v>11.48</v>
      </c>
      <c r="Y267" t="s">
        <v>137</v>
      </c>
      <c r="Z267" s="34" t="str">
        <f t="shared" si="30"/>
        <v>Large</v>
      </c>
    </row>
    <row r="268" spans="1:26">
      <c r="A268" t="s">
        <v>927</v>
      </c>
      <c r="B268" s="44">
        <v>44209</v>
      </c>
      <c r="C268" s="34">
        <f t="shared" si="25"/>
        <v>2021</v>
      </c>
      <c r="D268" s="34">
        <f t="shared" si="26"/>
        <v>1</v>
      </c>
      <c r="E268" s="34" t="str">
        <f t="shared" si="27"/>
        <v>January</v>
      </c>
      <c r="F268" s="44">
        <v>44212</v>
      </c>
      <c r="G268" t="s">
        <v>928</v>
      </c>
      <c r="H268" t="s">
        <v>929</v>
      </c>
      <c r="I268" t="s">
        <v>55</v>
      </c>
      <c r="J268" t="s">
        <v>43</v>
      </c>
      <c r="K268" t="s">
        <v>133</v>
      </c>
      <c r="L268" t="s">
        <v>753</v>
      </c>
      <c r="M268" t="s">
        <v>33</v>
      </c>
      <c r="N268" t="s">
        <v>421</v>
      </c>
      <c r="O268" t="s">
        <v>67</v>
      </c>
      <c r="P268" t="s">
        <v>252</v>
      </c>
      <c r="Q268" t="s">
        <v>422</v>
      </c>
      <c r="R268">
        <v>2910.4</v>
      </c>
      <c r="S268">
        <v>4</v>
      </c>
      <c r="T268">
        <v>0.15</v>
      </c>
      <c r="U268" s="34" t="str">
        <f t="shared" si="28"/>
        <v>Medium</v>
      </c>
      <c r="V268">
        <v>432.54</v>
      </c>
      <c r="W268" s="29">
        <f t="shared" si="29"/>
        <v>0.148618746564046</v>
      </c>
      <c r="X268">
        <v>13.4</v>
      </c>
      <c r="Y268" t="s">
        <v>96</v>
      </c>
      <c r="Z268" s="34" t="str">
        <f t="shared" si="30"/>
        <v>Large</v>
      </c>
    </row>
    <row r="269" spans="1:26">
      <c r="A269" t="s">
        <v>930</v>
      </c>
      <c r="B269" s="44">
        <v>45612</v>
      </c>
      <c r="C269" s="34">
        <f t="shared" si="25"/>
        <v>2024</v>
      </c>
      <c r="D269" s="34">
        <f t="shared" si="26"/>
        <v>11</v>
      </c>
      <c r="E269" s="34" t="str">
        <f t="shared" si="27"/>
        <v>November</v>
      </c>
      <c r="F269" s="44">
        <v>45616</v>
      </c>
      <c r="G269" t="s">
        <v>450</v>
      </c>
      <c r="H269" t="s">
        <v>451</v>
      </c>
      <c r="I269" t="s">
        <v>42</v>
      </c>
      <c r="J269" t="s">
        <v>43</v>
      </c>
      <c r="K269" t="s">
        <v>199</v>
      </c>
      <c r="L269" t="s">
        <v>396</v>
      </c>
      <c r="M269" t="s">
        <v>46</v>
      </c>
      <c r="N269" t="s">
        <v>321</v>
      </c>
      <c r="O269" t="s">
        <v>48</v>
      </c>
      <c r="P269" t="s">
        <v>190</v>
      </c>
      <c r="Q269" t="s">
        <v>322</v>
      </c>
      <c r="R269">
        <v>56.05</v>
      </c>
      <c r="S269">
        <v>1</v>
      </c>
      <c r="T269">
        <v>0.05</v>
      </c>
      <c r="U269" s="34" t="str">
        <f t="shared" si="28"/>
        <v>Low</v>
      </c>
      <c r="V269">
        <v>9.01</v>
      </c>
      <c r="W269" s="29">
        <f t="shared" si="29"/>
        <v>0.160749330954505</v>
      </c>
      <c r="X269">
        <v>7.34</v>
      </c>
      <c r="Y269" t="s">
        <v>121</v>
      </c>
      <c r="Z269" s="34" t="str">
        <f t="shared" si="30"/>
        <v>Small</v>
      </c>
    </row>
    <row r="270" spans="1:26">
      <c r="A270" t="s">
        <v>931</v>
      </c>
      <c r="B270" s="44">
        <v>44307</v>
      </c>
      <c r="C270" s="34">
        <f t="shared" si="25"/>
        <v>2021</v>
      </c>
      <c r="D270" s="34">
        <f t="shared" si="26"/>
        <v>4</v>
      </c>
      <c r="E270" s="34" t="str">
        <f t="shared" si="27"/>
        <v>April</v>
      </c>
      <c r="F270" s="44">
        <v>44311</v>
      </c>
      <c r="G270" t="s">
        <v>789</v>
      </c>
      <c r="H270" t="s">
        <v>790</v>
      </c>
      <c r="I270" t="s">
        <v>55</v>
      </c>
      <c r="J270" t="s">
        <v>43</v>
      </c>
      <c r="K270" t="s">
        <v>100</v>
      </c>
      <c r="L270" t="s">
        <v>420</v>
      </c>
      <c r="M270" t="s">
        <v>33</v>
      </c>
      <c r="N270" t="s">
        <v>148</v>
      </c>
      <c r="O270" t="s">
        <v>48</v>
      </c>
      <c r="P270" t="s">
        <v>60</v>
      </c>
      <c r="Q270" t="s">
        <v>149</v>
      </c>
      <c r="R270">
        <v>115.5</v>
      </c>
      <c r="S270">
        <v>3</v>
      </c>
      <c r="T270">
        <v>0.3</v>
      </c>
      <c r="U270" s="34" t="str">
        <f t="shared" si="28"/>
        <v>High</v>
      </c>
      <c r="V270">
        <v>9.43</v>
      </c>
      <c r="W270" s="29">
        <f t="shared" si="29"/>
        <v>0.0816450216450216</v>
      </c>
      <c r="X270">
        <v>7.06</v>
      </c>
      <c r="Y270" t="s">
        <v>96</v>
      </c>
      <c r="Z270" s="34" t="str">
        <f t="shared" si="30"/>
        <v>Small</v>
      </c>
    </row>
    <row r="271" spans="1:26">
      <c r="A271" t="s">
        <v>932</v>
      </c>
      <c r="B271" s="44">
        <v>44435</v>
      </c>
      <c r="C271" s="34">
        <f t="shared" si="25"/>
        <v>2021</v>
      </c>
      <c r="D271" s="34">
        <f t="shared" si="26"/>
        <v>8</v>
      </c>
      <c r="E271" s="34" t="str">
        <f t="shared" si="27"/>
        <v>August</v>
      </c>
      <c r="F271" s="44">
        <v>44439</v>
      </c>
      <c r="G271" t="s">
        <v>619</v>
      </c>
      <c r="H271" t="s">
        <v>620</v>
      </c>
      <c r="I271" t="s">
        <v>55</v>
      </c>
      <c r="J271" t="s">
        <v>43</v>
      </c>
      <c r="K271" t="s">
        <v>168</v>
      </c>
      <c r="L271" t="s">
        <v>621</v>
      </c>
      <c r="M271" t="s">
        <v>76</v>
      </c>
      <c r="N271" t="s">
        <v>505</v>
      </c>
      <c r="O271" t="s">
        <v>67</v>
      </c>
      <c r="P271" t="s">
        <v>119</v>
      </c>
      <c r="Q271" t="s">
        <v>506</v>
      </c>
      <c r="R271">
        <v>5520.75</v>
      </c>
      <c r="S271">
        <v>5</v>
      </c>
      <c r="T271">
        <v>0.15</v>
      </c>
      <c r="U271" s="34" t="str">
        <f t="shared" si="28"/>
        <v>Medium</v>
      </c>
      <c r="V271">
        <v>823.5</v>
      </c>
      <c r="W271" s="29">
        <f t="shared" si="29"/>
        <v>0.149164515690803</v>
      </c>
      <c r="X271">
        <v>15.36</v>
      </c>
      <c r="Y271" t="s">
        <v>62</v>
      </c>
      <c r="Z271" s="34" t="str">
        <f t="shared" si="30"/>
        <v>Large</v>
      </c>
    </row>
    <row r="272" spans="1:26">
      <c r="A272" t="s">
        <v>933</v>
      </c>
      <c r="B272" s="44">
        <v>44463</v>
      </c>
      <c r="C272" s="34">
        <f t="shared" si="25"/>
        <v>2021</v>
      </c>
      <c r="D272" s="34">
        <f t="shared" si="26"/>
        <v>9</v>
      </c>
      <c r="E272" s="34" t="str">
        <f t="shared" si="27"/>
        <v>September</v>
      </c>
      <c r="F272" s="44">
        <v>44465</v>
      </c>
      <c r="G272" t="s">
        <v>934</v>
      </c>
      <c r="H272" t="s">
        <v>935</v>
      </c>
      <c r="I272" t="s">
        <v>42</v>
      </c>
      <c r="J272" t="s">
        <v>43</v>
      </c>
      <c r="K272" t="s">
        <v>133</v>
      </c>
      <c r="L272" t="s">
        <v>134</v>
      </c>
      <c r="M272" t="s">
        <v>33</v>
      </c>
      <c r="N272" t="s">
        <v>315</v>
      </c>
      <c r="O272" t="s">
        <v>67</v>
      </c>
      <c r="P272" t="s">
        <v>252</v>
      </c>
      <c r="Q272" t="s">
        <v>316</v>
      </c>
      <c r="R272">
        <v>2580.2</v>
      </c>
      <c r="S272">
        <v>4</v>
      </c>
      <c r="T272">
        <v>0.05</v>
      </c>
      <c r="U272" s="34" t="str">
        <f t="shared" si="28"/>
        <v>Low</v>
      </c>
      <c r="V272">
        <v>377.16</v>
      </c>
      <c r="W272" s="29">
        <f t="shared" si="29"/>
        <v>0.146174715138361</v>
      </c>
      <c r="X272">
        <v>32.89</v>
      </c>
      <c r="Y272" t="s">
        <v>51</v>
      </c>
      <c r="Z272" s="34" t="str">
        <f t="shared" si="30"/>
        <v>Large</v>
      </c>
    </row>
    <row r="273" spans="1:26">
      <c r="A273" t="s">
        <v>936</v>
      </c>
      <c r="B273" s="44">
        <v>45238</v>
      </c>
      <c r="C273" s="34">
        <f t="shared" si="25"/>
        <v>2023</v>
      </c>
      <c r="D273" s="34">
        <f t="shared" si="26"/>
        <v>11</v>
      </c>
      <c r="E273" s="34" t="str">
        <f t="shared" si="27"/>
        <v>November</v>
      </c>
      <c r="F273" s="44">
        <v>45240</v>
      </c>
      <c r="G273" t="s">
        <v>626</v>
      </c>
      <c r="H273" t="s">
        <v>627</v>
      </c>
      <c r="I273" t="s">
        <v>29</v>
      </c>
      <c r="J273" t="s">
        <v>43</v>
      </c>
      <c r="K273" t="s">
        <v>245</v>
      </c>
      <c r="L273" t="s">
        <v>511</v>
      </c>
      <c r="M273" t="s">
        <v>76</v>
      </c>
      <c r="N273" t="s">
        <v>837</v>
      </c>
      <c r="O273" t="s">
        <v>35</v>
      </c>
      <c r="P273" t="s">
        <v>111</v>
      </c>
      <c r="Q273" t="s">
        <v>838</v>
      </c>
      <c r="R273">
        <v>161.1</v>
      </c>
      <c r="S273">
        <v>1</v>
      </c>
      <c r="T273">
        <v>0.1</v>
      </c>
      <c r="U273" s="34" t="str">
        <f t="shared" si="28"/>
        <v>Low</v>
      </c>
      <c r="V273">
        <v>30.32</v>
      </c>
      <c r="W273" s="29">
        <f t="shared" si="29"/>
        <v>0.18820608317815</v>
      </c>
      <c r="X273">
        <v>17.06</v>
      </c>
      <c r="Y273" t="s">
        <v>38</v>
      </c>
      <c r="Z273" s="34" t="str">
        <f t="shared" si="30"/>
        <v>Small</v>
      </c>
    </row>
    <row r="274" spans="1:26">
      <c r="A274" t="s">
        <v>937</v>
      </c>
      <c r="B274" s="44">
        <v>44038</v>
      </c>
      <c r="C274" s="34">
        <f t="shared" si="25"/>
        <v>2020</v>
      </c>
      <c r="D274" s="34">
        <f t="shared" si="26"/>
        <v>7</v>
      </c>
      <c r="E274" s="34" t="str">
        <f t="shared" si="27"/>
        <v>July</v>
      </c>
      <c r="F274" s="44">
        <v>44044</v>
      </c>
      <c r="G274" t="s">
        <v>660</v>
      </c>
      <c r="H274" t="s">
        <v>661</v>
      </c>
      <c r="I274" t="s">
        <v>42</v>
      </c>
      <c r="J274" t="s">
        <v>43</v>
      </c>
      <c r="K274" t="s">
        <v>187</v>
      </c>
      <c r="L274" t="s">
        <v>662</v>
      </c>
      <c r="M274" t="s">
        <v>33</v>
      </c>
      <c r="N274" t="s">
        <v>315</v>
      </c>
      <c r="O274" t="s">
        <v>67</v>
      </c>
      <c r="P274" t="s">
        <v>252</v>
      </c>
      <c r="Q274" t="s">
        <v>316</v>
      </c>
      <c r="R274">
        <v>950.6</v>
      </c>
      <c r="S274">
        <v>2</v>
      </c>
      <c r="T274">
        <v>0.3</v>
      </c>
      <c r="U274" s="34" t="str">
        <f t="shared" si="28"/>
        <v>High</v>
      </c>
      <c r="V274">
        <v>202.43</v>
      </c>
      <c r="W274" s="29">
        <f t="shared" si="29"/>
        <v>0.212949715968862</v>
      </c>
      <c r="X274">
        <v>22.34</v>
      </c>
      <c r="Y274" t="s">
        <v>121</v>
      </c>
      <c r="Z274" s="34" t="str">
        <f t="shared" si="30"/>
        <v>Medium</v>
      </c>
    </row>
    <row r="275" spans="1:26">
      <c r="A275" t="s">
        <v>938</v>
      </c>
      <c r="B275" s="44">
        <v>45535</v>
      </c>
      <c r="C275" s="34">
        <f t="shared" si="25"/>
        <v>2024</v>
      </c>
      <c r="D275" s="34">
        <f t="shared" si="26"/>
        <v>8</v>
      </c>
      <c r="E275" s="34" t="str">
        <f t="shared" si="27"/>
        <v>August</v>
      </c>
      <c r="F275" s="44">
        <v>45541</v>
      </c>
      <c r="G275" t="s">
        <v>914</v>
      </c>
      <c r="H275" t="s">
        <v>915</v>
      </c>
      <c r="I275" t="s">
        <v>55</v>
      </c>
      <c r="J275" t="s">
        <v>43</v>
      </c>
      <c r="K275" t="s">
        <v>56</v>
      </c>
      <c r="L275" t="s">
        <v>493</v>
      </c>
      <c r="M275" t="s">
        <v>58</v>
      </c>
      <c r="N275" t="s">
        <v>582</v>
      </c>
      <c r="O275" t="s">
        <v>35</v>
      </c>
      <c r="P275" t="s">
        <v>78</v>
      </c>
      <c r="Q275" t="s">
        <v>583</v>
      </c>
      <c r="R275">
        <v>1871.25</v>
      </c>
      <c r="S275">
        <v>5</v>
      </c>
      <c r="T275">
        <v>0.25</v>
      </c>
      <c r="U275" s="34" t="str">
        <f t="shared" si="28"/>
        <v>High</v>
      </c>
      <c r="V275">
        <v>183.36</v>
      </c>
      <c r="W275" s="29">
        <f t="shared" si="29"/>
        <v>0.0979879759519038</v>
      </c>
      <c r="X275">
        <v>12.56</v>
      </c>
      <c r="Y275" t="s">
        <v>137</v>
      </c>
      <c r="Z275" s="34" t="str">
        <f t="shared" si="30"/>
        <v>Medium</v>
      </c>
    </row>
    <row r="276" spans="1:26">
      <c r="A276" t="s">
        <v>939</v>
      </c>
      <c r="B276" s="44">
        <v>44699</v>
      </c>
      <c r="C276" s="34">
        <f t="shared" si="25"/>
        <v>2022</v>
      </c>
      <c r="D276" s="34">
        <f t="shared" si="26"/>
        <v>5</v>
      </c>
      <c r="E276" s="34" t="str">
        <f t="shared" si="27"/>
        <v>May</v>
      </c>
      <c r="F276" s="44">
        <v>44705</v>
      </c>
      <c r="G276" t="s">
        <v>27</v>
      </c>
      <c r="H276" t="s">
        <v>28</v>
      </c>
      <c r="I276" t="s">
        <v>29</v>
      </c>
      <c r="J276" t="s">
        <v>30</v>
      </c>
      <c r="K276" t="s">
        <v>31</v>
      </c>
      <c r="L276" t="s">
        <v>32</v>
      </c>
      <c r="M276" t="s">
        <v>33</v>
      </c>
      <c r="N276" t="s">
        <v>409</v>
      </c>
      <c r="O276" t="s">
        <v>48</v>
      </c>
      <c r="P276" t="s">
        <v>60</v>
      </c>
      <c r="Q276" t="s">
        <v>410</v>
      </c>
      <c r="R276">
        <v>195</v>
      </c>
      <c r="S276">
        <v>5</v>
      </c>
      <c r="T276">
        <v>0</v>
      </c>
      <c r="U276" s="34" t="str">
        <f t="shared" si="28"/>
        <v>No Discount</v>
      </c>
      <c r="V276">
        <v>15.43</v>
      </c>
      <c r="W276" s="29">
        <f t="shared" si="29"/>
        <v>0.0791282051282051</v>
      </c>
      <c r="X276">
        <v>26.58</v>
      </c>
      <c r="Y276" t="s">
        <v>137</v>
      </c>
      <c r="Z276" s="34" t="str">
        <f t="shared" si="30"/>
        <v>Small</v>
      </c>
    </row>
    <row r="277" spans="1:26">
      <c r="A277" t="s">
        <v>940</v>
      </c>
      <c r="B277" s="44">
        <v>44878</v>
      </c>
      <c r="C277" s="34">
        <f t="shared" si="25"/>
        <v>2022</v>
      </c>
      <c r="D277" s="34">
        <f t="shared" si="26"/>
        <v>11</v>
      </c>
      <c r="E277" s="34" t="str">
        <f t="shared" si="27"/>
        <v>November</v>
      </c>
      <c r="F277" s="44">
        <v>44885</v>
      </c>
      <c r="G277" t="s">
        <v>324</v>
      </c>
      <c r="H277" t="s">
        <v>325</v>
      </c>
      <c r="I277" t="s">
        <v>55</v>
      </c>
      <c r="J277" t="s">
        <v>43</v>
      </c>
      <c r="K277" t="s">
        <v>326</v>
      </c>
      <c r="L277" t="s">
        <v>327</v>
      </c>
      <c r="M277" t="s">
        <v>58</v>
      </c>
      <c r="N277" t="s">
        <v>66</v>
      </c>
      <c r="O277" t="s">
        <v>67</v>
      </c>
      <c r="P277" t="s">
        <v>68</v>
      </c>
      <c r="Q277" t="s">
        <v>69</v>
      </c>
      <c r="R277">
        <v>2556.8</v>
      </c>
      <c r="S277">
        <v>4</v>
      </c>
      <c r="T277">
        <v>0.2</v>
      </c>
      <c r="U277" s="34" t="str">
        <f t="shared" si="28"/>
        <v>Medium</v>
      </c>
      <c r="V277">
        <v>-138.32</v>
      </c>
      <c r="W277" s="29">
        <f t="shared" si="29"/>
        <v>-0.05409887359199</v>
      </c>
      <c r="X277">
        <v>34.92</v>
      </c>
      <c r="Y277" t="s">
        <v>96</v>
      </c>
      <c r="Z277" s="34" t="str">
        <f t="shared" si="30"/>
        <v>Large</v>
      </c>
    </row>
    <row r="278" spans="1:26">
      <c r="A278" t="s">
        <v>941</v>
      </c>
      <c r="B278" s="44">
        <v>45574</v>
      </c>
      <c r="C278" s="34">
        <f t="shared" si="25"/>
        <v>2024</v>
      </c>
      <c r="D278" s="34">
        <f t="shared" si="26"/>
        <v>10</v>
      </c>
      <c r="E278" s="34" t="str">
        <f t="shared" si="27"/>
        <v>October</v>
      </c>
      <c r="F278" s="44">
        <v>45581</v>
      </c>
      <c r="G278" t="s">
        <v>942</v>
      </c>
      <c r="H278" t="s">
        <v>943</v>
      </c>
      <c r="I278" t="s">
        <v>55</v>
      </c>
      <c r="J278" t="s">
        <v>43</v>
      </c>
      <c r="K278" t="s">
        <v>125</v>
      </c>
      <c r="L278" t="s">
        <v>126</v>
      </c>
      <c r="M278" t="s">
        <v>58</v>
      </c>
      <c r="N278" t="s">
        <v>415</v>
      </c>
      <c r="O278" t="s">
        <v>67</v>
      </c>
      <c r="P278" t="s">
        <v>252</v>
      </c>
      <c r="Q278" t="s">
        <v>416</v>
      </c>
      <c r="R278">
        <v>399</v>
      </c>
      <c r="S278">
        <v>1</v>
      </c>
      <c r="T278">
        <v>0</v>
      </c>
      <c r="U278" s="34" t="str">
        <f t="shared" si="28"/>
        <v>No Discount</v>
      </c>
      <c r="V278">
        <v>33.15</v>
      </c>
      <c r="W278" s="29">
        <f t="shared" si="29"/>
        <v>0.0830827067669173</v>
      </c>
      <c r="X278">
        <v>49.1</v>
      </c>
      <c r="Y278" t="s">
        <v>96</v>
      </c>
      <c r="Z278" s="34" t="str">
        <f t="shared" si="30"/>
        <v>Small</v>
      </c>
    </row>
    <row r="279" spans="1:26">
      <c r="A279" t="s">
        <v>944</v>
      </c>
      <c r="B279" s="44">
        <v>44163</v>
      </c>
      <c r="C279" s="34">
        <f t="shared" si="25"/>
        <v>2020</v>
      </c>
      <c r="D279" s="34">
        <f t="shared" si="26"/>
        <v>11</v>
      </c>
      <c r="E279" s="34" t="str">
        <f t="shared" si="27"/>
        <v>November</v>
      </c>
      <c r="F279" s="44">
        <v>44169</v>
      </c>
      <c r="G279" t="s">
        <v>945</v>
      </c>
      <c r="H279" t="s">
        <v>946</v>
      </c>
      <c r="I279" t="s">
        <v>29</v>
      </c>
      <c r="J279" t="s">
        <v>30</v>
      </c>
      <c r="K279" t="s">
        <v>84</v>
      </c>
      <c r="L279" t="s">
        <v>366</v>
      </c>
      <c r="M279" t="s">
        <v>33</v>
      </c>
      <c r="N279" t="s">
        <v>135</v>
      </c>
      <c r="O279" t="s">
        <v>67</v>
      </c>
      <c r="P279" t="s">
        <v>68</v>
      </c>
      <c r="Q279" t="s">
        <v>136</v>
      </c>
      <c r="R279">
        <v>2336.4</v>
      </c>
      <c r="S279">
        <v>4</v>
      </c>
      <c r="T279">
        <v>0.1</v>
      </c>
      <c r="U279" s="34" t="str">
        <f t="shared" si="28"/>
        <v>Low</v>
      </c>
      <c r="V279">
        <v>339.26</v>
      </c>
      <c r="W279" s="29">
        <f t="shared" si="29"/>
        <v>0.145206300291046</v>
      </c>
      <c r="X279">
        <v>37.34</v>
      </c>
      <c r="Y279" t="s">
        <v>70</v>
      </c>
      <c r="Z279" s="34" t="str">
        <f t="shared" si="30"/>
        <v>Large</v>
      </c>
    </row>
    <row r="280" spans="1:26">
      <c r="A280" t="s">
        <v>947</v>
      </c>
      <c r="B280" s="44">
        <v>44482</v>
      </c>
      <c r="C280" s="34">
        <f t="shared" si="25"/>
        <v>2021</v>
      </c>
      <c r="D280" s="34">
        <f t="shared" si="26"/>
        <v>10</v>
      </c>
      <c r="E280" s="34" t="str">
        <f t="shared" si="27"/>
        <v>October</v>
      </c>
      <c r="F280" s="44">
        <v>44489</v>
      </c>
      <c r="G280" t="s">
        <v>775</v>
      </c>
      <c r="H280" t="s">
        <v>776</v>
      </c>
      <c r="I280" t="s">
        <v>55</v>
      </c>
      <c r="J280" t="s">
        <v>43</v>
      </c>
      <c r="K280" t="s">
        <v>180</v>
      </c>
      <c r="L280" t="s">
        <v>181</v>
      </c>
      <c r="M280" t="s">
        <v>46</v>
      </c>
      <c r="N280" t="s">
        <v>424</v>
      </c>
      <c r="O280" t="s">
        <v>67</v>
      </c>
      <c r="P280" t="s">
        <v>103</v>
      </c>
      <c r="Q280" t="s">
        <v>425</v>
      </c>
      <c r="R280">
        <v>1038.4</v>
      </c>
      <c r="S280">
        <v>2</v>
      </c>
      <c r="T280">
        <v>0.2</v>
      </c>
      <c r="U280" s="34" t="str">
        <f t="shared" si="28"/>
        <v>Medium</v>
      </c>
      <c r="V280">
        <v>247.66</v>
      </c>
      <c r="W280" s="29">
        <f t="shared" si="29"/>
        <v>0.238501540832049</v>
      </c>
      <c r="X280">
        <v>39.8</v>
      </c>
      <c r="Y280" t="s">
        <v>38</v>
      </c>
      <c r="Z280" s="34" t="str">
        <f t="shared" si="30"/>
        <v>Medium</v>
      </c>
    </row>
    <row r="281" spans="1:26">
      <c r="A281" t="s">
        <v>948</v>
      </c>
      <c r="B281" s="44">
        <v>45513</v>
      </c>
      <c r="C281" s="34">
        <f t="shared" si="25"/>
        <v>2024</v>
      </c>
      <c r="D281" s="34">
        <f t="shared" si="26"/>
        <v>8</v>
      </c>
      <c r="E281" s="34" t="str">
        <f t="shared" si="27"/>
        <v>August</v>
      </c>
      <c r="F281" s="44">
        <v>45519</v>
      </c>
      <c r="G281" t="s">
        <v>197</v>
      </c>
      <c r="H281" t="s">
        <v>198</v>
      </c>
      <c r="I281" t="s">
        <v>55</v>
      </c>
      <c r="J281" t="s">
        <v>43</v>
      </c>
      <c r="K281" t="s">
        <v>199</v>
      </c>
      <c r="L281" t="s">
        <v>200</v>
      </c>
      <c r="M281" t="s">
        <v>46</v>
      </c>
      <c r="N281" t="s">
        <v>223</v>
      </c>
      <c r="O281" t="s">
        <v>48</v>
      </c>
      <c r="P281" t="s">
        <v>60</v>
      </c>
      <c r="Q281" t="s">
        <v>224</v>
      </c>
      <c r="R281">
        <v>178</v>
      </c>
      <c r="S281">
        <v>2</v>
      </c>
      <c r="T281">
        <v>0</v>
      </c>
      <c r="U281" s="34" t="str">
        <f t="shared" si="28"/>
        <v>No Discount</v>
      </c>
      <c r="V281">
        <v>22.81</v>
      </c>
      <c r="W281" s="29">
        <f t="shared" si="29"/>
        <v>0.12814606741573</v>
      </c>
      <c r="X281">
        <v>30.77</v>
      </c>
      <c r="Y281" t="s">
        <v>121</v>
      </c>
      <c r="Z281" s="34" t="str">
        <f t="shared" si="30"/>
        <v>Small</v>
      </c>
    </row>
    <row r="282" spans="1:26">
      <c r="A282" t="s">
        <v>949</v>
      </c>
      <c r="B282" s="44">
        <v>44191</v>
      </c>
      <c r="C282" s="34">
        <f t="shared" si="25"/>
        <v>2020</v>
      </c>
      <c r="D282" s="34">
        <f t="shared" si="26"/>
        <v>12</v>
      </c>
      <c r="E282" s="34" t="str">
        <f t="shared" si="27"/>
        <v>December</v>
      </c>
      <c r="F282" s="44">
        <v>44193</v>
      </c>
      <c r="G282" t="s">
        <v>950</v>
      </c>
      <c r="H282" t="s">
        <v>951</v>
      </c>
      <c r="I282" t="s">
        <v>55</v>
      </c>
      <c r="J282" t="s">
        <v>43</v>
      </c>
      <c r="K282" t="s">
        <v>74</v>
      </c>
      <c r="L282" t="s">
        <v>387</v>
      </c>
      <c r="M282" t="s">
        <v>76</v>
      </c>
      <c r="N282" t="s">
        <v>500</v>
      </c>
      <c r="O282" t="s">
        <v>67</v>
      </c>
      <c r="P282" t="s">
        <v>68</v>
      </c>
      <c r="Q282" t="s">
        <v>501</v>
      </c>
      <c r="R282">
        <v>411.75</v>
      </c>
      <c r="S282">
        <v>1</v>
      </c>
      <c r="T282">
        <v>0.25</v>
      </c>
      <c r="U282" s="34" t="str">
        <f t="shared" si="28"/>
        <v>High</v>
      </c>
      <c r="V282">
        <v>65.66</v>
      </c>
      <c r="W282" s="29">
        <f t="shared" si="29"/>
        <v>0.1594656952034</v>
      </c>
      <c r="X282">
        <v>28.17</v>
      </c>
      <c r="Y282" t="s">
        <v>121</v>
      </c>
      <c r="Z282" s="34" t="str">
        <f t="shared" si="30"/>
        <v>Small</v>
      </c>
    </row>
    <row r="283" spans="1:26">
      <c r="A283" t="s">
        <v>952</v>
      </c>
      <c r="B283" s="44">
        <v>45554</v>
      </c>
      <c r="C283" s="34">
        <f t="shared" si="25"/>
        <v>2024</v>
      </c>
      <c r="D283" s="34">
        <f t="shared" si="26"/>
        <v>9</v>
      </c>
      <c r="E283" s="34" t="str">
        <f t="shared" si="27"/>
        <v>September</v>
      </c>
      <c r="F283" s="44">
        <v>45557</v>
      </c>
      <c r="G283" t="s">
        <v>306</v>
      </c>
      <c r="H283" t="s">
        <v>307</v>
      </c>
      <c r="I283" t="s">
        <v>55</v>
      </c>
      <c r="J283" t="s">
        <v>43</v>
      </c>
      <c r="K283" t="s">
        <v>116</v>
      </c>
      <c r="L283" t="s">
        <v>117</v>
      </c>
      <c r="M283" t="s">
        <v>33</v>
      </c>
      <c r="N283" t="s">
        <v>367</v>
      </c>
      <c r="O283" t="s">
        <v>35</v>
      </c>
      <c r="P283" t="s">
        <v>202</v>
      </c>
      <c r="Q283" t="s">
        <v>368</v>
      </c>
      <c r="R283">
        <v>2396</v>
      </c>
      <c r="S283">
        <v>4</v>
      </c>
      <c r="T283">
        <v>0</v>
      </c>
      <c r="U283" s="34" t="str">
        <f t="shared" si="28"/>
        <v>No Discount</v>
      </c>
      <c r="V283">
        <v>523.97</v>
      </c>
      <c r="W283" s="29">
        <f t="shared" si="29"/>
        <v>0.21868530884808</v>
      </c>
      <c r="X283">
        <v>10.49</v>
      </c>
      <c r="Y283" t="s">
        <v>38</v>
      </c>
      <c r="Z283" s="34" t="str">
        <f t="shared" si="30"/>
        <v>Large</v>
      </c>
    </row>
    <row r="284" spans="1:26">
      <c r="A284" t="s">
        <v>953</v>
      </c>
      <c r="B284" s="44">
        <v>44129</v>
      </c>
      <c r="C284" s="34">
        <f t="shared" si="25"/>
        <v>2020</v>
      </c>
      <c r="D284" s="34">
        <f t="shared" si="26"/>
        <v>10</v>
      </c>
      <c r="E284" s="34" t="str">
        <f t="shared" si="27"/>
        <v>October</v>
      </c>
      <c r="F284" s="44">
        <v>44136</v>
      </c>
      <c r="G284" t="s">
        <v>954</v>
      </c>
      <c r="H284" t="s">
        <v>955</v>
      </c>
      <c r="I284" t="s">
        <v>55</v>
      </c>
      <c r="J284" t="s">
        <v>43</v>
      </c>
      <c r="K284" t="s">
        <v>284</v>
      </c>
      <c r="L284" t="s">
        <v>956</v>
      </c>
      <c r="M284" t="s">
        <v>76</v>
      </c>
      <c r="N284" t="s">
        <v>698</v>
      </c>
      <c r="O284" t="s">
        <v>35</v>
      </c>
      <c r="P284" t="s">
        <v>36</v>
      </c>
      <c r="Q284" t="s">
        <v>699</v>
      </c>
      <c r="R284">
        <v>892.5</v>
      </c>
      <c r="S284">
        <v>2</v>
      </c>
      <c r="T284">
        <v>0.25</v>
      </c>
      <c r="U284" s="34" t="str">
        <f t="shared" si="28"/>
        <v>High</v>
      </c>
      <c r="V284">
        <v>166.12</v>
      </c>
      <c r="W284" s="29">
        <f t="shared" si="29"/>
        <v>0.186128851540616</v>
      </c>
      <c r="X284">
        <v>41.26</v>
      </c>
      <c r="Y284" t="s">
        <v>38</v>
      </c>
      <c r="Z284" s="34" t="str">
        <f t="shared" si="30"/>
        <v>Medium</v>
      </c>
    </row>
    <row r="285" spans="1:26">
      <c r="A285" t="s">
        <v>957</v>
      </c>
      <c r="B285" s="44">
        <v>44587</v>
      </c>
      <c r="C285" s="34">
        <f t="shared" si="25"/>
        <v>2022</v>
      </c>
      <c r="D285" s="34">
        <f t="shared" si="26"/>
        <v>1</v>
      </c>
      <c r="E285" s="34" t="str">
        <f t="shared" si="27"/>
        <v>January</v>
      </c>
      <c r="F285" s="44">
        <v>44588</v>
      </c>
      <c r="G285" t="s">
        <v>243</v>
      </c>
      <c r="H285" t="s">
        <v>244</v>
      </c>
      <c r="I285" t="s">
        <v>55</v>
      </c>
      <c r="J285" t="s">
        <v>43</v>
      </c>
      <c r="K285" t="s">
        <v>245</v>
      </c>
      <c r="L285" t="s">
        <v>958</v>
      </c>
      <c r="M285" t="s">
        <v>76</v>
      </c>
      <c r="N285" t="s">
        <v>47</v>
      </c>
      <c r="O285" t="s">
        <v>48</v>
      </c>
      <c r="P285" t="s">
        <v>49</v>
      </c>
      <c r="Q285" t="s">
        <v>50</v>
      </c>
      <c r="R285">
        <v>316</v>
      </c>
      <c r="S285">
        <v>5</v>
      </c>
      <c r="T285">
        <v>0.2</v>
      </c>
      <c r="U285" s="34" t="str">
        <f t="shared" si="28"/>
        <v>Medium</v>
      </c>
      <c r="V285">
        <v>-18.79</v>
      </c>
      <c r="W285" s="29">
        <f t="shared" si="29"/>
        <v>-0.0594620253164557</v>
      </c>
      <c r="X285">
        <v>9.97</v>
      </c>
      <c r="Y285" t="s">
        <v>96</v>
      </c>
      <c r="Z285" s="34" t="str">
        <f t="shared" si="30"/>
        <v>Small</v>
      </c>
    </row>
    <row r="286" spans="1:26">
      <c r="A286" t="s">
        <v>959</v>
      </c>
      <c r="B286" s="44">
        <v>43906</v>
      </c>
      <c r="C286" s="34">
        <f t="shared" si="25"/>
        <v>2020</v>
      </c>
      <c r="D286" s="34">
        <f t="shared" si="26"/>
        <v>3</v>
      </c>
      <c r="E286" s="34" t="str">
        <f t="shared" si="27"/>
        <v>March</v>
      </c>
      <c r="F286" s="44">
        <v>43909</v>
      </c>
      <c r="G286" t="s">
        <v>295</v>
      </c>
      <c r="H286" t="s">
        <v>296</v>
      </c>
      <c r="I286" t="s">
        <v>29</v>
      </c>
      <c r="J286" t="s">
        <v>30</v>
      </c>
      <c r="K286" t="s">
        <v>297</v>
      </c>
      <c r="L286" t="s">
        <v>298</v>
      </c>
      <c r="M286" t="s">
        <v>46</v>
      </c>
      <c r="N286" t="s">
        <v>409</v>
      </c>
      <c r="O286" t="s">
        <v>48</v>
      </c>
      <c r="P286" t="s">
        <v>60</v>
      </c>
      <c r="Q286" t="s">
        <v>410</v>
      </c>
      <c r="R286">
        <v>33.15</v>
      </c>
      <c r="S286">
        <v>1</v>
      </c>
      <c r="T286">
        <v>0.15</v>
      </c>
      <c r="U286" s="34" t="str">
        <f t="shared" si="28"/>
        <v>Medium</v>
      </c>
      <c r="V286">
        <v>-7.16</v>
      </c>
      <c r="W286" s="29">
        <f t="shared" si="29"/>
        <v>-0.215987933634992</v>
      </c>
      <c r="X286">
        <v>40.45</v>
      </c>
      <c r="Y286" t="s">
        <v>38</v>
      </c>
      <c r="Z286" s="34" t="str">
        <f t="shared" si="30"/>
        <v>Small</v>
      </c>
    </row>
    <row r="287" spans="1:26">
      <c r="A287" t="s">
        <v>960</v>
      </c>
      <c r="B287" s="44">
        <v>44858</v>
      </c>
      <c r="C287" s="34">
        <f t="shared" si="25"/>
        <v>2022</v>
      </c>
      <c r="D287" s="34">
        <f t="shared" si="26"/>
        <v>10</v>
      </c>
      <c r="E287" s="34" t="str">
        <f t="shared" si="27"/>
        <v>October</v>
      </c>
      <c r="F287" s="44">
        <v>44861</v>
      </c>
      <c r="G287" t="s">
        <v>406</v>
      </c>
      <c r="H287" t="s">
        <v>407</v>
      </c>
      <c r="I287" t="s">
        <v>55</v>
      </c>
      <c r="J287" t="s">
        <v>43</v>
      </c>
      <c r="K287" t="s">
        <v>213</v>
      </c>
      <c r="L287" t="s">
        <v>408</v>
      </c>
      <c r="M287" t="s">
        <v>33</v>
      </c>
      <c r="N287" t="s">
        <v>182</v>
      </c>
      <c r="O287" t="s">
        <v>48</v>
      </c>
      <c r="P287" t="s">
        <v>128</v>
      </c>
      <c r="Q287" t="s">
        <v>183</v>
      </c>
      <c r="R287">
        <v>126.4</v>
      </c>
      <c r="S287">
        <v>2</v>
      </c>
      <c r="T287">
        <v>0.2</v>
      </c>
      <c r="U287" s="34" t="str">
        <f t="shared" si="28"/>
        <v>Medium</v>
      </c>
      <c r="V287">
        <v>17.52</v>
      </c>
      <c r="W287" s="29">
        <f t="shared" si="29"/>
        <v>0.138607594936709</v>
      </c>
      <c r="X287">
        <v>46.92</v>
      </c>
      <c r="Y287" t="s">
        <v>137</v>
      </c>
      <c r="Z287" s="34" t="str">
        <f t="shared" si="30"/>
        <v>Small</v>
      </c>
    </row>
    <row r="288" spans="1:26">
      <c r="A288" t="s">
        <v>961</v>
      </c>
      <c r="B288" s="44">
        <v>43965</v>
      </c>
      <c r="C288" s="34">
        <f t="shared" si="25"/>
        <v>2020</v>
      </c>
      <c r="D288" s="34">
        <f t="shared" si="26"/>
        <v>5</v>
      </c>
      <c r="E288" s="34" t="str">
        <f t="shared" si="27"/>
        <v>May</v>
      </c>
      <c r="F288" s="44">
        <v>43969</v>
      </c>
      <c r="G288" t="s">
        <v>567</v>
      </c>
      <c r="H288" t="s">
        <v>186</v>
      </c>
      <c r="I288" t="s">
        <v>29</v>
      </c>
      <c r="J288" t="s">
        <v>43</v>
      </c>
      <c r="K288" t="s">
        <v>262</v>
      </c>
      <c r="L288" t="s">
        <v>568</v>
      </c>
      <c r="M288" t="s">
        <v>58</v>
      </c>
      <c r="N288" t="s">
        <v>837</v>
      </c>
      <c r="O288" t="s">
        <v>35</v>
      </c>
      <c r="P288" t="s">
        <v>111</v>
      </c>
      <c r="Q288" t="s">
        <v>838</v>
      </c>
      <c r="R288">
        <v>143.2</v>
      </c>
      <c r="S288">
        <v>1</v>
      </c>
      <c r="T288">
        <v>0.2</v>
      </c>
      <c r="U288" s="34" t="str">
        <f t="shared" si="28"/>
        <v>Medium</v>
      </c>
      <c r="V288">
        <v>11.43</v>
      </c>
      <c r="W288" s="29">
        <f t="shared" si="29"/>
        <v>0.07981843575419</v>
      </c>
      <c r="X288">
        <v>33.51</v>
      </c>
      <c r="Y288" t="s">
        <v>96</v>
      </c>
      <c r="Z288" s="34" t="str">
        <f t="shared" si="30"/>
        <v>Small</v>
      </c>
    </row>
    <row r="289" spans="1:26">
      <c r="A289" t="s">
        <v>962</v>
      </c>
      <c r="B289" s="44">
        <v>43986</v>
      </c>
      <c r="C289" s="34">
        <f t="shared" si="25"/>
        <v>2020</v>
      </c>
      <c r="D289" s="34">
        <f t="shared" si="26"/>
        <v>6</v>
      </c>
      <c r="E289" s="34" t="str">
        <f t="shared" si="27"/>
        <v>June</v>
      </c>
      <c r="F289" s="44">
        <v>43991</v>
      </c>
      <c r="G289" t="s">
        <v>963</v>
      </c>
      <c r="H289" t="s">
        <v>964</v>
      </c>
      <c r="I289" t="s">
        <v>55</v>
      </c>
      <c r="J289" t="s">
        <v>43</v>
      </c>
      <c r="K289" t="s">
        <v>153</v>
      </c>
      <c r="L289" t="s">
        <v>154</v>
      </c>
      <c r="M289" t="s">
        <v>58</v>
      </c>
      <c r="N289" t="s">
        <v>228</v>
      </c>
      <c r="O289" t="s">
        <v>67</v>
      </c>
      <c r="P289" t="s">
        <v>103</v>
      </c>
      <c r="Q289" t="s">
        <v>229</v>
      </c>
      <c r="R289">
        <v>223.5</v>
      </c>
      <c r="S289">
        <v>2</v>
      </c>
      <c r="T289">
        <v>0.25</v>
      </c>
      <c r="U289" s="34" t="str">
        <f t="shared" si="28"/>
        <v>High</v>
      </c>
      <c r="V289">
        <v>43.43</v>
      </c>
      <c r="W289" s="29">
        <f t="shared" si="29"/>
        <v>0.194317673378076</v>
      </c>
      <c r="X289">
        <v>19.12</v>
      </c>
      <c r="Y289" t="s">
        <v>96</v>
      </c>
      <c r="Z289" s="34" t="str">
        <f t="shared" si="30"/>
        <v>Small</v>
      </c>
    </row>
    <row r="290" spans="1:26">
      <c r="A290" t="s">
        <v>965</v>
      </c>
      <c r="B290" s="44">
        <v>45082</v>
      </c>
      <c r="C290" s="34">
        <f t="shared" si="25"/>
        <v>2023</v>
      </c>
      <c r="D290" s="34">
        <f t="shared" si="26"/>
        <v>6</v>
      </c>
      <c r="E290" s="34" t="str">
        <f t="shared" si="27"/>
        <v>June</v>
      </c>
      <c r="F290" s="44">
        <v>45084</v>
      </c>
      <c r="G290" t="s">
        <v>664</v>
      </c>
      <c r="H290" t="s">
        <v>665</v>
      </c>
      <c r="I290" t="s">
        <v>29</v>
      </c>
      <c r="J290" t="s">
        <v>43</v>
      </c>
      <c r="K290" t="s">
        <v>133</v>
      </c>
      <c r="L290" t="s">
        <v>134</v>
      </c>
      <c r="M290" t="s">
        <v>33</v>
      </c>
      <c r="N290" t="s">
        <v>235</v>
      </c>
      <c r="O290" t="s">
        <v>35</v>
      </c>
      <c r="P290" t="s">
        <v>78</v>
      </c>
      <c r="Q290" t="s">
        <v>236</v>
      </c>
      <c r="R290">
        <v>1098</v>
      </c>
      <c r="S290">
        <v>2</v>
      </c>
      <c r="T290">
        <v>0</v>
      </c>
      <c r="U290" s="34" t="str">
        <f t="shared" si="28"/>
        <v>No Discount</v>
      </c>
      <c r="V290">
        <v>215</v>
      </c>
      <c r="W290" s="29">
        <f t="shared" si="29"/>
        <v>0.195810564663024</v>
      </c>
      <c r="X290">
        <v>15.32</v>
      </c>
      <c r="Y290" t="s">
        <v>38</v>
      </c>
      <c r="Z290" s="34" t="str">
        <f t="shared" si="30"/>
        <v>Medium</v>
      </c>
    </row>
    <row r="291" spans="1:26">
      <c r="A291" t="s">
        <v>966</v>
      </c>
      <c r="B291" s="44">
        <v>45046</v>
      </c>
      <c r="C291" s="34">
        <f t="shared" si="25"/>
        <v>2023</v>
      </c>
      <c r="D291" s="34">
        <f t="shared" si="26"/>
        <v>4</v>
      </c>
      <c r="E291" s="34" t="str">
        <f t="shared" si="27"/>
        <v>April</v>
      </c>
      <c r="F291" s="44">
        <v>45048</v>
      </c>
      <c r="G291" t="s">
        <v>600</v>
      </c>
      <c r="H291" t="s">
        <v>601</v>
      </c>
      <c r="I291" t="s">
        <v>55</v>
      </c>
      <c r="J291" t="s">
        <v>43</v>
      </c>
      <c r="K291" t="s">
        <v>602</v>
      </c>
      <c r="L291" t="s">
        <v>603</v>
      </c>
      <c r="M291" t="s">
        <v>46</v>
      </c>
      <c r="N291" t="s">
        <v>382</v>
      </c>
      <c r="O291" t="s">
        <v>67</v>
      </c>
      <c r="P291" t="s">
        <v>119</v>
      </c>
      <c r="Q291" t="s">
        <v>383</v>
      </c>
      <c r="R291">
        <v>1149</v>
      </c>
      <c r="S291">
        <v>1</v>
      </c>
      <c r="T291">
        <v>0</v>
      </c>
      <c r="U291" s="34" t="str">
        <f t="shared" si="28"/>
        <v>No Discount</v>
      </c>
      <c r="V291">
        <v>107.96</v>
      </c>
      <c r="W291" s="29">
        <f t="shared" si="29"/>
        <v>0.0939599651871192</v>
      </c>
      <c r="X291">
        <v>23.14</v>
      </c>
      <c r="Y291" t="s">
        <v>121</v>
      </c>
      <c r="Z291" s="34" t="str">
        <f t="shared" si="30"/>
        <v>Medium</v>
      </c>
    </row>
    <row r="292" spans="1:26">
      <c r="A292" t="s">
        <v>967</v>
      </c>
      <c r="B292" s="44">
        <v>44662</v>
      </c>
      <c r="C292" s="34">
        <f t="shared" si="25"/>
        <v>2022</v>
      </c>
      <c r="D292" s="34">
        <f t="shared" si="26"/>
        <v>4</v>
      </c>
      <c r="E292" s="34" t="str">
        <f t="shared" si="27"/>
        <v>April</v>
      </c>
      <c r="F292" s="44">
        <v>44664</v>
      </c>
      <c r="G292" t="s">
        <v>942</v>
      </c>
      <c r="H292" t="s">
        <v>943</v>
      </c>
      <c r="I292" t="s">
        <v>55</v>
      </c>
      <c r="J292" t="s">
        <v>43</v>
      </c>
      <c r="K292" t="s">
        <v>125</v>
      </c>
      <c r="L292" t="s">
        <v>126</v>
      </c>
      <c r="M292" t="s">
        <v>58</v>
      </c>
      <c r="N292" t="s">
        <v>110</v>
      </c>
      <c r="O292" t="s">
        <v>35</v>
      </c>
      <c r="P292" t="s">
        <v>111</v>
      </c>
      <c r="Q292" t="s">
        <v>112</v>
      </c>
      <c r="R292">
        <v>199</v>
      </c>
      <c r="S292">
        <v>1</v>
      </c>
      <c r="T292">
        <v>0</v>
      </c>
      <c r="U292" s="34" t="str">
        <f t="shared" si="28"/>
        <v>No Discount</v>
      </c>
      <c r="V292">
        <v>39.69</v>
      </c>
      <c r="W292" s="29">
        <f t="shared" si="29"/>
        <v>0.199447236180905</v>
      </c>
      <c r="X292">
        <v>13.64</v>
      </c>
      <c r="Y292" t="s">
        <v>96</v>
      </c>
      <c r="Z292" s="34" t="str">
        <f t="shared" si="30"/>
        <v>Small</v>
      </c>
    </row>
    <row r="293" spans="1:26">
      <c r="A293" t="s">
        <v>968</v>
      </c>
      <c r="B293" s="44">
        <v>44200</v>
      </c>
      <c r="C293" s="34">
        <f t="shared" si="25"/>
        <v>2021</v>
      </c>
      <c r="D293" s="34">
        <f t="shared" si="26"/>
        <v>1</v>
      </c>
      <c r="E293" s="34" t="str">
        <f t="shared" si="27"/>
        <v>January</v>
      </c>
      <c r="F293" s="44">
        <v>44201</v>
      </c>
      <c r="G293" t="s">
        <v>238</v>
      </c>
      <c r="H293" t="s">
        <v>239</v>
      </c>
      <c r="I293" t="s">
        <v>55</v>
      </c>
      <c r="J293" t="s">
        <v>43</v>
      </c>
      <c r="K293" t="s">
        <v>240</v>
      </c>
      <c r="L293" t="s">
        <v>241</v>
      </c>
      <c r="M293" t="s">
        <v>46</v>
      </c>
      <c r="N293" t="s">
        <v>59</v>
      </c>
      <c r="O293" t="s">
        <v>48</v>
      </c>
      <c r="P293" t="s">
        <v>60</v>
      </c>
      <c r="Q293" t="s">
        <v>61</v>
      </c>
      <c r="R293">
        <v>870</v>
      </c>
      <c r="S293">
        <v>5</v>
      </c>
      <c r="T293">
        <v>0</v>
      </c>
      <c r="U293" s="34" t="str">
        <f t="shared" si="28"/>
        <v>No Discount</v>
      </c>
      <c r="V293">
        <v>182.11</v>
      </c>
      <c r="W293" s="29">
        <f t="shared" si="29"/>
        <v>0.20932183908046</v>
      </c>
      <c r="X293">
        <v>30.96</v>
      </c>
      <c r="Y293" t="s">
        <v>62</v>
      </c>
      <c r="Z293" s="34" t="str">
        <f t="shared" si="30"/>
        <v>Medium</v>
      </c>
    </row>
    <row r="294" spans="1:26">
      <c r="A294" t="s">
        <v>969</v>
      </c>
      <c r="B294" s="44">
        <v>44704</v>
      </c>
      <c r="C294" s="34">
        <f t="shared" si="25"/>
        <v>2022</v>
      </c>
      <c r="D294" s="34">
        <f t="shared" si="26"/>
        <v>5</v>
      </c>
      <c r="E294" s="34" t="str">
        <f t="shared" si="27"/>
        <v>May</v>
      </c>
      <c r="F294" s="44">
        <v>44705</v>
      </c>
      <c r="G294" t="s">
        <v>318</v>
      </c>
      <c r="H294" t="s">
        <v>319</v>
      </c>
      <c r="I294" t="s">
        <v>42</v>
      </c>
      <c r="J294" t="s">
        <v>30</v>
      </c>
      <c r="K294" t="s">
        <v>320</v>
      </c>
      <c r="L294" t="s">
        <v>181</v>
      </c>
      <c r="M294" t="s">
        <v>46</v>
      </c>
      <c r="N294" t="s">
        <v>367</v>
      </c>
      <c r="O294" t="s">
        <v>35</v>
      </c>
      <c r="P294" t="s">
        <v>202</v>
      </c>
      <c r="Q294" t="s">
        <v>368</v>
      </c>
      <c r="R294">
        <v>2845.25</v>
      </c>
      <c r="S294">
        <v>5</v>
      </c>
      <c r="T294">
        <v>0.05</v>
      </c>
      <c r="U294" s="34" t="str">
        <f t="shared" si="28"/>
        <v>Low</v>
      </c>
      <c r="V294">
        <v>424.06</v>
      </c>
      <c r="W294" s="29">
        <f t="shared" si="29"/>
        <v>0.14904138476408</v>
      </c>
      <c r="X294">
        <v>9.09</v>
      </c>
      <c r="Y294" t="s">
        <v>38</v>
      </c>
      <c r="Z294" s="34" t="str">
        <f t="shared" si="30"/>
        <v>Large</v>
      </c>
    </row>
    <row r="295" spans="1:26">
      <c r="A295" t="s">
        <v>970</v>
      </c>
      <c r="B295" s="44">
        <v>44141</v>
      </c>
      <c r="C295" s="34">
        <f t="shared" si="25"/>
        <v>2020</v>
      </c>
      <c r="D295" s="34">
        <f t="shared" si="26"/>
        <v>11</v>
      </c>
      <c r="E295" s="34" t="str">
        <f t="shared" si="27"/>
        <v>November</v>
      </c>
      <c r="F295" s="44">
        <v>44145</v>
      </c>
      <c r="G295" t="s">
        <v>716</v>
      </c>
      <c r="H295" t="s">
        <v>717</v>
      </c>
      <c r="I295" t="s">
        <v>55</v>
      </c>
      <c r="J295" t="s">
        <v>30</v>
      </c>
      <c r="K295" t="s">
        <v>551</v>
      </c>
      <c r="L295" t="s">
        <v>718</v>
      </c>
      <c r="M295" t="s">
        <v>33</v>
      </c>
      <c r="N295" t="s">
        <v>375</v>
      </c>
      <c r="O295" t="s">
        <v>35</v>
      </c>
      <c r="P295" t="s">
        <v>163</v>
      </c>
      <c r="Q295" t="s">
        <v>376</v>
      </c>
      <c r="R295">
        <v>1298</v>
      </c>
      <c r="S295">
        <v>2</v>
      </c>
      <c r="T295">
        <v>0</v>
      </c>
      <c r="U295" s="34" t="str">
        <f t="shared" si="28"/>
        <v>No Discount</v>
      </c>
      <c r="V295">
        <v>125.09</v>
      </c>
      <c r="W295" s="29">
        <f t="shared" si="29"/>
        <v>0.0963713405238829</v>
      </c>
      <c r="X295">
        <v>15.71</v>
      </c>
      <c r="Y295" t="s">
        <v>70</v>
      </c>
      <c r="Z295" s="34" t="str">
        <f t="shared" si="30"/>
        <v>Medium</v>
      </c>
    </row>
    <row r="296" spans="1:26">
      <c r="A296" t="s">
        <v>971</v>
      </c>
      <c r="B296" s="44">
        <v>45245</v>
      </c>
      <c r="C296" s="34">
        <f t="shared" si="25"/>
        <v>2023</v>
      </c>
      <c r="D296" s="34">
        <f t="shared" si="26"/>
        <v>11</v>
      </c>
      <c r="E296" s="34" t="str">
        <f t="shared" si="27"/>
        <v>November</v>
      </c>
      <c r="F296" s="44">
        <v>45246</v>
      </c>
      <c r="G296" t="s">
        <v>549</v>
      </c>
      <c r="H296" t="s">
        <v>550</v>
      </c>
      <c r="I296" t="s">
        <v>55</v>
      </c>
      <c r="J296" t="s">
        <v>43</v>
      </c>
      <c r="K296" t="s">
        <v>551</v>
      </c>
      <c r="L296" t="s">
        <v>552</v>
      </c>
      <c r="M296" t="s">
        <v>33</v>
      </c>
      <c r="N296" t="s">
        <v>421</v>
      </c>
      <c r="O296" t="s">
        <v>67</v>
      </c>
      <c r="P296" t="s">
        <v>252</v>
      </c>
      <c r="Q296" t="s">
        <v>422</v>
      </c>
      <c r="R296">
        <v>1198.4</v>
      </c>
      <c r="S296">
        <v>2</v>
      </c>
      <c r="T296">
        <v>0.3</v>
      </c>
      <c r="U296" s="34" t="str">
        <f t="shared" si="28"/>
        <v>High</v>
      </c>
      <c r="V296">
        <v>284.82</v>
      </c>
      <c r="W296" s="29">
        <f t="shared" si="29"/>
        <v>0.237666889185581</v>
      </c>
      <c r="X296">
        <v>49.26</v>
      </c>
      <c r="Y296" t="s">
        <v>62</v>
      </c>
      <c r="Z296" s="34" t="str">
        <f t="shared" si="30"/>
        <v>Medium</v>
      </c>
    </row>
    <row r="297" spans="1:26">
      <c r="A297" t="s">
        <v>972</v>
      </c>
      <c r="B297" s="44">
        <v>44480</v>
      </c>
      <c r="C297" s="34">
        <f t="shared" si="25"/>
        <v>2021</v>
      </c>
      <c r="D297" s="34">
        <f t="shared" si="26"/>
        <v>10</v>
      </c>
      <c r="E297" s="34" t="str">
        <f t="shared" si="27"/>
        <v>October</v>
      </c>
      <c r="F297" s="44">
        <v>44486</v>
      </c>
      <c r="G297" t="s">
        <v>833</v>
      </c>
      <c r="H297" t="s">
        <v>834</v>
      </c>
      <c r="I297" t="s">
        <v>55</v>
      </c>
      <c r="J297" t="s">
        <v>43</v>
      </c>
      <c r="K297" t="s">
        <v>640</v>
      </c>
      <c r="L297" t="s">
        <v>641</v>
      </c>
      <c r="M297" t="s">
        <v>76</v>
      </c>
      <c r="N297" t="s">
        <v>201</v>
      </c>
      <c r="O297" t="s">
        <v>35</v>
      </c>
      <c r="P297" t="s">
        <v>202</v>
      </c>
      <c r="Q297" t="s">
        <v>203</v>
      </c>
      <c r="R297">
        <v>1796</v>
      </c>
      <c r="S297">
        <v>5</v>
      </c>
      <c r="T297">
        <v>0.2</v>
      </c>
      <c r="U297" s="34" t="str">
        <f t="shared" si="28"/>
        <v>Medium</v>
      </c>
      <c r="V297">
        <v>319.87</v>
      </c>
      <c r="W297" s="29">
        <f t="shared" si="29"/>
        <v>0.178101336302895</v>
      </c>
      <c r="X297">
        <v>11.38</v>
      </c>
      <c r="Y297" t="s">
        <v>70</v>
      </c>
      <c r="Z297" s="34" t="str">
        <f t="shared" si="30"/>
        <v>Medium</v>
      </c>
    </row>
    <row r="298" spans="1:26">
      <c r="A298" t="s">
        <v>973</v>
      </c>
      <c r="B298" s="44">
        <v>44963</v>
      </c>
      <c r="C298" s="34">
        <f t="shared" si="25"/>
        <v>2023</v>
      </c>
      <c r="D298" s="34">
        <f t="shared" si="26"/>
        <v>2</v>
      </c>
      <c r="E298" s="34" t="str">
        <f t="shared" si="27"/>
        <v>February</v>
      </c>
      <c r="F298" s="44">
        <v>44968</v>
      </c>
      <c r="G298" t="s">
        <v>282</v>
      </c>
      <c r="H298" t="s">
        <v>974</v>
      </c>
      <c r="I298" t="s">
        <v>55</v>
      </c>
      <c r="J298" t="s">
        <v>43</v>
      </c>
      <c r="K298" t="s">
        <v>284</v>
      </c>
      <c r="L298" t="s">
        <v>285</v>
      </c>
      <c r="M298" t="s">
        <v>76</v>
      </c>
      <c r="N298" t="s">
        <v>375</v>
      </c>
      <c r="O298" t="s">
        <v>35</v>
      </c>
      <c r="P298" t="s">
        <v>163</v>
      </c>
      <c r="Q298" t="s">
        <v>376</v>
      </c>
      <c r="R298">
        <v>908.6</v>
      </c>
      <c r="S298">
        <v>2</v>
      </c>
      <c r="T298">
        <v>0.3</v>
      </c>
      <c r="U298" s="34" t="str">
        <f t="shared" si="28"/>
        <v>High</v>
      </c>
      <c r="V298">
        <v>219.77</v>
      </c>
      <c r="W298" s="29">
        <f t="shared" si="29"/>
        <v>0.241877613911512</v>
      </c>
      <c r="X298">
        <v>24.61</v>
      </c>
      <c r="Y298" t="s">
        <v>38</v>
      </c>
      <c r="Z298" s="34" t="str">
        <f t="shared" si="30"/>
        <v>Medium</v>
      </c>
    </row>
    <row r="299" spans="1:26">
      <c r="A299" t="s">
        <v>975</v>
      </c>
      <c r="B299" s="44">
        <v>43980</v>
      </c>
      <c r="C299" s="34">
        <f t="shared" si="25"/>
        <v>2020</v>
      </c>
      <c r="D299" s="34">
        <f t="shared" si="26"/>
        <v>5</v>
      </c>
      <c r="E299" s="34" t="str">
        <f t="shared" si="27"/>
        <v>May</v>
      </c>
      <c r="F299" s="44">
        <v>43986</v>
      </c>
      <c r="G299" t="s">
        <v>976</v>
      </c>
      <c r="H299" t="s">
        <v>977</v>
      </c>
      <c r="I299" t="s">
        <v>29</v>
      </c>
      <c r="J299" t="s">
        <v>43</v>
      </c>
      <c r="K299" t="s">
        <v>320</v>
      </c>
      <c r="L299" t="s">
        <v>181</v>
      </c>
      <c r="M299" t="s">
        <v>46</v>
      </c>
      <c r="N299" t="s">
        <v>275</v>
      </c>
      <c r="O299" t="s">
        <v>67</v>
      </c>
      <c r="P299" t="s">
        <v>103</v>
      </c>
      <c r="Q299" t="s">
        <v>276</v>
      </c>
      <c r="R299">
        <v>2396.8</v>
      </c>
      <c r="S299">
        <v>4</v>
      </c>
      <c r="T299">
        <v>0.2</v>
      </c>
      <c r="U299" s="34" t="str">
        <f t="shared" si="28"/>
        <v>Medium</v>
      </c>
      <c r="V299">
        <v>-197.88</v>
      </c>
      <c r="W299" s="29">
        <f t="shared" si="29"/>
        <v>-0.0825600801068091</v>
      </c>
      <c r="X299">
        <v>20.46</v>
      </c>
      <c r="Y299" t="s">
        <v>121</v>
      </c>
      <c r="Z299" s="34" t="str">
        <f t="shared" si="30"/>
        <v>Large</v>
      </c>
    </row>
    <row r="300" spans="1:26">
      <c r="A300" t="s">
        <v>978</v>
      </c>
      <c r="B300" s="44">
        <v>44186</v>
      </c>
      <c r="C300" s="34">
        <f t="shared" si="25"/>
        <v>2020</v>
      </c>
      <c r="D300" s="34">
        <f t="shared" si="26"/>
        <v>12</v>
      </c>
      <c r="E300" s="34" t="str">
        <f t="shared" si="27"/>
        <v>December</v>
      </c>
      <c r="F300" s="44">
        <v>44187</v>
      </c>
      <c r="G300" t="s">
        <v>728</v>
      </c>
      <c r="H300" t="s">
        <v>729</v>
      </c>
      <c r="I300" t="s">
        <v>42</v>
      </c>
      <c r="J300" t="s">
        <v>43</v>
      </c>
      <c r="K300" t="s">
        <v>320</v>
      </c>
      <c r="L300" t="s">
        <v>631</v>
      </c>
      <c r="M300" t="s">
        <v>46</v>
      </c>
      <c r="N300" t="s">
        <v>86</v>
      </c>
      <c r="O300" t="s">
        <v>67</v>
      </c>
      <c r="P300" t="s">
        <v>87</v>
      </c>
      <c r="Q300" t="s">
        <v>88</v>
      </c>
      <c r="R300">
        <v>166.6</v>
      </c>
      <c r="S300">
        <v>4</v>
      </c>
      <c r="T300">
        <v>0.15</v>
      </c>
      <c r="U300" s="34" t="str">
        <f t="shared" si="28"/>
        <v>Medium</v>
      </c>
      <c r="V300">
        <v>34.99</v>
      </c>
      <c r="W300" s="29">
        <f t="shared" si="29"/>
        <v>0.210024009603842</v>
      </c>
      <c r="X300">
        <v>5.54</v>
      </c>
      <c r="Y300" t="s">
        <v>62</v>
      </c>
      <c r="Z300" s="34" t="str">
        <f t="shared" si="30"/>
        <v>Small</v>
      </c>
    </row>
    <row r="301" spans="1:26">
      <c r="A301" t="s">
        <v>979</v>
      </c>
      <c r="B301" s="44">
        <v>45254</v>
      </c>
      <c r="C301" s="34">
        <f t="shared" si="25"/>
        <v>2023</v>
      </c>
      <c r="D301" s="34">
        <f t="shared" si="26"/>
        <v>11</v>
      </c>
      <c r="E301" s="34" t="str">
        <f t="shared" si="27"/>
        <v>November</v>
      </c>
      <c r="F301" s="44">
        <v>45260</v>
      </c>
      <c r="G301" t="s">
        <v>980</v>
      </c>
      <c r="H301" t="s">
        <v>981</v>
      </c>
      <c r="I301" t="s">
        <v>29</v>
      </c>
      <c r="J301" t="s">
        <v>43</v>
      </c>
      <c r="K301" t="s">
        <v>257</v>
      </c>
      <c r="L301" t="s">
        <v>258</v>
      </c>
      <c r="M301" t="s">
        <v>76</v>
      </c>
      <c r="N301" t="s">
        <v>110</v>
      </c>
      <c r="O301" t="s">
        <v>35</v>
      </c>
      <c r="P301" t="s">
        <v>111</v>
      </c>
      <c r="Q301" t="s">
        <v>112</v>
      </c>
      <c r="R301">
        <v>159.2</v>
      </c>
      <c r="S301">
        <v>1</v>
      </c>
      <c r="T301">
        <v>0.2</v>
      </c>
      <c r="U301" s="34" t="str">
        <f t="shared" si="28"/>
        <v>Medium</v>
      </c>
      <c r="V301">
        <v>9.73</v>
      </c>
      <c r="W301" s="29">
        <f t="shared" si="29"/>
        <v>0.0611180904522613</v>
      </c>
      <c r="X301">
        <v>31.24</v>
      </c>
      <c r="Y301" t="s">
        <v>80</v>
      </c>
      <c r="Z301" s="34" t="str">
        <f t="shared" si="30"/>
        <v>Small</v>
      </c>
    </row>
    <row r="302" spans="1:26">
      <c r="A302" t="s">
        <v>982</v>
      </c>
      <c r="B302" s="44">
        <v>44496</v>
      </c>
      <c r="C302" s="34">
        <f t="shared" si="25"/>
        <v>2021</v>
      </c>
      <c r="D302" s="34">
        <f t="shared" si="26"/>
        <v>10</v>
      </c>
      <c r="E302" s="34" t="str">
        <f t="shared" si="27"/>
        <v>October</v>
      </c>
      <c r="F302" s="44">
        <v>44502</v>
      </c>
      <c r="G302" t="s">
        <v>983</v>
      </c>
      <c r="H302" t="s">
        <v>984</v>
      </c>
      <c r="I302" t="s">
        <v>55</v>
      </c>
      <c r="J302" t="s">
        <v>43</v>
      </c>
      <c r="K302" t="s">
        <v>472</v>
      </c>
      <c r="L302" t="s">
        <v>985</v>
      </c>
      <c r="M302" t="s">
        <v>58</v>
      </c>
      <c r="N302" t="s">
        <v>47</v>
      </c>
      <c r="O302" t="s">
        <v>48</v>
      </c>
      <c r="P302" t="s">
        <v>49</v>
      </c>
      <c r="Q302" t="s">
        <v>50</v>
      </c>
      <c r="R302">
        <v>221.2</v>
      </c>
      <c r="S302">
        <v>4</v>
      </c>
      <c r="T302">
        <v>0.3</v>
      </c>
      <c r="U302" s="34" t="str">
        <f t="shared" si="28"/>
        <v>High</v>
      </c>
      <c r="V302">
        <v>37.65</v>
      </c>
      <c r="W302" s="29">
        <f t="shared" si="29"/>
        <v>0.170207956600362</v>
      </c>
      <c r="X302">
        <v>21.96</v>
      </c>
      <c r="Y302" t="s">
        <v>62</v>
      </c>
      <c r="Z302" s="34" t="str">
        <f t="shared" si="30"/>
        <v>Small</v>
      </c>
    </row>
    <row r="303" spans="1:26">
      <c r="A303" t="s">
        <v>986</v>
      </c>
      <c r="B303" s="44">
        <v>44164</v>
      </c>
      <c r="C303" s="34">
        <f t="shared" si="25"/>
        <v>2020</v>
      </c>
      <c r="D303" s="34">
        <f t="shared" si="26"/>
        <v>11</v>
      </c>
      <c r="E303" s="34" t="str">
        <f t="shared" si="27"/>
        <v>November</v>
      </c>
      <c r="F303" s="44">
        <v>44165</v>
      </c>
      <c r="G303" t="s">
        <v>394</v>
      </c>
      <c r="H303" t="s">
        <v>395</v>
      </c>
      <c r="I303" t="s">
        <v>29</v>
      </c>
      <c r="J303" t="s">
        <v>30</v>
      </c>
      <c r="K303" t="s">
        <v>199</v>
      </c>
      <c r="L303" t="s">
        <v>396</v>
      </c>
      <c r="M303" t="s">
        <v>46</v>
      </c>
      <c r="N303" t="s">
        <v>34</v>
      </c>
      <c r="O303" t="s">
        <v>35</v>
      </c>
      <c r="P303" t="s">
        <v>36</v>
      </c>
      <c r="Q303" t="s">
        <v>37</v>
      </c>
      <c r="R303">
        <v>898</v>
      </c>
      <c r="S303">
        <v>2</v>
      </c>
      <c r="T303">
        <v>0</v>
      </c>
      <c r="U303" s="34" t="str">
        <f t="shared" si="28"/>
        <v>No Discount</v>
      </c>
      <c r="V303">
        <v>189.27</v>
      </c>
      <c r="W303" s="29">
        <f t="shared" si="29"/>
        <v>0.210768374164811</v>
      </c>
      <c r="X303">
        <v>27.65</v>
      </c>
      <c r="Y303" t="s">
        <v>137</v>
      </c>
      <c r="Z303" s="34" t="str">
        <f t="shared" si="30"/>
        <v>Medium</v>
      </c>
    </row>
    <row r="304" spans="1:26">
      <c r="A304" t="s">
        <v>987</v>
      </c>
      <c r="B304" s="44">
        <v>45340</v>
      </c>
      <c r="C304" s="34">
        <f t="shared" si="25"/>
        <v>2024</v>
      </c>
      <c r="D304" s="34">
        <f t="shared" si="26"/>
        <v>2</v>
      </c>
      <c r="E304" s="34" t="str">
        <f t="shared" si="27"/>
        <v>February</v>
      </c>
      <c r="F304" s="44">
        <v>45344</v>
      </c>
      <c r="G304" t="s">
        <v>988</v>
      </c>
      <c r="H304" t="s">
        <v>989</v>
      </c>
      <c r="I304" t="s">
        <v>29</v>
      </c>
      <c r="J304" t="s">
        <v>43</v>
      </c>
      <c r="K304" t="s">
        <v>297</v>
      </c>
      <c r="L304" t="s">
        <v>298</v>
      </c>
      <c r="M304" t="s">
        <v>46</v>
      </c>
      <c r="N304" t="s">
        <v>292</v>
      </c>
      <c r="O304" t="s">
        <v>35</v>
      </c>
      <c r="P304" t="s">
        <v>163</v>
      </c>
      <c r="Q304" t="s">
        <v>293</v>
      </c>
      <c r="R304">
        <v>2078.4</v>
      </c>
      <c r="S304">
        <v>2</v>
      </c>
      <c r="T304">
        <v>0.2</v>
      </c>
      <c r="U304" s="34" t="str">
        <f t="shared" si="28"/>
        <v>Medium</v>
      </c>
      <c r="V304">
        <v>369.67</v>
      </c>
      <c r="W304" s="29">
        <f t="shared" si="29"/>
        <v>0.177862779060816</v>
      </c>
      <c r="X304">
        <v>14.81</v>
      </c>
      <c r="Y304" t="s">
        <v>51</v>
      </c>
      <c r="Z304" s="34" t="str">
        <f t="shared" si="30"/>
        <v>Large</v>
      </c>
    </row>
    <row r="305" spans="1:26">
      <c r="A305" t="s">
        <v>990</v>
      </c>
      <c r="B305" s="44">
        <v>44956</v>
      </c>
      <c r="C305" s="34">
        <f t="shared" si="25"/>
        <v>2023</v>
      </c>
      <c r="D305" s="34">
        <f t="shared" si="26"/>
        <v>1</v>
      </c>
      <c r="E305" s="34" t="str">
        <f t="shared" si="27"/>
        <v>January</v>
      </c>
      <c r="F305" s="44">
        <v>44961</v>
      </c>
      <c r="G305" t="s">
        <v>991</v>
      </c>
      <c r="H305" t="s">
        <v>992</v>
      </c>
      <c r="I305" t="s">
        <v>29</v>
      </c>
      <c r="J305" t="s">
        <v>43</v>
      </c>
      <c r="K305" t="s">
        <v>116</v>
      </c>
      <c r="L305" t="s">
        <v>117</v>
      </c>
      <c r="M305" t="s">
        <v>33</v>
      </c>
      <c r="N305" t="s">
        <v>837</v>
      </c>
      <c r="O305" t="s">
        <v>35</v>
      </c>
      <c r="P305" t="s">
        <v>111</v>
      </c>
      <c r="Q305" t="s">
        <v>838</v>
      </c>
      <c r="R305">
        <v>179</v>
      </c>
      <c r="S305">
        <v>1</v>
      </c>
      <c r="T305">
        <v>0</v>
      </c>
      <c r="U305" s="34" t="str">
        <f t="shared" si="28"/>
        <v>No Discount</v>
      </c>
      <c r="V305">
        <v>16.36</v>
      </c>
      <c r="W305" s="29">
        <f t="shared" si="29"/>
        <v>0.0913966480446927</v>
      </c>
      <c r="X305">
        <v>17.06</v>
      </c>
      <c r="Y305" t="s">
        <v>70</v>
      </c>
      <c r="Z305" s="34" t="str">
        <f t="shared" si="30"/>
        <v>Small</v>
      </c>
    </row>
    <row r="306" spans="1:26">
      <c r="A306" t="s">
        <v>993</v>
      </c>
      <c r="B306" s="44">
        <v>44535</v>
      </c>
      <c r="C306" s="34">
        <f t="shared" si="25"/>
        <v>2021</v>
      </c>
      <c r="D306" s="34">
        <f t="shared" si="26"/>
        <v>12</v>
      </c>
      <c r="E306" s="34" t="str">
        <f t="shared" si="27"/>
        <v>December</v>
      </c>
      <c r="F306" s="44">
        <v>44539</v>
      </c>
      <c r="G306" t="s">
        <v>942</v>
      </c>
      <c r="H306" t="s">
        <v>943</v>
      </c>
      <c r="I306" t="s">
        <v>55</v>
      </c>
      <c r="J306" t="s">
        <v>43</v>
      </c>
      <c r="K306" t="s">
        <v>125</v>
      </c>
      <c r="L306" t="s">
        <v>126</v>
      </c>
      <c r="M306" t="s">
        <v>58</v>
      </c>
      <c r="N306" t="s">
        <v>278</v>
      </c>
      <c r="O306" t="s">
        <v>35</v>
      </c>
      <c r="P306" t="s">
        <v>202</v>
      </c>
      <c r="Q306" t="s">
        <v>279</v>
      </c>
      <c r="R306">
        <v>1258.6</v>
      </c>
      <c r="S306">
        <v>2</v>
      </c>
      <c r="T306">
        <v>0.3</v>
      </c>
      <c r="U306" s="34" t="str">
        <f t="shared" si="28"/>
        <v>High</v>
      </c>
      <c r="V306">
        <v>-67.4</v>
      </c>
      <c r="W306" s="29">
        <f t="shared" si="29"/>
        <v>-0.0535515652312093</v>
      </c>
      <c r="X306">
        <v>14.89</v>
      </c>
      <c r="Y306" t="s">
        <v>62</v>
      </c>
      <c r="Z306" s="34" t="str">
        <f t="shared" si="30"/>
        <v>Medium</v>
      </c>
    </row>
    <row r="307" spans="1:26">
      <c r="A307" t="s">
        <v>994</v>
      </c>
      <c r="B307" s="44">
        <v>44675</v>
      </c>
      <c r="C307" s="34">
        <f t="shared" si="25"/>
        <v>2022</v>
      </c>
      <c r="D307" s="34">
        <f t="shared" si="26"/>
        <v>4</v>
      </c>
      <c r="E307" s="34" t="str">
        <f t="shared" si="27"/>
        <v>April</v>
      </c>
      <c r="F307" s="44">
        <v>44678</v>
      </c>
      <c r="G307" t="s">
        <v>226</v>
      </c>
      <c r="H307" t="s">
        <v>227</v>
      </c>
      <c r="I307" t="s">
        <v>42</v>
      </c>
      <c r="J307" t="s">
        <v>43</v>
      </c>
      <c r="K307" t="s">
        <v>44</v>
      </c>
      <c r="L307" t="s">
        <v>195</v>
      </c>
      <c r="M307" t="s">
        <v>46</v>
      </c>
      <c r="N307" t="s">
        <v>170</v>
      </c>
      <c r="O307" t="s">
        <v>48</v>
      </c>
      <c r="P307" t="s">
        <v>49</v>
      </c>
      <c r="Q307" t="s">
        <v>171</v>
      </c>
      <c r="R307">
        <v>521.5</v>
      </c>
      <c r="S307">
        <v>5</v>
      </c>
      <c r="T307">
        <v>0.3</v>
      </c>
      <c r="U307" s="34" t="str">
        <f t="shared" si="28"/>
        <v>High</v>
      </c>
      <c r="V307">
        <v>128.74</v>
      </c>
      <c r="W307" s="29">
        <f t="shared" si="29"/>
        <v>0.24686481303931</v>
      </c>
      <c r="X307">
        <v>5.44</v>
      </c>
      <c r="Y307" t="s">
        <v>121</v>
      </c>
      <c r="Z307" s="34" t="str">
        <f t="shared" si="30"/>
        <v>Medium</v>
      </c>
    </row>
    <row r="308" spans="1:26">
      <c r="A308" t="s">
        <v>995</v>
      </c>
      <c r="B308" s="44">
        <v>43890</v>
      </c>
      <c r="C308" s="34">
        <f t="shared" si="25"/>
        <v>2020</v>
      </c>
      <c r="D308" s="34">
        <f t="shared" si="26"/>
        <v>2</v>
      </c>
      <c r="E308" s="34" t="str">
        <f t="shared" si="27"/>
        <v>February</v>
      </c>
      <c r="F308" s="44">
        <v>43894</v>
      </c>
      <c r="G308" t="s">
        <v>996</v>
      </c>
      <c r="H308" t="s">
        <v>997</v>
      </c>
      <c r="I308" t="s">
        <v>42</v>
      </c>
      <c r="J308" t="s">
        <v>30</v>
      </c>
      <c r="K308" t="s">
        <v>92</v>
      </c>
      <c r="L308" t="s">
        <v>607</v>
      </c>
      <c r="M308" t="s">
        <v>76</v>
      </c>
      <c r="N308" t="s">
        <v>474</v>
      </c>
      <c r="O308" t="s">
        <v>35</v>
      </c>
      <c r="P308" t="s">
        <v>78</v>
      </c>
      <c r="Q308" t="s">
        <v>475</v>
      </c>
      <c r="R308">
        <v>1199</v>
      </c>
      <c r="S308">
        <v>1</v>
      </c>
      <c r="T308">
        <v>0</v>
      </c>
      <c r="U308" s="34" t="str">
        <f t="shared" si="28"/>
        <v>No Discount</v>
      </c>
      <c r="V308">
        <v>209.14</v>
      </c>
      <c r="W308" s="29">
        <f t="shared" si="29"/>
        <v>0.17442869057548</v>
      </c>
      <c r="X308">
        <v>22.26</v>
      </c>
      <c r="Y308" t="s">
        <v>38</v>
      </c>
      <c r="Z308" s="34" t="str">
        <f t="shared" si="30"/>
        <v>Medium</v>
      </c>
    </row>
    <row r="309" spans="1:26">
      <c r="A309" t="s">
        <v>998</v>
      </c>
      <c r="B309" s="44">
        <v>44416</v>
      </c>
      <c r="C309" s="34">
        <f t="shared" si="25"/>
        <v>2021</v>
      </c>
      <c r="D309" s="34">
        <f t="shared" si="26"/>
        <v>8</v>
      </c>
      <c r="E309" s="34" t="str">
        <f t="shared" si="27"/>
        <v>August</v>
      </c>
      <c r="F309" s="44">
        <v>44423</v>
      </c>
      <c r="G309" t="s">
        <v>780</v>
      </c>
      <c r="H309" t="s">
        <v>41</v>
      </c>
      <c r="I309" t="s">
        <v>42</v>
      </c>
      <c r="J309" t="s">
        <v>43</v>
      </c>
      <c r="K309" t="s">
        <v>74</v>
      </c>
      <c r="L309" t="s">
        <v>613</v>
      </c>
      <c r="M309" t="s">
        <v>76</v>
      </c>
      <c r="N309" t="s">
        <v>59</v>
      </c>
      <c r="O309" t="s">
        <v>48</v>
      </c>
      <c r="P309" t="s">
        <v>60</v>
      </c>
      <c r="Q309" t="s">
        <v>61</v>
      </c>
      <c r="R309">
        <v>696</v>
      </c>
      <c r="S309">
        <v>4</v>
      </c>
      <c r="T309">
        <v>0</v>
      </c>
      <c r="U309" s="34" t="str">
        <f t="shared" si="28"/>
        <v>No Discount</v>
      </c>
      <c r="V309">
        <v>95.84</v>
      </c>
      <c r="W309" s="29">
        <f t="shared" si="29"/>
        <v>0.137701149425287</v>
      </c>
      <c r="X309">
        <v>28.52</v>
      </c>
      <c r="Y309" t="s">
        <v>38</v>
      </c>
      <c r="Z309" s="34" t="str">
        <f t="shared" si="30"/>
        <v>Medium</v>
      </c>
    </row>
    <row r="310" spans="1:26">
      <c r="A310" t="s">
        <v>999</v>
      </c>
      <c r="B310" s="44">
        <v>43988</v>
      </c>
      <c r="C310" s="34">
        <f t="shared" si="25"/>
        <v>2020</v>
      </c>
      <c r="D310" s="34">
        <f t="shared" si="26"/>
        <v>6</v>
      </c>
      <c r="E310" s="34" t="str">
        <f t="shared" si="27"/>
        <v>June</v>
      </c>
      <c r="F310" s="44">
        <v>43990</v>
      </c>
      <c r="G310" t="s">
        <v>509</v>
      </c>
      <c r="H310" t="s">
        <v>510</v>
      </c>
      <c r="I310" t="s">
        <v>55</v>
      </c>
      <c r="J310" t="s">
        <v>43</v>
      </c>
      <c r="K310" t="s">
        <v>245</v>
      </c>
      <c r="L310" t="s">
        <v>511</v>
      </c>
      <c r="M310" t="s">
        <v>76</v>
      </c>
      <c r="N310" t="s">
        <v>670</v>
      </c>
      <c r="O310" t="s">
        <v>48</v>
      </c>
      <c r="P310" t="s">
        <v>49</v>
      </c>
      <c r="Q310" t="s">
        <v>671</v>
      </c>
      <c r="R310">
        <v>392</v>
      </c>
      <c r="S310">
        <v>4</v>
      </c>
      <c r="T310">
        <v>0</v>
      </c>
      <c r="U310" s="34" t="str">
        <f t="shared" si="28"/>
        <v>No Discount</v>
      </c>
      <c r="V310">
        <v>45.32</v>
      </c>
      <c r="W310" s="29">
        <f t="shared" si="29"/>
        <v>0.115612244897959</v>
      </c>
      <c r="X310">
        <v>44.93</v>
      </c>
      <c r="Y310" t="s">
        <v>96</v>
      </c>
      <c r="Z310" s="34" t="str">
        <f t="shared" si="30"/>
        <v>Small</v>
      </c>
    </row>
    <row r="311" spans="1:26">
      <c r="A311" t="s">
        <v>1000</v>
      </c>
      <c r="B311" s="44">
        <v>45533</v>
      </c>
      <c r="C311" s="34">
        <f t="shared" si="25"/>
        <v>2024</v>
      </c>
      <c r="D311" s="34">
        <f t="shared" si="26"/>
        <v>8</v>
      </c>
      <c r="E311" s="34" t="str">
        <f t="shared" si="27"/>
        <v>August</v>
      </c>
      <c r="F311" s="44">
        <v>45539</v>
      </c>
      <c r="G311" t="s">
        <v>1001</v>
      </c>
      <c r="H311" t="s">
        <v>1002</v>
      </c>
      <c r="I311" t="s">
        <v>42</v>
      </c>
      <c r="J311" t="s">
        <v>30</v>
      </c>
      <c r="K311" t="s">
        <v>326</v>
      </c>
      <c r="L311" t="s">
        <v>1003</v>
      </c>
      <c r="M311" t="s">
        <v>58</v>
      </c>
      <c r="N311" t="s">
        <v>251</v>
      </c>
      <c r="O311" t="s">
        <v>67</v>
      </c>
      <c r="P311" t="s">
        <v>252</v>
      </c>
      <c r="Q311" t="s">
        <v>253</v>
      </c>
      <c r="R311">
        <v>598.4</v>
      </c>
      <c r="S311">
        <v>1</v>
      </c>
      <c r="T311">
        <v>0.2</v>
      </c>
      <c r="U311" s="34" t="str">
        <f t="shared" si="28"/>
        <v>Medium</v>
      </c>
      <c r="V311">
        <v>-40.91</v>
      </c>
      <c r="W311" s="29">
        <f t="shared" si="29"/>
        <v>-0.0683656417112299</v>
      </c>
      <c r="X311">
        <v>36.62</v>
      </c>
      <c r="Y311" t="s">
        <v>121</v>
      </c>
      <c r="Z311" s="34" t="str">
        <f t="shared" si="30"/>
        <v>Medium</v>
      </c>
    </row>
    <row r="312" spans="1:26">
      <c r="A312" t="s">
        <v>1004</v>
      </c>
      <c r="B312" s="44">
        <v>44880</v>
      </c>
      <c r="C312" s="34">
        <f t="shared" si="25"/>
        <v>2022</v>
      </c>
      <c r="D312" s="34">
        <f t="shared" si="26"/>
        <v>11</v>
      </c>
      <c r="E312" s="34" t="str">
        <f t="shared" si="27"/>
        <v>November</v>
      </c>
      <c r="F312" s="44">
        <v>44884</v>
      </c>
      <c r="G312" t="s">
        <v>436</v>
      </c>
      <c r="H312" t="s">
        <v>437</v>
      </c>
      <c r="I312" t="s">
        <v>55</v>
      </c>
      <c r="J312" t="s">
        <v>43</v>
      </c>
      <c r="K312" t="s">
        <v>438</v>
      </c>
      <c r="L312" t="s">
        <v>439</v>
      </c>
      <c r="M312" t="s">
        <v>76</v>
      </c>
      <c r="N312" t="s">
        <v>148</v>
      </c>
      <c r="O312" t="s">
        <v>48</v>
      </c>
      <c r="P312" t="s">
        <v>60</v>
      </c>
      <c r="Q312" t="s">
        <v>149</v>
      </c>
      <c r="R312">
        <v>99</v>
      </c>
      <c r="S312">
        <v>2</v>
      </c>
      <c r="T312">
        <v>0.1</v>
      </c>
      <c r="U312" s="34" t="str">
        <f t="shared" si="28"/>
        <v>Low</v>
      </c>
      <c r="V312">
        <v>20.92</v>
      </c>
      <c r="W312" s="29">
        <f t="shared" si="29"/>
        <v>0.211313131313131</v>
      </c>
      <c r="X312">
        <v>12.78</v>
      </c>
      <c r="Y312" t="s">
        <v>38</v>
      </c>
      <c r="Z312" s="34" t="str">
        <f t="shared" si="30"/>
        <v>Small</v>
      </c>
    </row>
    <row r="313" spans="1:26">
      <c r="A313" t="s">
        <v>1005</v>
      </c>
      <c r="B313" s="44">
        <v>45244</v>
      </c>
      <c r="C313" s="34">
        <f t="shared" si="25"/>
        <v>2023</v>
      </c>
      <c r="D313" s="34">
        <f t="shared" si="26"/>
        <v>11</v>
      </c>
      <c r="E313" s="34" t="str">
        <f t="shared" si="27"/>
        <v>November</v>
      </c>
      <c r="F313" s="44">
        <v>45245</v>
      </c>
      <c r="G313" t="s">
        <v>173</v>
      </c>
      <c r="H313" t="s">
        <v>174</v>
      </c>
      <c r="I313" t="s">
        <v>55</v>
      </c>
      <c r="J313" t="s">
        <v>43</v>
      </c>
      <c r="K313" t="s">
        <v>175</v>
      </c>
      <c r="L313" t="s">
        <v>176</v>
      </c>
      <c r="M313" t="s">
        <v>46</v>
      </c>
      <c r="N313" t="s">
        <v>228</v>
      </c>
      <c r="O313" t="s">
        <v>67</v>
      </c>
      <c r="P313" t="s">
        <v>103</v>
      </c>
      <c r="Q313" t="s">
        <v>229</v>
      </c>
      <c r="R313">
        <v>379.95</v>
      </c>
      <c r="S313">
        <v>3</v>
      </c>
      <c r="T313">
        <v>0.15</v>
      </c>
      <c r="U313" s="34" t="str">
        <f t="shared" si="28"/>
        <v>Medium</v>
      </c>
      <c r="V313">
        <v>73.79</v>
      </c>
      <c r="W313" s="29">
        <f t="shared" si="29"/>
        <v>0.19420976444269</v>
      </c>
      <c r="X313">
        <v>32.66</v>
      </c>
      <c r="Y313" t="s">
        <v>51</v>
      </c>
      <c r="Z313" s="34" t="str">
        <f t="shared" si="30"/>
        <v>Small</v>
      </c>
    </row>
    <row r="314" spans="1:26">
      <c r="A314" t="s">
        <v>1006</v>
      </c>
      <c r="B314" s="44">
        <v>45271</v>
      </c>
      <c r="C314" s="34">
        <f t="shared" si="25"/>
        <v>2023</v>
      </c>
      <c r="D314" s="34">
        <f t="shared" si="26"/>
        <v>12</v>
      </c>
      <c r="E314" s="34" t="str">
        <f t="shared" si="27"/>
        <v>December</v>
      </c>
      <c r="F314" s="44">
        <v>45275</v>
      </c>
      <c r="G314" t="s">
        <v>1007</v>
      </c>
      <c r="H314" t="s">
        <v>1008</v>
      </c>
      <c r="I314" t="s">
        <v>29</v>
      </c>
      <c r="J314" t="s">
        <v>30</v>
      </c>
      <c r="K314" t="s">
        <v>472</v>
      </c>
      <c r="L314" t="s">
        <v>985</v>
      </c>
      <c r="M314" t="s">
        <v>58</v>
      </c>
      <c r="N314" t="s">
        <v>208</v>
      </c>
      <c r="O314" t="s">
        <v>48</v>
      </c>
      <c r="P314" t="s">
        <v>128</v>
      </c>
      <c r="Q314" t="s">
        <v>209</v>
      </c>
      <c r="R314">
        <v>175</v>
      </c>
      <c r="S314">
        <v>5</v>
      </c>
      <c r="T314">
        <v>0</v>
      </c>
      <c r="U314" s="34" t="str">
        <f t="shared" si="28"/>
        <v>No Discount</v>
      </c>
      <c r="V314">
        <v>2.82</v>
      </c>
      <c r="W314" s="29">
        <f t="shared" si="29"/>
        <v>0.0161142857142857</v>
      </c>
      <c r="X314">
        <v>48.94</v>
      </c>
      <c r="Y314" t="s">
        <v>51</v>
      </c>
      <c r="Z314" s="34" t="str">
        <f t="shared" si="30"/>
        <v>Small</v>
      </c>
    </row>
    <row r="315" spans="1:26">
      <c r="A315" t="s">
        <v>1009</v>
      </c>
      <c r="B315" s="44">
        <v>44047</v>
      </c>
      <c r="C315" s="34">
        <f t="shared" si="25"/>
        <v>2020</v>
      </c>
      <c r="D315" s="34">
        <f t="shared" si="26"/>
        <v>8</v>
      </c>
      <c r="E315" s="34" t="str">
        <f t="shared" si="27"/>
        <v>August</v>
      </c>
      <c r="F315" s="44">
        <v>44049</v>
      </c>
      <c r="G315" t="s">
        <v>406</v>
      </c>
      <c r="H315" t="s">
        <v>407</v>
      </c>
      <c r="I315" t="s">
        <v>55</v>
      </c>
      <c r="J315" t="s">
        <v>43</v>
      </c>
      <c r="K315" t="s">
        <v>213</v>
      </c>
      <c r="L315" t="s">
        <v>408</v>
      </c>
      <c r="M315" t="s">
        <v>33</v>
      </c>
      <c r="N315" t="s">
        <v>47</v>
      </c>
      <c r="O315" t="s">
        <v>48</v>
      </c>
      <c r="P315" t="s">
        <v>49</v>
      </c>
      <c r="Q315" t="s">
        <v>50</v>
      </c>
      <c r="R315">
        <v>134.3</v>
      </c>
      <c r="S315">
        <v>2</v>
      </c>
      <c r="T315">
        <v>0.15</v>
      </c>
      <c r="U315" s="34" t="str">
        <f t="shared" si="28"/>
        <v>Medium</v>
      </c>
      <c r="V315">
        <v>6.73</v>
      </c>
      <c r="W315" s="29">
        <f t="shared" si="29"/>
        <v>0.0501116902457185</v>
      </c>
      <c r="X315">
        <v>22.35</v>
      </c>
      <c r="Y315" t="s">
        <v>121</v>
      </c>
      <c r="Z315" s="34" t="str">
        <f t="shared" si="30"/>
        <v>Small</v>
      </c>
    </row>
    <row r="316" spans="1:26">
      <c r="A316" t="s">
        <v>1010</v>
      </c>
      <c r="B316" s="44">
        <v>45443</v>
      </c>
      <c r="C316" s="34">
        <f t="shared" si="25"/>
        <v>2024</v>
      </c>
      <c r="D316" s="34">
        <f t="shared" si="26"/>
        <v>5</v>
      </c>
      <c r="E316" s="34" t="str">
        <f t="shared" si="27"/>
        <v>May</v>
      </c>
      <c r="F316" s="44">
        <v>45445</v>
      </c>
      <c r="G316" t="s">
        <v>1011</v>
      </c>
      <c r="H316" t="s">
        <v>1012</v>
      </c>
      <c r="I316" t="s">
        <v>55</v>
      </c>
      <c r="J316" t="s">
        <v>43</v>
      </c>
      <c r="K316" t="s">
        <v>257</v>
      </c>
      <c r="L316" t="s">
        <v>258</v>
      </c>
      <c r="M316" t="s">
        <v>76</v>
      </c>
      <c r="N316" t="s">
        <v>421</v>
      </c>
      <c r="O316" t="s">
        <v>67</v>
      </c>
      <c r="P316" t="s">
        <v>252</v>
      </c>
      <c r="Q316" t="s">
        <v>422</v>
      </c>
      <c r="R316">
        <v>1369.6</v>
      </c>
      <c r="S316">
        <v>2</v>
      </c>
      <c r="T316">
        <v>0.2</v>
      </c>
      <c r="U316" s="34" t="str">
        <f t="shared" si="28"/>
        <v>Medium</v>
      </c>
      <c r="V316">
        <v>-116.65</v>
      </c>
      <c r="W316" s="29">
        <f t="shared" si="29"/>
        <v>-0.0851708528037383</v>
      </c>
      <c r="X316">
        <v>23.6</v>
      </c>
      <c r="Y316" t="s">
        <v>62</v>
      </c>
      <c r="Z316" s="34" t="str">
        <f t="shared" si="30"/>
        <v>Medium</v>
      </c>
    </row>
    <row r="317" spans="1:26">
      <c r="A317" t="s">
        <v>1013</v>
      </c>
      <c r="B317" s="44">
        <v>45217</v>
      </c>
      <c r="C317" s="34">
        <f t="shared" si="25"/>
        <v>2023</v>
      </c>
      <c r="D317" s="34">
        <f t="shared" si="26"/>
        <v>10</v>
      </c>
      <c r="E317" s="34" t="str">
        <f t="shared" si="27"/>
        <v>October</v>
      </c>
      <c r="F317" s="44">
        <v>45223</v>
      </c>
      <c r="G317" t="s">
        <v>853</v>
      </c>
      <c r="H317" t="s">
        <v>854</v>
      </c>
      <c r="I317" t="s">
        <v>29</v>
      </c>
      <c r="J317" t="s">
        <v>43</v>
      </c>
      <c r="K317" t="s">
        <v>180</v>
      </c>
      <c r="L317" t="s">
        <v>181</v>
      </c>
      <c r="M317" t="s">
        <v>46</v>
      </c>
      <c r="N317" t="s">
        <v>421</v>
      </c>
      <c r="O317" t="s">
        <v>67</v>
      </c>
      <c r="P317" t="s">
        <v>252</v>
      </c>
      <c r="Q317" t="s">
        <v>422</v>
      </c>
      <c r="R317">
        <v>599.2</v>
      </c>
      <c r="S317">
        <v>1</v>
      </c>
      <c r="T317">
        <v>0.3</v>
      </c>
      <c r="U317" s="34" t="str">
        <f t="shared" si="28"/>
        <v>High</v>
      </c>
      <c r="V317">
        <v>53.1</v>
      </c>
      <c r="W317" s="29">
        <f t="shared" si="29"/>
        <v>0.0886181575433912</v>
      </c>
      <c r="X317">
        <v>22.75</v>
      </c>
      <c r="Y317" t="s">
        <v>70</v>
      </c>
      <c r="Z317" s="34" t="str">
        <f t="shared" si="30"/>
        <v>Medium</v>
      </c>
    </row>
    <row r="318" spans="1:26">
      <c r="A318" t="s">
        <v>1014</v>
      </c>
      <c r="B318" s="44">
        <v>43987</v>
      </c>
      <c r="C318" s="34">
        <f t="shared" si="25"/>
        <v>2020</v>
      </c>
      <c r="D318" s="34">
        <f t="shared" si="26"/>
        <v>6</v>
      </c>
      <c r="E318" s="34" t="str">
        <f t="shared" si="27"/>
        <v>June</v>
      </c>
      <c r="F318" s="44">
        <v>43988</v>
      </c>
      <c r="G318" t="s">
        <v>521</v>
      </c>
      <c r="H318" t="s">
        <v>522</v>
      </c>
      <c r="I318" t="s">
        <v>29</v>
      </c>
      <c r="J318" t="s">
        <v>43</v>
      </c>
      <c r="K318" t="s">
        <v>108</v>
      </c>
      <c r="L318" t="s">
        <v>485</v>
      </c>
      <c r="M318" t="s">
        <v>58</v>
      </c>
      <c r="N318" t="s">
        <v>400</v>
      </c>
      <c r="O318" t="s">
        <v>67</v>
      </c>
      <c r="P318" t="s">
        <v>87</v>
      </c>
      <c r="Q318" t="s">
        <v>401</v>
      </c>
      <c r="R318">
        <v>1396</v>
      </c>
      <c r="S318">
        <v>5</v>
      </c>
      <c r="T318">
        <v>0.2</v>
      </c>
      <c r="U318" s="34" t="str">
        <f t="shared" si="28"/>
        <v>Medium</v>
      </c>
      <c r="V318">
        <v>165.75</v>
      </c>
      <c r="W318" s="29">
        <f t="shared" si="29"/>
        <v>0.118732091690544</v>
      </c>
      <c r="X318">
        <v>5.91</v>
      </c>
      <c r="Y318" t="s">
        <v>51</v>
      </c>
      <c r="Z318" s="34" t="str">
        <f t="shared" si="30"/>
        <v>Medium</v>
      </c>
    </row>
    <row r="319" spans="1:26">
      <c r="A319" t="s">
        <v>1015</v>
      </c>
      <c r="B319" s="44">
        <v>44515</v>
      </c>
      <c r="C319" s="34">
        <f t="shared" si="25"/>
        <v>2021</v>
      </c>
      <c r="D319" s="34">
        <f t="shared" si="26"/>
        <v>11</v>
      </c>
      <c r="E319" s="34" t="str">
        <f t="shared" si="27"/>
        <v>November</v>
      </c>
      <c r="F319" s="44">
        <v>44518</v>
      </c>
      <c r="G319" t="s">
        <v>90</v>
      </c>
      <c r="H319" t="s">
        <v>91</v>
      </c>
      <c r="I319" t="s">
        <v>42</v>
      </c>
      <c r="J319" t="s">
        <v>30</v>
      </c>
      <c r="K319" t="s">
        <v>92</v>
      </c>
      <c r="L319" t="s">
        <v>93</v>
      </c>
      <c r="M319" t="s">
        <v>76</v>
      </c>
      <c r="N319" t="s">
        <v>34</v>
      </c>
      <c r="O319" t="s">
        <v>35</v>
      </c>
      <c r="P319" t="s">
        <v>36</v>
      </c>
      <c r="Q319" t="s">
        <v>37</v>
      </c>
      <c r="R319">
        <v>449</v>
      </c>
      <c r="S319">
        <v>1</v>
      </c>
      <c r="T319">
        <v>0</v>
      </c>
      <c r="U319" s="34" t="str">
        <f t="shared" si="28"/>
        <v>No Discount</v>
      </c>
      <c r="V319">
        <v>43.35</v>
      </c>
      <c r="W319" s="29">
        <f t="shared" si="29"/>
        <v>0.0965478841870824</v>
      </c>
      <c r="X319">
        <v>35.1</v>
      </c>
      <c r="Y319" t="s">
        <v>51</v>
      </c>
      <c r="Z319" s="34" t="str">
        <f t="shared" si="30"/>
        <v>Small</v>
      </c>
    </row>
    <row r="320" spans="1:26">
      <c r="A320" t="s">
        <v>1016</v>
      </c>
      <c r="B320" s="44">
        <v>45148</v>
      </c>
      <c r="C320" s="34">
        <f t="shared" si="25"/>
        <v>2023</v>
      </c>
      <c r="D320" s="34">
        <f t="shared" si="26"/>
        <v>8</v>
      </c>
      <c r="E320" s="34" t="str">
        <f t="shared" si="27"/>
        <v>August</v>
      </c>
      <c r="F320" s="44">
        <v>45150</v>
      </c>
      <c r="G320" t="s">
        <v>573</v>
      </c>
      <c r="H320" t="s">
        <v>574</v>
      </c>
      <c r="I320" t="s">
        <v>55</v>
      </c>
      <c r="J320" t="s">
        <v>43</v>
      </c>
      <c r="K320" t="s">
        <v>180</v>
      </c>
      <c r="L320" t="s">
        <v>291</v>
      </c>
      <c r="M320" t="s">
        <v>46</v>
      </c>
      <c r="N320" t="s">
        <v>321</v>
      </c>
      <c r="O320" t="s">
        <v>48</v>
      </c>
      <c r="P320" t="s">
        <v>190</v>
      </c>
      <c r="Q320" t="s">
        <v>322</v>
      </c>
      <c r="R320">
        <v>221.25</v>
      </c>
      <c r="S320">
        <v>5</v>
      </c>
      <c r="T320">
        <v>0.25</v>
      </c>
      <c r="U320" s="34" t="str">
        <f t="shared" si="28"/>
        <v>High</v>
      </c>
      <c r="V320">
        <v>31.25</v>
      </c>
      <c r="W320" s="29">
        <f t="shared" si="29"/>
        <v>0.141242937853107</v>
      </c>
      <c r="X320">
        <v>43.33</v>
      </c>
      <c r="Y320" t="s">
        <v>137</v>
      </c>
      <c r="Z320" s="34" t="str">
        <f t="shared" si="30"/>
        <v>Small</v>
      </c>
    </row>
    <row r="321" spans="1:26">
      <c r="A321" t="s">
        <v>1017</v>
      </c>
      <c r="B321" s="44">
        <v>43935</v>
      </c>
      <c r="C321" s="34">
        <f t="shared" si="25"/>
        <v>2020</v>
      </c>
      <c r="D321" s="34">
        <f t="shared" si="26"/>
        <v>4</v>
      </c>
      <c r="E321" s="34" t="str">
        <f t="shared" si="27"/>
        <v>April</v>
      </c>
      <c r="F321" s="44">
        <v>43942</v>
      </c>
      <c r="G321" t="s">
        <v>906</v>
      </c>
      <c r="H321" t="s">
        <v>907</v>
      </c>
      <c r="I321" t="s">
        <v>55</v>
      </c>
      <c r="J321" t="s">
        <v>43</v>
      </c>
      <c r="K321" t="s">
        <v>472</v>
      </c>
      <c r="L321" t="s">
        <v>473</v>
      </c>
      <c r="M321" t="s">
        <v>58</v>
      </c>
      <c r="N321" t="s">
        <v>264</v>
      </c>
      <c r="O321" t="s">
        <v>67</v>
      </c>
      <c r="P321" t="s">
        <v>87</v>
      </c>
      <c r="Q321" t="s">
        <v>265</v>
      </c>
      <c r="R321">
        <v>1255.5</v>
      </c>
      <c r="S321">
        <v>5</v>
      </c>
      <c r="T321">
        <v>0.1</v>
      </c>
      <c r="U321" s="34" t="str">
        <f t="shared" si="28"/>
        <v>Low</v>
      </c>
      <c r="V321">
        <v>142.54</v>
      </c>
      <c r="W321" s="29">
        <f t="shared" si="29"/>
        <v>0.113532457188371</v>
      </c>
      <c r="X321">
        <v>27.07</v>
      </c>
      <c r="Y321" t="s">
        <v>70</v>
      </c>
      <c r="Z321" s="34" t="str">
        <f t="shared" si="30"/>
        <v>Medium</v>
      </c>
    </row>
    <row r="322" spans="1:26">
      <c r="A322" t="s">
        <v>1018</v>
      </c>
      <c r="B322" s="44">
        <v>44585</v>
      </c>
      <c r="C322" s="34">
        <f t="shared" ref="C322:C385" si="31">YEAR(B322)</f>
        <v>2022</v>
      </c>
      <c r="D322" s="34">
        <f t="shared" ref="D322:D385" si="32">MONTH(B322)</f>
        <v>1</v>
      </c>
      <c r="E322" s="34" t="str">
        <f t="shared" ref="E322:E385" si="33">TEXT(B322,"mmmm")</f>
        <v>January</v>
      </c>
      <c r="F322" s="44">
        <v>44587</v>
      </c>
      <c r="G322" t="s">
        <v>1019</v>
      </c>
      <c r="H322" t="s">
        <v>661</v>
      </c>
      <c r="I322" t="s">
        <v>42</v>
      </c>
      <c r="J322" t="s">
        <v>43</v>
      </c>
      <c r="K322" t="s">
        <v>187</v>
      </c>
      <c r="L322" t="s">
        <v>188</v>
      </c>
      <c r="M322" t="s">
        <v>33</v>
      </c>
      <c r="N322" t="s">
        <v>278</v>
      </c>
      <c r="O322" t="s">
        <v>35</v>
      </c>
      <c r="P322" t="s">
        <v>202</v>
      </c>
      <c r="Q322" t="s">
        <v>279</v>
      </c>
      <c r="R322">
        <v>3596</v>
      </c>
      <c r="S322">
        <v>4</v>
      </c>
      <c r="T322">
        <v>0</v>
      </c>
      <c r="U322" s="34" t="str">
        <f t="shared" ref="U322:U385" si="34">IF(T322=0,"No Discount",IF(T322&lt;=0.1,"Low",IF(T322&lt;=0.2,"Medium","High")))</f>
        <v>No Discount</v>
      </c>
      <c r="V322">
        <v>351.4</v>
      </c>
      <c r="W322" s="29">
        <f t="shared" ref="W322:W385" si="35">V322/R322</f>
        <v>0.0977196885428254</v>
      </c>
      <c r="X322">
        <v>27.32</v>
      </c>
      <c r="Y322" t="s">
        <v>51</v>
      </c>
      <c r="Z322" s="34" t="str">
        <f t="shared" ref="Z322:Z385" si="36">IF(R322&lt;500,"Small",IF(R322&lt;=2000,"Medium","Large"))</f>
        <v>Large</v>
      </c>
    </row>
    <row r="323" spans="1:26">
      <c r="A323" t="s">
        <v>1020</v>
      </c>
      <c r="B323" s="44">
        <v>44695</v>
      </c>
      <c r="C323" s="34">
        <f t="shared" si="31"/>
        <v>2022</v>
      </c>
      <c r="D323" s="34">
        <f t="shared" si="32"/>
        <v>5</v>
      </c>
      <c r="E323" s="34" t="str">
        <f t="shared" si="33"/>
        <v>May</v>
      </c>
      <c r="F323" s="44">
        <v>44701</v>
      </c>
      <c r="G323" t="s">
        <v>166</v>
      </c>
      <c r="H323" t="s">
        <v>167</v>
      </c>
      <c r="I323" t="s">
        <v>55</v>
      </c>
      <c r="J323" t="s">
        <v>43</v>
      </c>
      <c r="K323" t="s">
        <v>168</v>
      </c>
      <c r="L323" t="s">
        <v>169</v>
      </c>
      <c r="M323" t="s">
        <v>76</v>
      </c>
      <c r="N323" t="s">
        <v>837</v>
      </c>
      <c r="O323" t="s">
        <v>35</v>
      </c>
      <c r="P323" t="s">
        <v>111</v>
      </c>
      <c r="Q323" t="s">
        <v>838</v>
      </c>
      <c r="R323">
        <v>170.05</v>
      </c>
      <c r="S323">
        <v>1</v>
      </c>
      <c r="T323">
        <v>0.05</v>
      </c>
      <c r="U323" s="34" t="str">
        <f t="shared" si="34"/>
        <v>Low</v>
      </c>
      <c r="V323">
        <v>30.36</v>
      </c>
      <c r="W323" s="29">
        <f t="shared" si="35"/>
        <v>0.178535724786827</v>
      </c>
      <c r="X323">
        <v>12.17</v>
      </c>
      <c r="Y323" t="s">
        <v>80</v>
      </c>
      <c r="Z323" s="34" t="str">
        <f t="shared" si="36"/>
        <v>Small</v>
      </c>
    </row>
    <row r="324" spans="1:26">
      <c r="A324" t="s">
        <v>1021</v>
      </c>
      <c r="B324" s="44">
        <v>44162</v>
      </c>
      <c r="C324" s="34">
        <f t="shared" si="31"/>
        <v>2020</v>
      </c>
      <c r="D324" s="34">
        <f t="shared" si="32"/>
        <v>11</v>
      </c>
      <c r="E324" s="34" t="str">
        <f t="shared" si="33"/>
        <v>November</v>
      </c>
      <c r="F324" s="44">
        <v>44169</v>
      </c>
      <c r="G324" t="s">
        <v>373</v>
      </c>
      <c r="H324" t="s">
        <v>374</v>
      </c>
      <c r="I324" t="s">
        <v>42</v>
      </c>
      <c r="J324" t="s">
        <v>43</v>
      </c>
      <c r="K324" t="s">
        <v>74</v>
      </c>
      <c r="L324" t="s">
        <v>75</v>
      </c>
      <c r="M324" t="s">
        <v>76</v>
      </c>
      <c r="N324" t="s">
        <v>872</v>
      </c>
      <c r="O324" t="s">
        <v>35</v>
      </c>
      <c r="P324" t="s">
        <v>163</v>
      </c>
      <c r="Q324" t="s">
        <v>873</v>
      </c>
      <c r="R324">
        <v>1349.1</v>
      </c>
      <c r="S324">
        <v>1</v>
      </c>
      <c r="T324">
        <v>0.1</v>
      </c>
      <c r="U324" s="34" t="str">
        <f t="shared" si="34"/>
        <v>Low</v>
      </c>
      <c r="V324">
        <v>-119.92</v>
      </c>
      <c r="W324" s="29">
        <f t="shared" si="35"/>
        <v>-0.0888888888888889</v>
      </c>
      <c r="X324">
        <v>39.97</v>
      </c>
      <c r="Y324" t="s">
        <v>38</v>
      </c>
      <c r="Z324" s="34" t="str">
        <f t="shared" si="36"/>
        <v>Medium</v>
      </c>
    </row>
    <row r="325" spans="1:26">
      <c r="A325" t="s">
        <v>1022</v>
      </c>
      <c r="B325" s="44">
        <v>45599</v>
      </c>
      <c r="C325" s="34">
        <f t="shared" si="31"/>
        <v>2024</v>
      </c>
      <c r="D325" s="34">
        <f t="shared" si="32"/>
        <v>11</v>
      </c>
      <c r="E325" s="34" t="str">
        <f t="shared" si="33"/>
        <v>November</v>
      </c>
      <c r="F325" s="44">
        <v>45605</v>
      </c>
      <c r="G325" t="s">
        <v>1023</v>
      </c>
      <c r="H325" t="s">
        <v>1024</v>
      </c>
      <c r="I325" t="s">
        <v>42</v>
      </c>
      <c r="J325" t="s">
        <v>43</v>
      </c>
      <c r="K325" t="s">
        <v>240</v>
      </c>
      <c r="L325" t="s">
        <v>241</v>
      </c>
      <c r="M325" t="s">
        <v>46</v>
      </c>
      <c r="N325" t="s">
        <v>400</v>
      </c>
      <c r="O325" t="s">
        <v>67</v>
      </c>
      <c r="P325" t="s">
        <v>87</v>
      </c>
      <c r="Q325" t="s">
        <v>401</v>
      </c>
      <c r="R325">
        <v>698</v>
      </c>
      <c r="S325">
        <v>2</v>
      </c>
      <c r="T325">
        <v>0</v>
      </c>
      <c r="U325" s="34" t="str">
        <f t="shared" si="34"/>
        <v>No Discount</v>
      </c>
      <c r="V325">
        <v>-60.53</v>
      </c>
      <c r="W325" s="29">
        <f t="shared" si="35"/>
        <v>-0.0867191977077364</v>
      </c>
      <c r="X325">
        <v>15.62</v>
      </c>
      <c r="Y325" t="s">
        <v>70</v>
      </c>
      <c r="Z325" s="34" t="str">
        <f t="shared" si="36"/>
        <v>Medium</v>
      </c>
    </row>
    <row r="326" spans="1:26">
      <c r="A326" t="s">
        <v>1025</v>
      </c>
      <c r="B326" s="44">
        <v>44265</v>
      </c>
      <c r="C326" s="34">
        <f t="shared" si="31"/>
        <v>2021</v>
      </c>
      <c r="D326" s="34">
        <f t="shared" si="32"/>
        <v>3</v>
      </c>
      <c r="E326" s="34" t="str">
        <f t="shared" si="33"/>
        <v>March</v>
      </c>
      <c r="F326" s="44">
        <v>44267</v>
      </c>
      <c r="G326" t="s">
        <v>619</v>
      </c>
      <c r="H326" t="s">
        <v>620</v>
      </c>
      <c r="I326" t="s">
        <v>55</v>
      </c>
      <c r="J326" t="s">
        <v>43</v>
      </c>
      <c r="K326" t="s">
        <v>168</v>
      </c>
      <c r="L326" t="s">
        <v>621</v>
      </c>
      <c r="M326" t="s">
        <v>76</v>
      </c>
      <c r="N326" t="s">
        <v>623</v>
      </c>
      <c r="O326" t="s">
        <v>67</v>
      </c>
      <c r="P326" t="s">
        <v>87</v>
      </c>
      <c r="Q326" t="s">
        <v>624</v>
      </c>
      <c r="R326">
        <v>697.2</v>
      </c>
      <c r="S326">
        <v>4</v>
      </c>
      <c r="T326">
        <v>0.3</v>
      </c>
      <c r="U326" s="34" t="str">
        <f t="shared" si="34"/>
        <v>High</v>
      </c>
      <c r="V326">
        <v>-42.18</v>
      </c>
      <c r="W326" s="29">
        <f t="shared" si="35"/>
        <v>-0.0604991394148021</v>
      </c>
      <c r="X326">
        <v>24.39</v>
      </c>
      <c r="Y326" t="s">
        <v>80</v>
      </c>
      <c r="Z326" s="34" t="str">
        <f t="shared" si="36"/>
        <v>Medium</v>
      </c>
    </row>
    <row r="327" spans="1:26">
      <c r="A327" t="s">
        <v>1026</v>
      </c>
      <c r="B327" s="44">
        <v>44292</v>
      </c>
      <c r="C327" s="34">
        <f t="shared" si="31"/>
        <v>2021</v>
      </c>
      <c r="D327" s="34">
        <f t="shared" si="32"/>
        <v>4</v>
      </c>
      <c r="E327" s="34" t="str">
        <f t="shared" si="33"/>
        <v>April</v>
      </c>
      <c r="F327" s="44">
        <v>44294</v>
      </c>
      <c r="G327" t="s">
        <v>123</v>
      </c>
      <c r="H327" t="s">
        <v>124</v>
      </c>
      <c r="I327" t="s">
        <v>29</v>
      </c>
      <c r="J327" t="s">
        <v>43</v>
      </c>
      <c r="K327" t="s">
        <v>125</v>
      </c>
      <c r="L327" t="s">
        <v>126</v>
      </c>
      <c r="M327" t="s">
        <v>58</v>
      </c>
      <c r="N327" t="s">
        <v>415</v>
      </c>
      <c r="O327" t="s">
        <v>67</v>
      </c>
      <c r="P327" t="s">
        <v>252</v>
      </c>
      <c r="Q327" t="s">
        <v>416</v>
      </c>
      <c r="R327">
        <v>957.6</v>
      </c>
      <c r="S327">
        <v>3</v>
      </c>
      <c r="T327">
        <v>0.2</v>
      </c>
      <c r="U327" s="34" t="str">
        <f t="shared" si="34"/>
        <v>Medium</v>
      </c>
      <c r="V327">
        <v>162</v>
      </c>
      <c r="W327" s="29">
        <f t="shared" si="35"/>
        <v>0.169172932330827</v>
      </c>
      <c r="X327">
        <v>34.56</v>
      </c>
      <c r="Y327" t="s">
        <v>38</v>
      </c>
      <c r="Z327" s="34" t="str">
        <f t="shared" si="36"/>
        <v>Medium</v>
      </c>
    </row>
    <row r="328" spans="1:26">
      <c r="A328" t="s">
        <v>1027</v>
      </c>
      <c r="B328" s="44">
        <v>44155</v>
      </c>
      <c r="C328" s="34">
        <f t="shared" si="31"/>
        <v>2020</v>
      </c>
      <c r="D328" s="34">
        <f t="shared" si="32"/>
        <v>11</v>
      </c>
      <c r="E328" s="34" t="str">
        <f t="shared" si="33"/>
        <v>November</v>
      </c>
      <c r="F328" s="44">
        <v>44161</v>
      </c>
      <c r="G328" t="s">
        <v>428</v>
      </c>
      <c r="H328" t="s">
        <v>429</v>
      </c>
      <c r="I328" t="s">
        <v>29</v>
      </c>
      <c r="J328" t="s">
        <v>30</v>
      </c>
      <c r="K328" t="s">
        <v>380</v>
      </c>
      <c r="L328" t="s">
        <v>381</v>
      </c>
      <c r="M328" t="s">
        <v>58</v>
      </c>
      <c r="N328" t="s">
        <v>127</v>
      </c>
      <c r="O328" t="s">
        <v>48</v>
      </c>
      <c r="P328" t="s">
        <v>128</v>
      </c>
      <c r="Q328" t="s">
        <v>129</v>
      </c>
      <c r="R328">
        <v>45.5</v>
      </c>
      <c r="S328">
        <v>1</v>
      </c>
      <c r="T328">
        <v>0.3</v>
      </c>
      <c r="U328" s="34" t="str">
        <f t="shared" si="34"/>
        <v>High</v>
      </c>
      <c r="V328">
        <v>2.84</v>
      </c>
      <c r="W328" s="29">
        <f t="shared" si="35"/>
        <v>0.0624175824175824</v>
      </c>
      <c r="X328">
        <v>28.44</v>
      </c>
      <c r="Y328" t="s">
        <v>62</v>
      </c>
      <c r="Z328" s="34" t="str">
        <f t="shared" si="36"/>
        <v>Small</v>
      </c>
    </row>
    <row r="329" spans="1:26">
      <c r="A329" t="s">
        <v>1028</v>
      </c>
      <c r="B329" s="44">
        <v>44884</v>
      </c>
      <c r="C329" s="34">
        <f t="shared" si="31"/>
        <v>2022</v>
      </c>
      <c r="D329" s="34">
        <f t="shared" si="32"/>
        <v>11</v>
      </c>
      <c r="E329" s="34" t="str">
        <f t="shared" si="33"/>
        <v>November</v>
      </c>
      <c r="F329" s="44">
        <v>44886</v>
      </c>
      <c r="G329" t="s">
        <v>677</v>
      </c>
      <c r="H329" t="s">
        <v>678</v>
      </c>
      <c r="I329" t="s">
        <v>55</v>
      </c>
      <c r="J329" t="s">
        <v>43</v>
      </c>
      <c r="K329" t="s">
        <v>284</v>
      </c>
      <c r="L329" t="s">
        <v>285</v>
      </c>
      <c r="M329" t="s">
        <v>76</v>
      </c>
      <c r="N329" t="s">
        <v>500</v>
      </c>
      <c r="O329" t="s">
        <v>67</v>
      </c>
      <c r="P329" t="s">
        <v>68</v>
      </c>
      <c r="Q329" t="s">
        <v>501</v>
      </c>
      <c r="R329">
        <v>2196</v>
      </c>
      <c r="S329">
        <v>4</v>
      </c>
      <c r="T329">
        <v>0</v>
      </c>
      <c r="U329" s="34" t="str">
        <f t="shared" si="34"/>
        <v>No Discount</v>
      </c>
      <c r="V329">
        <v>315.57</v>
      </c>
      <c r="W329" s="29">
        <f t="shared" si="35"/>
        <v>0.14370218579235</v>
      </c>
      <c r="X329">
        <v>46.09</v>
      </c>
      <c r="Y329" t="s">
        <v>51</v>
      </c>
      <c r="Z329" s="34" t="str">
        <f t="shared" si="36"/>
        <v>Large</v>
      </c>
    </row>
    <row r="330" spans="1:26">
      <c r="A330" t="s">
        <v>1029</v>
      </c>
      <c r="B330" s="44">
        <v>43942</v>
      </c>
      <c r="C330" s="34">
        <f t="shared" si="31"/>
        <v>2020</v>
      </c>
      <c r="D330" s="34">
        <f t="shared" si="32"/>
        <v>4</v>
      </c>
      <c r="E330" s="34" t="str">
        <f t="shared" si="33"/>
        <v>April</v>
      </c>
      <c r="F330" s="44">
        <v>43948</v>
      </c>
      <c r="G330" t="s">
        <v>901</v>
      </c>
      <c r="H330" t="s">
        <v>902</v>
      </c>
      <c r="I330" t="s">
        <v>42</v>
      </c>
      <c r="J330" t="s">
        <v>43</v>
      </c>
      <c r="K330" t="s">
        <v>262</v>
      </c>
      <c r="L330" t="s">
        <v>568</v>
      </c>
      <c r="M330" t="s">
        <v>58</v>
      </c>
      <c r="N330" t="s">
        <v>292</v>
      </c>
      <c r="O330" t="s">
        <v>35</v>
      </c>
      <c r="P330" t="s">
        <v>163</v>
      </c>
      <c r="Q330" t="s">
        <v>293</v>
      </c>
      <c r="R330">
        <v>6495</v>
      </c>
      <c r="S330">
        <v>5</v>
      </c>
      <c r="T330">
        <v>0</v>
      </c>
      <c r="U330" s="34" t="str">
        <f t="shared" si="34"/>
        <v>No Discount</v>
      </c>
      <c r="V330">
        <v>641.74</v>
      </c>
      <c r="W330" s="29">
        <f t="shared" si="35"/>
        <v>0.0988052347959969</v>
      </c>
      <c r="X330">
        <v>25.86</v>
      </c>
      <c r="Y330" t="s">
        <v>137</v>
      </c>
      <c r="Z330" s="34" t="str">
        <f t="shared" si="36"/>
        <v>Large</v>
      </c>
    </row>
    <row r="331" spans="1:26">
      <c r="A331" t="s">
        <v>1030</v>
      </c>
      <c r="B331" s="44">
        <v>45401</v>
      </c>
      <c r="C331" s="34">
        <f t="shared" si="31"/>
        <v>2024</v>
      </c>
      <c r="D331" s="34">
        <f t="shared" si="32"/>
        <v>4</v>
      </c>
      <c r="E331" s="34" t="str">
        <f t="shared" si="33"/>
        <v>April</v>
      </c>
      <c r="F331" s="44">
        <v>45403</v>
      </c>
      <c r="G331" t="s">
        <v>1031</v>
      </c>
      <c r="H331" t="s">
        <v>1032</v>
      </c>
      <c r="I331" t="s">
        <v>55</v>
      </c>
      <c r="J331" t="s">
        <v>43</v>
      </c>
      <c r="K331" t="s">
        <v>125</v>
      </c>
      <c r="L331" t="s">
        <v>808</v>
      </c>
      <c r="M331" t="s">
        <v>58</v>
      </c>
      <c r="N331" t="s">
        <v>141</v>
      </c>
      <c r="O331" t="s">
        <v>35</v>
      </c>
      <c r="P331" t="s">
        <v>111</v>
      </c>
      <c r="Q331" t="s">
        <v>142</v>
      </c>
      <c r="R331">
        <v>141.55</v>
      </c>
      <c r="S331">
        <v>1</v>
      </c>
      <c r="T331">
        <v>0.05</v>
      </c>
      <c r="U331" s="34" t="str">
        <f t="shared" si="34"/>
        <v>Low</v>
      </c>
      <c r="V331">
        <v>4.04</v>
      </c>
      <c r="W331" s="29">
        <f t="shared" si="35"/>
        <v>0.0285411515365595</v>
      </c>
      <c r="X331">
        <v>33.71</v>
      </c>
      <c r="Y331" t="s">
        <v>137</v>
      </c>
      <c r="Z331" s="34" t="str">
        <f t="shared" si="36"/>
        <v>Small</v>
      </c>
    </row>
    <row r="332" spans="1:26">
      <c r="A332" t="s">
        <v>1033</v>
      </c>
      <c r="B332" s="44">
        <v>45117</v>
      </c>
      <c r="C332" s="34">
        <f t="shared" si="31"/>
        <v>2023</v>
      </c>
      <c r="D332" s="34">
        <f t="shared" si="32"/>
        <v>7</v>
      </c>
      <c r="E332" s="34" t="str">
        <f t="shared" si="33"/>
        <v>July</v>
      </c>
      <c r="F332" s="44">
        <v>45120</v>
      </c>
      <c r="G332" t="s">
        <v>403</v>
      </c>
      <c r="H332" t="s">
        <v>404</v>
      </c>
      <c r="I332" t="s">
        <v>29</v>
      </c>
      <c r="J332" t="s">
        <v>43</v>
      </c>
      <c r="K332" t="s">
        <v>187</v>
      </c>
      <c r="L332" t="s">
        <v>188</v>
      </c>
      <c r="M332" t="s">
        <v>33</v>
      </c>
      <c r="N332" t="s">
        <v>424</v>
      </c>
      <c r="O332" t="s">
        <v>67</v>
      </c>
      <c r="P332" t="s">
        <v>103</v>
      </c>
      <c r="Q332" t="s">
        <v>425</v>
      </c>
      <c r="R332">
        <v>1947</v>
      </c>
      <c r="S332">
        <v>3</v>
      </c>
      <c r="T332">
        <v>0</v>
      </c>
      <c r="U332" s="34" t="str">
        <f t="shared" si="34"/>
        <v>No Discount</v>
      </c>
      <c r="V332">
        <v>425.34</v>
      </c>
      <c r="W332" s="29">
        <f t="shared" si="35"/>
        <v>0.218459167950693</v>
      </c>
      <c r="X332">
        <v>9.99</v>
      </c>
      <c r="Y332" t="s">
        <v>51</v>
      </c>
      <c r="Z332" s="34" t="str">
        <f t="shared" si="36"/>
        <v>Medium</v>
      </c>
    </row>
    <row r="333" spans="1:26">
      <c r="A333" t="s">
        <v>1034</v>
      </c>
      <c r="B333" s="44">
        <v>45531</v>
      </c>
      <c r="C333" s="34">
        <f t="shared" si="31"/>
        <v>2024</v>
      </c>
      <c r="D333" s="34">
        <f t="shared" si="32"/>
        <v>8</v>
      </c>
      <c r="E333" s="34" t="str">
        <f t="shared" si="33"/>
        <v>August</v>
      </c>
      <c r="F333" s="44">
        <v>45533</v>
      </c>
      <c r="G333" t="s">
        <v>921</v>
      </c>
      <c r="H333" t="s">
        <v>922</v>
      </c>
      <c r="I333" t="s">
        <v>55</v>
      </c>
      <c r="J333" t="s">
        <v>43</v>
      </c>
      <c r="K333" t="s">
        <v>199</v>
      </c>
      <c r="L333" t="s">
        <v>851</v>
      </c>
      <c r="M333" t="s">
        <v>46</v>
      </c>
      <c r="N333" t="s">
        <v>275</v>
      </c>
      <c r="O333" t="s">
        <v>67</v>
      </c>
      <c r="P333" t="s">
        <v>103</v>
      </c>
      <c r="Q333" t="s">
        <v>276</v>
      </c>
      <c r="R333">
        <v>3370.5</v>
      </c>
      <c r="S333">
        <v>5</v>
      </c>
      <c r="T333">
        <v>0.1</v>
      </c>
      <c r="U333" s="34" t="str">
        <f t="shared" si="34"/>
        <v>Low</v>
      </c>
      <c r="V333">
        <v>728.15</v>
      </c>
      <c r="W333" s="29">
        <f t="shared" si="35"/>
        <v>0.216036196410028</v>
      </c>
      <c r="X333">
        <v>44.52</v>
      </c>
      <c r="Y333" t="s">
        <v>70</v>
      </c>
      <c r="Z333" s="34" t="str">
        <f t="shared" si="36"/>
        <v>Large</v>
      </c>
    </row>
    <row r="334" spans="1:26">
      <c r="A334" t="s">
        <v>1035</v>
      </c>
      <c r="B334" s="44">
        <v>44820</v>
      </c>
      <c r="C334" s="34">
        <f t="shared" si="31"/>
        <v>2022</v>
      </c>
      <c r="D334" s="34">
        <f t="shared" si="32"/>
        <v>9</v>
      </c>
      <c r="E334" s="34" t="str">
        <f t="shared" si="33"/>
        <v>September</v>
      </c>
      <c r="F334" s="44">
        <v>44823</v>
      </c>
      <c r="G334" t="s">
        <v>996</v>
      </c>
      <c r="H334" t="s">
        <v>997</v>
      </c>
      <c r="I334" t="s">
        <v>42</v>
      </c>
      <c r="J334" t="s">
        <v>30</v>
      </c>
      <c r="K334" t="s">
        <v>92</v>
      </c>
      <c r="L334" t="s">
        <v>607</v>
      </c>
      <c r="M334" t="s">
        <v>76</v>
      </c>
      <c r="N334" t="s">
        <v>86</v>
      </c>
      <c r="O334" t="s">
        <v>67</v>
      </c>
      <c r="P334" t="s">
        <v>87</v>
      </c>
      <c r="Q334" t="s">
        <v>88</v>
      </c>
      <c r="R334">
        <v>139.65</v>
      </c>
      <c r="S334">
        <v>3</v>
      </c>
      <c r="T334">
        <v>0.05</v>
      </c>
      <c r="U334" s="34" t="str">
        <f t="shared" si="34"/>
        <v>Low</v>
      </c>
      <c r="V334">
        <v>-12.7</v>
      </c>
      <c r="W334" s="29">
        <f t="shared" si="35"/>
        <v>-0.0909416398138203</v>
      </c>
      <c r="X334">
        <v>5.1</v>
      </c>
      <c r="Y334" t="s">
        <v>121</v>
      </c>
      <c r="Z334" s="34" t="str">
        <f t="shared" si="36"/>
        <v>Small</v>
      </c>
    </row>
    <row r="335" spans="1:26">
      <c r="A335" t="s">
        <v>1036</v>
      </c>
      <c r="B335" s="44">
        <v>45628</v>
      </c>
      <c r="C335" s="34">
        <f t="shared" si="31"/>
        <v>2024</v>
      </c>
      <c r="D335" s="34">
        <f t="shared" si="32"/>
        <v>12</v>
      </c>
      <c r="E335" s="34" t="str">
        <f t="shared" si="33"/>
        <v>December</v>
      </c>
      <c r="F335" s="44">
        <v>45631</v>
      </c>
      <c r="G335" t="s">
        <v>570</v>
      </c>
      <c r="H335" t="s">
        <v>571</v>
      </c>
      <c r="I335" t="s">
        <v>42</v>
      </c>
      <c r="J335" t="s">
        <v>43</v>
      </c>
      <c r="K335" t="s">
        <v>284</v>
      </c>
      <c r="L335" t="s">
        <v>414</v>
      </c>
      <c r="M335" t="s">
        <v>76</v>
      </c>
      <c r="N335" t="s">
        <v>110</v>
      </c>
      <c r="O335" t="s">
        <v>35</v>
      </c>
      <c r="P335" t="s">
        <v>111</v>
      </c>
      <c r="Q335" t="s">
        <v>112</v>
      </c>
      <c r="R335">
        <v>358.2</v>
      </c>
      <c r="S335">
        <v>2</v>
      </c>
      <c r="T335">
        <v>0.1</v>
      </c>
      <c r="U335" s="34" t="str">
        <f t="shared" si="34"/>
        <v>Low</v>
      </c>
      <c r="V335">
        <v>25.3</v>
      </c>
      <c r="W335" s="29">
        <f t="shared" si="35"/>
        <v>0.0706309324399777</v>
      </c>
      <c r="X335">
        <v>35.06</v>
      </c>
      <c r="Y335" t="s">
        <v>38</v>
      </c>
      <c r="Z335" s="34" t="str">
        <f t="shared" si="36"/>
        <v>Small</v>
      </c>
    </row>
    <row r="336" spans="1:26">
      <c r="A336" t="s">
        <v>1037</v>
      </c>
      <c r="B336" s="44">
        <v>45333</v>
      </c>
      <c r="C336" s="34">
        <f t="shared" si="31"/>
        <v>2024</v>
      </c>
      <c r="D336" s="34">
        <f t="shared" si="32"/>
        <v>2</v>
      </c>
      <c r="E336" s="34" t="str">
        <f t="shared" si="33"/>
        <v>February</v>
      </c>
      <c r="F336" s="44">
        <v>45335</v>
      </c>
      <c r="G336" t="s">
        <v>406</v>
      </c>
      <c r="H336" t="s">
        <v>407</v>
      </c>
      <c r="I336" t="s">
        <v>55</v>
      </c>
      <c r="J336" t="s">
        <v>43</v>
      </c>
      <c r="K336" t="s">
        <v>213</v>
      </c>
      <c r="L336" t="s">
        <v>408</v>
      </c>
      <c r="M336" t="s">
        <v>33</v>
      </c>
      <c r="N336" t="s">
        <v>421</v>
      </c>
      <c r="O336" t="s">
        <v>67</v>
      </c>
      <c r="P336" t="s">
        <v>252</v>
      </c>
      <c r="Q336" t="s">
        <v>422</v>
      </c>
      <c r="R336">
        <v>727.6</v>
      </c>
      <c r="S336">
        <v>1</v>
      </c>
      <c r="T336">
        <v>0.15</v>
      </c>
      <c r="U336" s="34" t="str">
        <f t="shared" si="34"/>
        <v>Medium</v>
      </c>
      <c r="V336">
        <v>148.1</v>
      </c>
      <c r="W336" s="29">
        <f t="shared" si="35"/>
        <v>0.203545904343046</v>
      </c>
      <c r="X336">
        <v>39.92</v>
      </c>
      <c r="Y336" t="s">
        <v>70</v>
      </c>
      <c r="Z336" s="34" t="str">
        <f t="shared" si="36"/>
        <v>Medium</v>
      </c>
    </row>
    <row r="337" spans="1:26">
      <c r="A337" t="s">
        <v>1038</v>
      </c>
      <c r="B337" s="44">
        <v>44588</v>
      </c>
      <c r="C337" s="34">
        <f t="shared" si="31"/>
        <v>2022</v>
      </c>
      <c r="D337" s="34">
        <f t="shared" si="32"/>
        <v>1</v>
      </c>
      <c r="E337" s="34" t="str">
        <f t="shared" si="33"/>
        <v>January</v>
      </c>
      <c r="F337" s="44">
        <v>44595</v>
      </c>
      <c r="G337" t="s">
        <v>64</v>
      </c>
      <c r="H337" t="s">
        <v>65</v>
      </c>
      <c r="I337" t="s">
        <v>42</v>
      </c>
      <c r="J337" t="s">
        <v>43</v>
      </c>
      <c r="K337" t="s">
        <v>31</v>
      </c>
      <c r="L337" t="s">
        <v>32</v>
      </c>
      <c r="M337" t="s">
        <v>33</v>
      </c>
      <c r="N337" t="s">
        <v>698</v>
      </c>
      <c r="O337" t="s">
        <v>35</v>
      </c>
      <c r="P337" t="s">
        <v>36</v>
      </c>
      <c r="Q337" t="s">
        <v>699</v>
      </c>
      <c r="R337">
        <v>1785</v>
      </c>
      <c r="S337">
        <v>3</v>
      </c>
      <c r="T337">
        <v>0</v>
      </c>
      <c r="U337" s="34" t="str">
        <f t="shared" si="34"/>
        <v>No Discount</v>
      </c>
      <c r="V337">
        <v>-157.01</v>
      </c>
      <c r="W337" s="29">
        <f t="shared" si="35"/>
        <v>-0.0879607843137255</v>
      </c>
      <c r="X337">
        <v>47.35</v>
      </c>
      <c r="Y337" t="s">
        <v>137</v>
      </c>
      <c r="Z337" s="34" t="str">
        <f t="shared" si="36"/>
        <v>Medium</v>
      </c>
    </row>
    <row r="338" spans="1:26">
      <c r="A338" t="s">
        <v>1039</v>
      </c>
      <c r="B338" s="44">
        <v>44077</v>
      </c>
      <c r="C338" s="34">
        <f t="shared" si="31"/>
        <v>2020</v>
      </c>
      <c r="D338" s="34">
        <f t="shared" si="32"/>
        <v>9</v>
      </c>
      <c r="E338" s="34" t="str">
        <f t="shared" si="33"/>
        <v>September</v>
      </c>
      <c r="F338" s="44">
        <v>44083</v>
      </c>
      <c r="G338" t="s">
        <v>761</v>
      </c>
      <c r="H338" t="s">
        <v>762</v>
      </c>
      <c r="I338" t="s">
        <v>55</v>
      </c>
      <c r="J338" t="s">
        <v>43</v>
      </c>
      <c r="K338" t="s">
        <v>645</v>
      </c>
      <c r="L338" t="s">
        <v>646</v>
      </c>
      <c r="M338" t="s">
        <v>58</v>
      </c>
      <c r="N338" t="s">
        <v>670</v>
      </c>
      <c r="O338" t="s">
        <v>48</v>
      </c>
      <c r="P338" t="s">
        <v>49</v>
      </c>
      <c r="Q338" t="s">
        <v>671</v>
      </c>
      <c r="R338">
        <v>367.5</v>
      </c>
      <c r="S338">
        <v>5</v>
      </c>
      <c r="T338">
        <v>0.25</v>
      </c>
      <c r="U338" s="34" t="str">
        <f t="shared" si="34"/>
        <v>High</v>
      </c>
      <c r="V338">
        <v>49.37</v>
      </c>
      <c r="W338" s="29">
        <f t="shared" si="35"/>
        <v>0.134340136054422</v>
      </c>
      <c r="X338">
        <v>19.2</v>
      </c>
      <c r="Y338" t="s">
        <v>80</v>
      </c>
      <c r="Z338" s="34" t="str">
        <f t="shared" si="36"/>
        <v>Small</v>
      </c>
    </row>
    <row r="339" spans="1:26">
      <c r="A339" t="s">
        <v>1040</v>
      </c>
      <c r="B339" s="44">
        <v>44488</v>
      </c>
      <c r="C339" s="34">
        <f t="shared" si="31"/>
        <v>2021</v>
      </c>
      <c r="D339" s="34">
        <f t="shared" si="32"/>
        <v>10</v>
      </c>
      <c r="E339" s="34" t="str">
        <f t="shared" si="33"/>
        <v>October</v>
      </c>
      <c r="F339" s="44">
        <v>44490</v>
      </c>
      <c r="G339" t="s">
        <v>853</v>
      </c>
      <c r="H339" t="s">
        <v>854</v>
      </c>
      <c r="I339" t="s">
        <v>29</v>
      </c>
      <c r="J339" t="s">
        <v>43</v>
      </c>
      <c r="K339" t="s">
        <v>180</v>
      </c>
      <c r="L339" t="s">
        <v>181</v>
      </c>
      <c r="M339" t="s">
        <v>46</v>
      </c>
      <c r="N339" t="s">
        <v>208</v>
      </c>
      <c r="O339" t="s">
        <v>48</v>
      </c>
      <c r="P339" t="s">
        <v>128</v>
      </c>
      <c r="Q339" t="s">
        <v>209</v>
      </c>
      <c r="R339">
        <v>63</v>
      </c>
      <c r="S339">
        <v>2</v>
      </c>
      <c r="T339">
        <v>0.1</v>
      </c>
      <c r="U339" s="34" t="str">
        <f t="shared" si="34"/>
        <v>Low</v>
      </c>
      <c r="V339">
        <v>-8.38</v>
      </c>
      <c r="W339" s="29">
        <f t="shared" si="35"/>
        <v>-0.133015873015873</v>
      </c>
      <c r="X339">
        <v>17.45</v>
      </c>
      <c r="Y339" t="s">
        <v>62</v>
      </c>
      <c r="Z339" s="34" t="str">
        <f t="shared" si="36"/>
        <v>Small</v>
      </c>
    </row>
    <row r="340" spans="1:26">
      <c r="A340" t="s">
        <v>1041</v>
      </c>
      <c r="B340" s="44">
        <v>44964</v>
      </c>
      <c r="C340" s="34">
        <f t="shared" si="31"/>
        <v>2023</v>
      </c>
      <c r="D340" s="34">
        <f t="shared" si="32"/>
        <v>2</v>
      </c>
      <c r="E340" s="34" t="str">
        <f t="shared" si="33"/>
        <v>February</v>
      </c>
      <c r="F340" s="44">
        <v>44967</v>
      </c>
      <c r="G340" t="s">
        <v>1042</v>
      </c>
      <c r="H340" t="s">
        <v>206</v>
      </c>
      <c r="I340" t="s">
        <v>55</v>
      </c>
      <c r="J340" t="s">
        <v>30</v>
      </c>
      <c r="K340" t="s">
        <v>273</v>
      </c>
      <c r="L340" t="s">
        <v>274</v>
      </c>
      <c r="M340" t="s">
        <v>46</v>
      </c>
      <c r="N340" t="s">
        <v>170</v>
      </c>
      <c r="O340" t="s">
        <v>48</v>
      </c>
      <c r="P340" t="s">
        <v>49</v>
      </c>
      <c r="Q340" t="s">
        <v>171</v>
      </c>
      <c r="R340">
        <v>119.2</v>
      </c>
      <c r="S340">
        <v>1</v>
      </c>
      <c r="T340">
        <v>0.2</v>
      </c>
      <c r="U340" s="34" t="str">
        <f t="shared" si="34"/>
        <v>Medium</v>
      </c>
      <c r="V340">
        <v>6</v>
      </c>
      <c r="W340" s="29">
        <f t="shared" si="35"/>
        <v>0.0503355704697987</v>
      </c>
      <c r="X340">
        <v>27.69</v>
      </c>
      <c r="Y340" t="s">
        <v>96</v>
      </c>
      <c r="Z340" s="34" t="str">
        <f t="shared" si="36"/>
        <v>Small</v>
      </c>
    </row>
    <row r="341" spans="1:26">
      <c r="A341" t="s">
        <v>1043</v>
      </c>
      <c r="B341" s="44">
        <v>45413</v>
      </c>
      <c r="C341" s="34">
        <f t="shared" si="31"/>
        <v>2024</v>
      </c>
      <c r="D341" s="34">
        <f t="shared" si="32"/>
        <v>5</v>
      </c>
      <c r="E341" s="34" t="str">
        <f t="shared" si="33"/>
        <v>May</v>
      </c>
      <c r="F341" s="44">
        <v>45420</v>
      </c>
      <c r="G341" t="s">
        <v>166</v>
      </c>
      <c r="H341" t="s">
        <v>167</v>
      </c>
      <c r="I341" t="s">
        <v>55</v>
      </c>
      <c r="J341" t="s">
        <v>43</v>
      </c>
      <c r="K341" t="s">
        <v>168</v>
      </c>
      <c r="L341" t="s">
        <v>169</v>
      </c>
      <c r="M341" t="s">
        <v>76</v>
      </c>
      <c r="N341" t="s">
        <v>837</v>
      </c>
      <c r="O341" t="s">
        <v>35</v>
      </c>
      <c r="P341" t="s">
        <v>111</v>
      </c>
      <c r="Q341" t="s">
        <v>838</v>
      </c>
      <c r="R341">
        <v>250.6</v>
      </c>
      <c r="S341">
        <v>2</v>
      </c>
      <c r="T341">
        <v>0.3</v>
      </c>
      <c r="U341" s="34" t="str">
        <f t="shared" si="34"/>
        <v>High</v>
      </c>
      <c r="V341">
        <v>43.37</v>
      </c>
      <c r="W341" s="29">
        <f t="shared" si="35"/>
        <v>0.173064644852354</v>
      </c>
      <c r="X341">
        <v>39.22</v>
      </c>
      <c r="Y341" t="s">
        <v>51</v>
      </c>
      <c r="Z341" s="34" t="str">
        <f t="shared" si="36"/>
        <v>Small</v>
      </c>
    </row>
    <row r="342" spans="1:26">
      <c r="A342" t="s">
        <v>1044</v>
      </c>
      <c r="B342" s="44">
        <v>44611</v>
      </c>
      <c r="C342" s="34">
        <f t="shared" si="31"/>
        <v>2022</v>
      </c>
      <c r="D342" s="34">
        <f t="shared" si="32"/>
        <v>2</v>
      </c>
      <c r="E342" s="34" t="str">
        <f t="shared" si="33"/>
        <v>February</v>
      </c>
      <c r="F342" s="44">
        <v>44618</v>
      </c>
      <c r="G342" t="s">
        <v>1045</v>
      </c>
      <c r="H342" t="s">
        <v>1046</v>
      </c>
      <c r="I342" t="s">
        <v>42</v>
      </c>
      <c r="J342" t="s">
        <v>30</v>
      </c>
      <c r="K342" t="s">
        <v>100</v>
      </c>
      <c r="L342" t="s">
        <v>590</v>
      </c>
      <c r="M342" t="s">
        <v>33</v>
      </c>
      <c r="N342" t="s">
        <v>189</v>
      </c>
      <c r="O342" t="s">
        <v>48</v>
      </c>
      <c r="P342" t="s">
        <v>190</v>
      </c>
      <c r="Q342" t="s">
        <v>191</v>
      </c>
      <c r="R342">
        <v>35</v>
      </c>
      <c r="S342">
        <v>1</v>
      </c>
      <c r="T342">
        <v>0</v>
      </c>
      <c r="U342" s="34" t="str">
        <f t="shared" si="34"/>
        <v>No Discount</v>
      </c>
      <c r="V342">
        <v>-6.74</v>
      </c>
      <c r="W342" s="29">
        <f t="shared" si="35"/>
        <v>-0.192571428571429</v>
      </c>
      <c r="X342">
        <v>48.14</v>
      </c>
      <c r="Y342" t="s">
        <v>38</v>
      </c>
      <c r="Z342" s="34" t="str">
        <f t="shared" si="36"/>
        <v>Small</v>
      </c>
    </row>
    <row r="343" spans="1:26">
      <c r="A343" t="s">
        <v>1047</v>
      </c>
      <c r="B343" s="44">
        <v>45640</v>
      </c>
      <c r="C343" s="34">
        <f t="shared" si="31"/>
        <v>2024</v>
      </c>
      <c r="D343" s="34">
        <f t="shared" si="32"/>
        <v>12</v>
      </c>
      <c r="E343" s="34" t="str">
        <f t="shared" si="33"/>
        <v>December</v>
      </c>
      <c r="F343" s="44">
        <v>45642</v>
      </c>
      <c r="G343" t="s">
        <v>248</v>
      </c>
      <c r="H343" t="s">
        <v>249</v>
      </c>
      <c r="I343" t="s">
        <v>55</v>
      </c>
      <c r="J343" t="s">
        <v>30</v>
      </c>
      <c r="K343" t="s">
        <v>31</v>
      </c>
      <c r="L343" t="s">
        <v>250</v>
      </c>
      <c r="M343" t="s">
        <v>33</v>
      </c>
      <c r="N343" t="s">
        <v>533</v>
      </c>
      <c r="O343" t="s">
        <v>67</v>
      </c>
      <c r="P343" t="s">
        <v>119</v>
      </c>
      <c r="Q343" t="s">
        <v>534</v>
      </c>
      <c r="R343">
        <v>1978.2</v>
      </c>
      <c r="S343">
        <v>2</v>
      </c>
      <c r="T343">
        <v>0.1</v>
      </c>
      <c r="U343" s="34" t="str">
        <f t="shared" si="34"/>
        <v>Low</v>
      </c>
      <c r="V343">
        <v>192.82</v>
      </c>
      <c r="W343" s="29">
        <f t="shared" si="35"/>
        <v>0.0974724497017491</v>
      </c>
      <c r="X343">
        <v>16.67</v>
      </c>
      <c r="Y343" t="s">
        <v>96</v>
      </c>
      <c r="Z343" s="34" t="str">
        <f t="shared" si="36"/>
        <v>Medium</v>
      </c>
    </row>
    <row r="344" spans="1:26">
      <c r="A344" t="s">
        <v>1048</v>
      </c>
      <c r="B344" s="44">
        <v>44947</v>
      </c>
      <c r="C344" s="34">
        <f t="shared" si="31"/>
        <v>2023</v>
      </c>
      <c r="D344" s="34">
        <f t="shared" si="32"/>
        <v>1</v>
      </c>
      <c r="E344" s="34" t="str">
        <f t="shared" si="33"/>
        <v>January</v>
      </c>
      <c r="F344" s="44">
        <v>44949</v>
      </c>
      <c r="G344" t="s">
        <v>687</v>
      </c>
      <c r="H344" t="s">
        <v>688</v>
      </c>
      <c r="I344" t="s">
        <v>42</v>
      </c>
      <c r="J344" t="s">
        <v>30</v>
      </c>
      <c r="K344" t="s">
        <v>213</v>
      </c>
      <c r="L344" t="s">
        <v>408</v>
      </c>
      <c r="M344" t="s">
        <v>33</v>
      </c>
      <c r="N344" t="s">
        <v>94</v>
      </c>
      <c r="O344" t="s">
        <v>35</v>
      </c>
      <c r="P344" t="s">
        <v>36</v>
      </c>
      <c r="Q344" t="s">
        <v>95</v>
      </c>
      <c r="R344">
        <v>2542.5</v>
      </c>
      <c r="S344">
        <v>2</v>
      </c>
      <c r="T344">
        <v>0.25</v>
      </c>
      <c r="U344" s="34" t="str">
        <f t="shared" si="34"/>
        <v>High</v>
      </c>
      <c r="V344">
        <v>301.72</v>
      </c>
      <c r="W344" s="29">
        <f t="shared" si="35"/>
        <v>0.118670599803343</v>
      </c>
      <c r="X344">
        <v>11.26</v>
      </c>
      <c r="Y344" t="s">
        <v>38</v>
      </c>
      <c r="Z344" s="34" t="str">
        <f t="shared" si="36"/>
        <v>Large</v>
      </c>
    </row>
    <row r="345" spans="1:26">
      <c r="A345" t="s">
        <v>1049</v>
      </c>
      <c r="B345" s="44">
        <v>44427</v>
      </c>
      <c r="C345" s="34">
        <f t="shared" si="31"/>
        <v>2021</v>
      </c>
      <c r="D345" s="34">
        <f t="shared" si="32"/>
        <v>8</v>
      </c>
      <c r="E345" s="34" t="str">
        <f t="shared" si="33"/>
        <v>August</v>
      </c>
      <c r="F345" s="44">
        <v>44433</v>
      </c>
      <c r="G345" t="s">
        <v>466</v>
      </c>
      <c r="H345" t="s">
        <v>467</v>
      </c>
      <c r="I345" t="s">
        <v>42</v>
      </c>
      <c r="J345" t="s">
        <v>43</v>
      </c>
      <c r="K345" t="s">
        <v>273</v>
      </c>
      <c r="L345" t="s">
        <v>468</v>
      </c>
      <c r="M345" t="s">
        <v>46</v>
      </c>
      <c r="N345" t="s">
        <v>228</v>
      </c>
      <c r="O345" t="s">
        <v>67</v>
      </c>
      <c r="P345" t="s">
        <v>103</v>
      </c>
      <c r="Q345" t="s">
        <v>229</v>
      </c>
      <c r="R345">
        <v>566.2</v>
      </c>
      <c r="S345">
        <v>4</v>
      </c>
      <c r="T345">
        <v>0.05</v>
      </c>
      <c r="U345" s="34" t="str">
        <f t="shared" si="34"/>
        <v>Low</v>
      </c>
      <c r="V345">
        <v>135.65</v>
      </c>
      <c r="W345" s="29">
        <f t="shared" si="35"/>
        <v>0.239579653832568</v>
      </c>
      <c r="X345">
        <v>19.66</v>
      </c>
      <c r="Y345" t="s">
        <v>38</v>
      </c>
      <c r="Z345" s="34" t="str">
        <f t="shared" si="36"/>
        <v>Medium</v>
      </c>
    </row>
    <row r="346" spans="1:26">
      <c r="A346" t="s">
        <v>1050</v>
      </c>
      <c r="B346" s="44">
        <v>44156</v>
      </c>
      <c r="C346" s="34">
        <f t="shared" si="31"/>
        <v>2020</v>
      </c>
      <c r="D346" s="34">
        <f t="shared" si="32"/>
        <v>11</v>
      </c>
      <c r="E346" s="34" t="str">
        <f t="shared" si="33"/>
        <v>November</v>
      </c>
      <c r="F346" s="44">
        <v>44159</v>
      </c>
      <c r="G346" t="s">
        <v>876</v>
      </c>
      <c r="H346" t="s">
        <v>877</v>
      </c>
      <c r="I346" t="s">
        <v>42</v>
      </c>
      <c r="J346" t="s">
        <v>30</v>
      </c>
      <c r="K346" t="s">
        <v>56</v>
      </c>
      <c r="L346" t="s">
        <v>493</v>
      </c>
      <c r="M346" t="s">
        <v>58</v>
      </c>
      <c r="N346" t="s">
        <v>292</v>
      </c>
      <c r="O346" t="s">
        <v>35</v>
      </c>
      <c r="P346" t="s">
        <v>163</v>
      </c>
      <c r="Q346" t="s">
        <v>293</v>
      </c>
      <c r="R346">
        <v>2598</v>
      </c>
      <c r="S346">
        <v>2</v>
      </c>
      <c r="T346">
        <v>0</v>
      </c>
      <c r="U346" s="34" t="str">
        <f t="shared" si="34"/>
        <v>No Discount</v>
      </c>
      <c r="V346">
        <v>-210.6</v>
      </c>
      <c r="W346" s="29">
        <f t="shared" si="35"/>
        <v>-0.0810623556581986</v>
      </c>
      <c r="X346">
        <v>9.2</v>
      </c>
      <c r="Y346" t="s">
        <v>80</v>
      </c>
      <c r="Z346" s="34" t="str">
        <f t="shared" si="36"/>
        <v>Large</v>
      </c>
    </row>
    <row r="347" spans="1:26">
      <c r="A347" t="s">
        <v>1051</v>
      </c>
      <c r="B347" s="44">
        <v>45272</v>
      </c>
      <c r="C347" s="34">
        <f t="shared" si="31"/>
        <v>2023</v>
      </c>
      <c r="D347" s="34">
        <f t="shared" si="32"/>
        <v>12</v>
      </c>
      <c r="E347" s="34" t="str">
        <f t="shared" si="33"/>
        <v>December</v>
      </c>
      <c r="F347" s="44">
        <v>45275</v>
      </c>
      <c r="G347" t="s">
        <v>1052</v>
      </c>
      <c r="H347" t="s">
        <v>1053</v>
      </c>
      <c r="I347" t="s">
        <v>55</v>
      </c>
      <c r="J347" t="s">
        <v>43</v>
      </c>
      <c r="K347" t="s">
        <v>160</v>
      </c>
      <c r="L347" t="s">
        <v>1054</v>
      </c>
      <c r="M347" t="s">
        <v>76</v>
      </c>
      <c r="N347" t="s">
        <v>59</v>
      </c>
      <c r="O347" t="s">
        <v>48</v>
      </c>
      <c r="P347" t="s">
        <v>60</v>
      </c>
      <c r="Q347" t="s">
        <v>61</v>
      </c>
      <c r="R347">
        <v>174</v>
      </c>
      <c r="S347">
        <v>1</v>
      </c>
      <c r="T347">
        <v>0</v>
      </c>
      <c r="U347" s="34" t="str">
        <f t="shared" si="34"/>
        <v>No Discount</v>
      </c>
      <c r="V347">
        <v>18.55</v>
      </c>
      <c r="W347" s="29">
        <f t="shared" si="35"/>
        <v>0.106609195402299</v>
      </c>
      <c r="X347">
        <v>7.78</v>
      </c>
      <c r="Y347" t="s">
        <v>121</v>
      </c>
      <c r="Z347" s="34" t="str">
        <f t="shared" si="36"/>
        <v>Small</v>
      </c>
    </row>
    <row r="348" spans="1:26">
      <c r="A348" t="s">
        <v>1055</v>
      </c>
      <c r="B348" s="44">
        <v>44431</v>
      </c>
      <c r="C348" s="34">
        <f t="shared" si="31"/>
        <v>2021</v>
      </c>
      <c r="D348" s="34">
        <f t="shared" si="32"/>
        <v>8</v>
      </c>
      <c r="E348" s="34" t="str">
        <f t="shared" si="33"/>
        <v>August</v>
      </c>
      <c r="F348" s="44">
        <v>44433</v>
      </c>
      <c r="G348" t="s">
        <v>567</v>
      </c>
      <c r="H348" t="s">
        <v>186</v>
      </c>
      <c r="I348" t="s">
        <v>29</v>
      </c>
      <c r="J348" t="s">
        <v>43</v>
      </c>
      <c r="K348" t="s">
        <v>262</v>
      </c>
      <c r="L348" t="s">
        <v>568</v>
      </c>
      <c r="M348" t="s">
        <v>58</v>
      </c>
      <c r="N348" t="s">
        <v>673</v>
      </c>
      <c r="O348" t="s">
        <v>35</v>
      </c>
      <c r="P348" t="s">
        <v>202</v>
      </c>
      <c r="Q348" t="s">
        <v>674</v>
      </c>
      <c r="R348">
        <v>1992.15</v>
      </c>
      <c r="S348">
        <v>3</v>
      </c>
      <c r="T348">
        <v>0.05</v>
      </c>
      <c r="U348" s="34" t="str">
        <f t="shared" si="34"/>
        <v>Low</v>
      </c>
      <c r="V348">
        <v>-111.9</v>
      </c>
      <c r="W348" s="29">
        <f t="shared" si="35"/>
        <v>-0.0561704690911829</v>
      </c>
      <c r="X348">
        <v>0</v>
      </c>
      <c r="Y348" t="s">
        <v>121</v>
      </c>
      <c r="Z348" s="34" t="str">
        <f t="shared" si="36"/>
        <v>Medium</v>
      </c>
    </row>
    <row r="349" spans="1:26">
      <c r="A349" t="s">
        <v>1056</v>
      </c>
      <c r="B349" s="44">
        <v>44391</v>
      </c>
      <c r="C349" s="34">
        <f t="shared" si="31"/>
        <v>2021</v>
      </c>
      <c r="D349" s="34">
        <f t="shared" si="32"/>
        <v>7</v>
      </c>
      <c r="E349" s="34" t="str">
        <f t="shared" si="33"/>
        <v>July</v>
      </c>
      <c r="F349" s="44">
        <v>44395</v>
      </c>
      <c r="G349" t="s">
        <v>498</v>
      </c>
      <c r="H349" t="s">
        <v>499</v>
      </c>
      <c r="I349" t="s">
        <v>55</v>
      </c>
      <c r="J349" t="s">
        <v>43</v>
      </c>
      <c r="K349" t="s">
        <v>108</v>
      </c>
      <c r="L349" t="s">
        <v>485</v>
      </c>
      <c r="M349" t="s">
        <v>58</v>
      </c>
      <c r="N349" t="s">
        <v>170</v>
      </c>
      <c r="O349" t="s">
        <v>48</v>
      </c>
      <c r="P349" t="s">
        <v>49</v>
      </c>
      <c r="Q349" t="s">
        <v>171</v>
      </c>
      <c r="R349">
        <v>298</v>
      </c>
      <c r="S349">
        <v>2</v>
      </c>
      <c r="T349">
        <v>0</v>
      </c>
      <c r="U349" s="34" t="str">
        <f t="shared" si="34"/>
        <v>No Discount</v>
      </c>
      <c r="V349">
        <v>29.56</v>
      </c>
      <c r="W349" s="29">
        <f t="shared" si="35"/>
        <v>0.0991946308724832</v>
      </c>
      <c r="X349">
        <v>20.68</v>
      </c>
      <c r="Y349" t="s">
        <v>96</v>
      </c>
      <c r="Z349" s="34" t="str">
        <f t="shared" si="36"/>
        <v>Small</v>
      </c>
    </row>
    <row r="350" spans="1:26">
      <c r="A350" t="s">
        <v>1057</v>
      </c>
      <c r="B350" s="44">
        <v>45324</v>
      </c>
      <c r="C350" s="34">
        <f t="shared" si="31"/>
        <v>2024</v>
      </c>
      <c r="D350" s="34">
        <f t="shared" si="32"/>
        <v>2</v>
      </c>
      <c r="E350" s="34" t="str">
        <f t="shared" si="33"/>
        <v>February</v>
      </c>
      <c r="F350" s="44">
        <v>45326</v>
      </c>
      <c r="G350" t="s">
        <v>605</v>
      </c>
      <c r="H350" t="s">
        <v>606</v>
      </c>
      <c r="I350" t="s">
        <v>55</v>
      </c>
      <c r="J350" t="s">
        <v>43</v>
      </c>
      <c r="K350" t="s">
        <v>92</v>
      </c>
      <c r="L350" t="s">
        <v>607</v>
      </c>
      <c r="M350" t="s">
        <v>76</v>
      </c>
      <c r="N350" t="s">
        <v>421</v>
      </c>
      <c r="O350" t="s">
        <v>67</v>
      </c>
      <c r="P350" t="s">
        <v>252</v>
      </c>
      <c r="Q350" t="s">
        <v>422</v>
      </c>
      <c r="R350">
        <v>2568</v>
      </c>
      <c r="S350">
        <v>3</v>
      </c>
      <c r="T350">
        <v>0</v>
      </c>
      <c r="U350" s="34" t="str">
        <f t="shared" si="34"/>
        <v>No Discount</v>
      </c>
      <c r="V350">
        <v>507.91</v>
      </c>
      <c r="W350" s="29">
        <f t="shared" si="35"/>
        <v>0.197784267912773</v>
      </c>
      <c r="X350">
        <v>18.96</v>
      </c>
      <c r="Y350" t="s">
        <v>38</v>
      </c>
      <c r="Z350" s="34" t="str">
        <f t="shared" si="36"/>
        <v>Large</v>
      </c>
    </row>
    <row r="351" spans="1:26">
      <c r="A351" t="s">
        <v>1058</v>
      </c>
      <c r="B351" s="44">
        <v>45396</v>
      </c>
      <c r="C351" s="34">
        <f t="shared" si="31"/>
        <v>2024</v>
      </c>
      <c r="D351" s="34">
        <f t="shared" si="32"/>
        <v>4</v>
      </c>
      <c r="E351" s="34" t="str">
        <f t="shared" si="33"/>
        <v>April</v>
      </c>
      <c r="F351" s="44">
        <v>45403</v>
      </c>
      <c r="G351" t="s">
        <v>447</v>
      </c>
      <c r="H351" t="s">
        <v>448</v>
      </c>
      <c r="I351" t="s">
        <v>55</v>
      </c>
      <c r="J351" t="s">
        <v>43</v>
      </c>
      <c r="K351" t="s">
        <v>331</v>
      </c>
      <c r="L351" t="s">
        <v>332</v>
      </c>
      <c r="M351" t="s">
        <v>58</v>
      </c>
      <c r="N351" t="s">
        <v>673</v>
      </c>
      <c r="O351" t="s">
        <v>35</v>
      </c>
      <c r="P351" t="s">
        <v>202</v>
      </c>
      <c r="Q351" t="s">
        <v>674</v>
      </c>
      <c r="R351">
        <v>3145.5</v>
      </c>
      <c r="S351">
        <v>5</v>
      </c>
      <c r="T351">
        <v>0.1</v>
      </c>
      <c r="U351" s="34" t="str">
        <f t="shared" si="34"/>
        <v>Low</v>
      </c>
      <c r="V351">
        <v>372.12</v>
      </c>
      <c r="W351" s="29">
        <f t="shared" si="35"/>
        <v>0.118302336671435</v>
      </c>
      <c r="X351">
        <v>17.81</v>
      </c>
      <c r="Y351" t="s">
        <v>96</v>
      </c>
      <c r="Z351" s="34" t="str">
        <f t="shared" si="36"/>
        <v>Large</v>
      </c>
    </row>
    <row r="352" spans="1:26">
      <c r="A352" t="s">
        <v>1059</v>
      </c>
      <c r="B352" s="44">
        <v>45437</v>
      </c>
      <c r="C352" s="34">
        <f t="shared" si="31"/>
        <v>2024</v>
      </c>
      <c r="D352" s="34">
        <f t="shared" si="32"/>
        <v>5</v>
      </c>
      <c r="E352" s="34" t="str">
        <f t="shared" si="33"/>
        <v>May</v>
      </c>
      <c r="F352" s="44">
        <v>45444</v>
      </c>
      <c r="G352" t="s">
        <v>600</v>
      </c>
      <c r="H352" t="s">
        <v>601</v>
      </c>
      <c r="I352" t="s">
        <v>55</v>
      </c>
      <c r="J352" t="s">
        <v>43</v>
      </c>
      <c r="K352" t="s">
        <v>602</v>
      </c>
      <c r="L352" t="s">
        <v>603</v>
      </c>
      <c r="M352" t="s">
        <v>46</v>
      </c>
      <c r="N352" t="s">
        <v>673</v>
      </c>
      <c r="O352" t="s">
        <v>35</v>
      </c>
      <c r="P352" t="s">
        <v>202</v>
      </c>
      <c r="Q352" t="s">
        <v>674</v>
      </c>
      <c r="R352">
        <v>2097</v>
      </c>
      <c r="S352">
        <v>3</v>
      </c>
      <c r="T352">
        <v>0</v>
      </c>
      <c r="U352" s="34" t="str">
        <f t="shared" si="34"/>
        <v>No Discount</v>
      </c>
      <c r="V352">
        <v>-181.77</v>
      </c>
      <c r="W352" s="29">
        <f t="shared" si="35"/>
        <v>-0.0866809728183119</v>
      </c>
      <c r="X352">
        <v>46.69</v>
      </c>
      <c r="Y352" t="s">
        <v>38</v>
      </c>
      <c r="Z352" s="34" t="str">
        <f t="shared" si="36"/>
        <v>Large</v>
      </c>
    </row>
    <row r="353" spans="1:26">
      <c r="A353" t="s">
        <v>1060</v>
      </c>
      <c r="B353" s="44">
        <v>45121</v>
      </c>
      <c r="C353" s="34">
        <f t="shared" si="31"/>
        <v>2023</v>
      </c>
      <c r="D353" s="34">
        <f t="shared" si="32"/>
        <v>7</v>
      </c>
      <c r="E353" s="34" t="str">
        <f t="shared" si="33"/>
        <v>July</v>
      </c>
      <c r="F353" s="44">
        <v>45128</v>
      </c>
      <c r="G353" t="s">
        <v>789</v>
      </c>
      <c r="H353" t="s">
        <v>790</v>
      </c>
      <c r="I353" t="s">
        <v>55</v>
      </c>
      <c r="J353" t="s">
        <v>43</v>
      </c>
      <c r="K353" t="s">
        <v>100</v>
      </c>
      <c r="L353" t="s">
        <v>420</v>
      </c>
      <c r="M353" t="s">
        <v>33</v>
      </c>
      <c r="N353" t="s">
        <v>500</v>
      </c>
      <c r="O353" t="s">
        <v>67</v>
      </c>
      <c r="P353" t="s">
        <v>68</v>
      </c>
      <c r="Q353" t="s">
        <v>501</v>
      </c>
      <c r="R353">
        <v>1152.9</v>
      </c>
      <c r="S353">
        <v>3</v>
      </c>
      <c r="T353">
        <v>0.3</v>
      </c>
      <c r="U353" s="34" t="str">
        <f t="shared" si="34"/>
        <v>High</v>
      </c>
      <c r="V353">
        <v>128.14</v>
      </c>
      <c r="W353" s="29">
        <f t="shared" si="35"/>
        <v>0.111145806227773</v>
      </c>
      <c r="X353">
        <v>34.03</v>
      </c>
      <c r="Y353" t="s">
        <v>137</v>
      </c>
      <c r="Z353" s="34" t="str">
        <f t="shared" si="36"/>
        <v>Medium</v>
      </c>
    </row>
    <row r="354" spans="1:26">
      <c r="A354" t="s">
        <v>1061</v>
      </c>
      <c r="B354" s="44">
        <v>45426</v>
      </c>
      <c r="C354" s="34">
        <f t="shared" si="31"/>
        <v>2024</v>
      </c>
      <c r="D354" s="34">
        <f t="shared" si="32"/>
        <v>5</v>
      </c>
      <c r="E354" s="34" t="str">
        <f t="shared" si="33"/>
        <v>May</v>
      </c>
      <c r="F354" s="44">
        <v>45427</v>
      </c>
      <c r="G354" t="s">
        <v>282</v>
      </c>
      <c r="H354" t="s">
        <v>974</v>
      </c>
      <c r="I354" t="s">
        <v>55</v>
      </c>
      <c r="J354" t="s">
        <v>43</v>
      </c>
      <c r="K354" t="s">
        <v>284</v>
      </c>
      <c r="L354" t="s">
        <v>285</v>
      </c>
      <c r="M354" t="s">
        <v>76</v>
      </c>
      <c r="N354" t="s">
        <v>430</v>
      </c>
      <c r="O354" t="s">
        <v>67</v>
      </c>
      <c r="P354" t="s">
        <v>87</v>
      </c>
      <c r="Q354" t="s">
        <v>431</v>
      </c>
      <c r="R354">
        <v>608.6</v>
      </c>
      <c r="S354">
        <v>4</v>
      </c>
      <c r="T354">
        <v>0.15</v>
      </c>
      <c r="U354" s="34" t="str">
        <f t="shared" si="34"/>
        <v>Medium</v>
      </c>
      <c r="V354">
        <v>111.7</v>
      </c>
      <c r="W354" s="29">
        <f t="shared" si="35"/>
        <v>0.183535984226093</v>
      </c>
      <c r="X354">
        <v>33.4</v>
      </c>
      <c r="Y354" t="s">
        <v>70</v>
      </c>
      <c r="Z354" s="34" t="str">
        <f t="shared" si="36"/>
        <v>Medium</v>
      </c>
    </row>
    <row r="355" spans="1:26">
      <c r="A355" t="s">
        <v>1062</v>
      </c>
      <c r="B355" s="44">
        <v>45404</v>
      </c>
      <c r="C355" s="34">
        <f t="shared" si="31"/>
        <v>2024</v>
      </c>
      <c r="D355" s="34">
        <f t="shared" si="32"/>
        <v>4</v>
      </c>
      <c r="E355" s="34" t="str">
        <f t="shared" si="33"/>
        <v>April</v>
      </c>
      <c r="F355" s="44">
        <v>45408</v>
      </c>
      <c r="G355" t="s">
        <v>260</v>
      </c>
      <c r="H355" t="s">
        <v>261</v>
      </c>
      <c r="I355" t="s">
        <v>42</v>
      </c>
      <c r="J355" t="s">
        <v>43</v>
      </c>
      <c r="K355" t="s">
        <v>262</v>
      </c>
      <c r="L355" t="s">
        <v>263</v>
      </c>
      <c r="M355" t="s">
        <v>58</v>
      </c>
      <c r="N355" t="s">
        <v>351</v>
      </c>
      <c r="O355" t="s">
        <v>67</v>
      </c>
      <c r="P355" t="s">
        <v>68</v>
      </c>
      <c r="Q355" t="s">
        <v>352</v>
      </c>
      <c r="R355">
        <v>958.4</v>
      </c>
      <c r="S355">
        <v>2</v>
      </c>
      <c r="T355">
        <v>0.2</v>
      </c>
      <c r="U355" s="34" t="str">
        <f t="shared" si="34"/>
        <v>Medium</v>
      </c>
      <c r="V355">
        <v>-53.86</v>
      </c>
      <c r="W355" s="29">
        <f t="shared" si="35"/>
        <v>-0.0561978297161937</v>
      </c>
      <c r="X355">
        <v>19.79</v>
      </c>
      <c r="Y355" t="s">
        <v>70</v>
      </c>
      <c r="Z355" s="34" t="str">
        <f t="shared" si="36"/>
        <v>Medium</v>
      </c>
    </row>
    <row r="356" spans="1:26">
      <c r="A356" t="s">
        <v>1063</v>
      </c>
      <c r="B356" s="44">
        <v>43995</v>
      </c>
      <c r="C356" s="34">
        <f t="shared" si="31"/>
        <v>2020</v>
      </c>
      <c r="D356" s="34">
        <f t="shared" si="32"/>
        <v>6</v>
      </c>
      <c r="E356" s="34" t="str">
        <f t="shared" si="33"/>
        <v>June</v>
      </c>
      <c r="F356" s="44">
        <v>44002</v>
      </c>
      <c r="G356" t="s">
        <v>166</v>
      </c>
      <c r="H356" t="s">
        <v>167</v>
      </c>
      <c r="I356" t="s">
        <v>55</v>
      </c>
      <c r="J356" t="s">
        <v>43</v>
      </c>
      <c r="K356" t="s">
        <v>168</v>
      </c>
      <c r="L356" t="s">
        <v>169</v>
      </c>
      <c r="M356" t="s">
        <v>76</v>
      </c>
      <c r="N356" t="s">
        <v>333</v>
      </c>
      <c r="O356" t="s">
        <v>48</v>
      </c>
      <c r="P356" t="s">
        <v>190</v>
      </c>
      <c r="Q356" t="s">
        <v>334</v>
      </c>
      <c r="R356">
        <v>378</v>
      </c>
      <c r="S356">
        <v>2</v>
      </c>
      <c r="T356">
        <v>0</v>
      </c>
      <c r="U356" s="34" t="str">
        <f t="shared" si="34"/>
        <v>No Discount</v>
      </c>
      <c r="V356">
        <v>-35.34</v>
      </c>
      <c r="W356" s="29">
        <f t="shared" si="35"/>
        <v>-0.0934920634920635</v>
      </c>
      <c r="X356">
        <v>16.99</v>
      </c>
      <c r="Y356" t="s">
        <v>137</v>
      </c>
      <c r="Z356" s="34" t="str">
        <f t="shared" si="36"/>
        <v>Small</v>
      </c>
    </row>
    <row r="357" spans="1:26">
      <c r="A357" t="s">
        <v>1064</v>
      </c>
      <c r="B357" s="44">
        <v>44684</v>
      </c>
      <c r="C357" s="34">
        <f t="shared" si="31"/>
        <v>2022</v>
      </c>
      <c r="D357" s="34">
        <f t="shared" si="32"/>
        <v>5</v>
      </c>
      <c r="E357" s="34" t="str">
        <f t="shared" si="33"/>
        <v>May</v>
      </c>
      <c r="F357" s="44">
        <v>44689</v>
      </c>
      <c r="G357" t="s">
        <v>166</v>
      </c>
      <c r="H357" t="s">
        <v>167</v>
      </c>
      <c r="I357" t="s">
        <v>55</v>
      </c>
      <c r="J357" t="s">
        <v>43</v>
      </c>
      <c r="K357" t="s">
        <v>168</v>
      </c>
      <c r="L357" t="s">
        <v>169</v>
      </c>
      <c r="M357" t="s">
        <v>76</v>
      </c>
      <c r="N357" t="s">
        <v>421</v>
      </c>
      <c r="O357" t="s">
        <v>67</v>
      </c>
      <c r="P357" t="s">
        <v>252</v>
      </c>
      <c r="Q357" t="s">
        <v>422</v>
      </c>
      <c r="R357">
        <v>4280</v>
      </c>
      <c r="S357">
        <v>5</v>
      </c>
      <c r="T357">
        <v>0</v>
      </c>
      <c r="U357" s="34" t="str">
        <f t="shared" si="34"/>
        <v>No Discount</v>
      </c>
      <c r="V357">
        <v>1063.26</v>
      </c>
      <c r="W357" s="29">
        <f t="shared" si="35"/>
        <v>0.24842523364486</v>
      </c>
      <c r="X357">
        <v>22.48</v>
      </c>
      <c r="Y357" t="s">
        <v>121</v>
      </c>
      <c r="Z357" s="34" t="str">
        <f t="shared" si="36"/>
        <v>Large</v>
      </c>
    </row>
    <row r="358" spans="1:26">
      <c r="A358" t="s">
        <v>1065</v>
      </c>
      <c r="B358" s="44">
        <v>44535</v>
      </c>
      <c r="C358" s="34">
        <f t="shared" si="31"/>
        <v>2021</v>
      </c>
      <c r="D358" s="34">
        <f t="shared" si="32"/>
        <v>12</v>
      </c>
      <c r="E358" s="34" t="str">
        <f t="shared" si="33"/>
        <v>December</v>
      </c>
      <c r="F358" s="44">
        <v>44537</v>
      </c>
      <c r="G358" t="s">
        <v>193</v>
      </c>
      <c r="H358" t="s">
        <v>194</v>
      </c>
      <c r="I358" t="s">
        <v>55</v>
      </c>
      <c r="J358" t="s">
        <v>43</v>
      </c>
      <c r="K358" t="s">
        <v>44</v>
      </c>
      <c r="L358" t="s">
        <v>195</v>
      </c>
      <c r="M358" t="s">
        <v>46</v>
      </c>
      <c r="N358" t="s">
        <v>388</v>
      </c>
      <c r="O358" t="s">
        <v>48</v>
      </c>
      <c r="P358" t="s">
        <v>190</v>
      </c>
      <c r="Q358" t="s">
        <v>389</v>
      </c>
      <c r="R358">
        <v>169.1</v>
      </c>
      <c r="S358">
        <v>2</v>
      </c>
      <c r="T358">
        <v>0.05</v>
      </c>
      <c r="U358" s="34" t="str">
        <f t="shared" si="34"/>
        <v>Low</v>
      </c>
      <c r="V358">
        <v>-20.56</v>
      </c>
      <c r="W358" s="29">
        <f t="shared" si="35"/>
        <v>-0.121584861028977</v>
      </c>
      <c r="X358">
        <v>40.34</v>
      </c>
      <c r="Y358" t="s">
        <v>121</v>
      </c>
      <c r="Z358" s="34" t="str">
        <f t="shared" si="36"/>
        <v>Small</v>
      </c>
    </row>
    <row r="359" spans="1:26">
      <c r="A359" t="s">
        <v>1066</v>
      </c>
      <c r="B359" s="44">
        <v>43849</v>
      </c>
      <c r="C359" s="34">
        <f t="shared" si="31"/>
        <v>2020</v>
      </c>
      <c r="D359" s="34">
        <f t="shared" si="32"/>
        <v>1</v>
      </c>
      <c r="E359" s="34" t="str">
        <f t="shared" si="33"/>
        <v>January</v>
      </c>
      <c r="F359" s="44">
        <v>43851</v>
      </c>
      <c r="G359" t="s">
        <v>436</v>
      </c>
      <c r="H359" t="s">
        <v>437</v>
      </c>
      <c r="I359" t="s">
        <v>55</v>
      </c>
      <c r="J359" t="s">
        <v>43</v>
      </c>
      <c r="K359" t="s">
        <v>438</v>
      </c>
      <c r="L359" t="s">
        <v>439</v>
      </c>
      <c r="M359" t="s">
        <v>76</v>
      </c>
      <c r="N359" t="s">
        <v>684</v>
      </c>
      <c r="O359" t="s">
        <v>48</v>
      </c>
      <c r="P359" t="s">
        <v>60</v>
      </c>
      <c r="Q359" t="s">
        <v>685</v>
      </c>
      <c r="R359">
        <v>165.9</v>
      </c>
      <c r="S359">
        <v>3</v>
      </c>
      <c r="T359">
        <v>0.3</v>
      </c>
      <c r="U359" s="34" t="str">
        <f t="shared" si="34"/>
        <v>High</v>
      </c>
      <c r="V359">
        <v>6.86</v>
      </c>
      <c r="W359" s="29">
        <f t="shared" si="35"/>
        <v>0.0413502109704641</v>
      </c>
      <c r="X359">
        <v>43.51</v>
      </c>
      <c r="Y359" t="s">
        <v>121</v>
      </c>
      <c r="Z359" s="34" t="str">
        <f t="shared" si="36"/>
        <v>Small</v>
      </c>
    </row>
    <row r="360" spans="1:26">
      <c r="A360" t="s">
        <v>1067</v>
      </c>
      <c r="B360" s="44">
        <v>44488</v>
      </c>
      <c r="C360" s="34">
        <f t="shared" si="31"/>
        <v>2021</v>
      </c>
      <c r="D360" s="34">
        <f t="shared" si="32"/>
        <v>10</v>
      </c>
      <c r="E360" s="34" t="str">
        <f t="shared" si="33"/>
        <v>October</v>
      </c>
      <c r="F360" s="44">
        <v>44489</v>
      </c>
      <c r="G360" t="s">
        <v>716</v>
      </c>
      <c r="H360" t="s">
        <v>717</v>
      </c>
      <c r="I360" t="s">
        <v>55</v>
      </c>
      <c r="J360" t="s">
        <v>30</v>
      </c>
      <c r="K360" t="s">
        <v>551</v>
      </c>
      <c r="L360" t="s">
        <v>718</v>
      </c>
      <c r="M360" t="s">
        <v>33</v>
      </c>
      <c r="N360" t="s">
        <v>189</v>
      </c>
      <c r="O360" t="s">
        <v>48</v>
      </c>
      <c r="P360" t="s">
        <v>190</v>
      </c>
      <c r="Q360" t="s">
        <v>191</v>
      </c>
      <c r="R360">
        <v>112</v>
      </c>
      <c r="S360">
        <v>4</v>
      </c>
      <c r="T360">
        <v>0.2</v>
      </c>
      <c r="U360" s="34" t="str">
        <f t="shared" si="34"/>
        <v>Medium</v>
      </c>
      <c r="V360">
        <v>10.14</v>
      </c>
      <c r="W360" s="29">
        <f t="shared" si="35"/>
        <v>0.0905357142857143</v>
      </c>
      <c r="X360">
        <v>10.99</v>
      </c>
      <c r="Y360" t="s">
        <v>121</v>
      </c>
      <c r="Z360" s="34" t="str">
        <f t="shared" si="36"/>
        <v>Small</v>
      </c>
    </row>
    <row r="361" spans="1:26">
      <c r="A361" t="s">
        <v>1068</v>
      </c>
      <c r="B361" s="44">
        <v>44021</v>
      </c>
      <c r="C361" s="34">
        <f t="shared" si="31"/>
        <v>2020</v>
      </c>
      <c r="D361" s="34">
        <f t="shared" si="32"/>
        <v>7</v>
      </c>
      <c r="E361" s="34" t="str">
        <f t="shared" si="33"/>
        <v>July</v>
      </c>
      <c r="F361" s="44">
        <v>44023</v>
      </c>
      <c r="G361" t="s">
        <v>462</v>
      </c>
      <c r="H361" t="s">
        <v>463</v>
      </c>
      <c r="I361" t="s">
        <v>55</v>
      </c>
      <c r="J361" t="s">
        <v>43</v>
      </c>
      <c r="K361" t="s">
        <v>44</v>
      </c>
      <c r="L361" t="s">
        <v>45</v>
      </c>
      <c r="M361" t="s">
        <v>46</v>
      </c>
      <c r="N361" t="s">
        <v>684</v>
      </c>
      <c r="O361" t="s">
        <v>48</v>
      </c>
      <c r="P361" t="s">
        <v>60</v>
      </c>
      <c r="Q361" t="s">
        <v>685</v>
      </c>
      <c r="R361">
        <v>55.3</v>
      </c>
      <c r="S361">
        <v>1</v>
      </c>
      <c r="T361">
        <v>0.3</v>
      </c>
      <c r="U361" s="34" t="str">
        <f t="shared" si="34"/>
        <v>High</v>
      </c>
      <c r="V361">
        <v>1.63</v>
      </c>
      <c r="W361" s="29">
        <f t="shared" si="35"/>
        <v>0.0294755877034358</v>
      </c>
      <c r="X361">
        <v>12.99</v>
      </c>
      <c r="Y361" t="s">
        <v>80</v>
      </c>
      <c r="Z361" s="34" t="str">
        <f t="shared" si="36"/>
        <v>Small</v>
      </c>
    </row>
    <row r="362" spans="1:26">
      <c r="A362" t="s">
        <v>1069</v>
      </c>
      <c r="B362" s="44">
        <v>45439</v>
      </c>
      <c r="C362" s="34">
        <f t="shared" si="31"/>
        <v>2024</v>
      </c>
      <c r="D362" s="34">
        <f t="shared" si="32"/>
        <v>5</v>
      </c>
      <c r="E362" s="34" t="str">
        <f t="shared" si="33"/>
        <v>May</v>
      </c>
      <c r="F362" s="44">
        <v>45443</v>
      </c>
      <c r="G362" t="s">
        <v>295</v>
      </c>
      <c r="H362" t="s">
        <v>296</v>
      </c>
      <c r="I362" t="s">
        <v>29</v>
      </c>
      <c r="J362" t="s">
        <v>30</v>
      </c>
      <c r="K362" t="s">
        <v>297</v>
      </c>
      <c r="L362" t="s">
        <v>298</v>
      </c>
      <c r="M362" t="s">
        <v>46</v>
      </c>
      <c r="N362" t="s">
        <v>415</v>
      </c>
      <c r="O362" t="s">
        <v>67</v>
      </c>
      <c r="P362" t="s">
        <v>252</v>
      </c>
      <c r="Q362" t="s">
        <v>416</v>
      </c>
      <c r="R362">
        <v>1077.3</v>
      </c>
      <c r="S362">
        <v>3</v>
      </c>
      <c r="T362">
        <v>0.1</v>
      </c>
      <c r="U362" s="34" t="str">
        <f t="shared" si="34"/>
        <v>Low</v>
      </c>
      <c r="V362">
        <v>152.5</v>
      </c>
      <c r="W362" s="29">
        <f t="shared" si="35"/>
        <v>0.141557597697949</v>
      </c>
      <c r="X362">
        <v>30.3</v>
      </c>
      <c r="Y362" t="s">
        <v>38</v>
      </c>
      <c r="Z362" s="34" t="str">
        <f t="shared" si="36"/>
        <v>Medium</v>
      </c>
    </row>
    <row r="363" spans="1:26">
      <c r="A363" t="s">
        <v>1070</v>
      </c>
      <c r="B363" s="44">
        <v>44116</v>
      </c>
      <c r="C363" s="34">
        <f t="shared" si="31"/>
        <v>2020</v>
      </c>
      <c r="D363" s="34">
        <f t="shared" si="32"/>
        <v>10</v>
      </c>
      <c r="E363" s="34" t="str">
        <f t="shared" si="33"/>
        <v>October</v>
      </c>
      <c r="F363" s="44">
        <v>44122</v>
      </c>
      <c r="G363" t="s">
        <v>1071</v>
      </c>
      <c r="H363" t="s">
        <v>1072</v>
      </c>
      <c r="I363" t="s">
        <v>55</v>
      </c>
      <c r="J363" t="s">
        <v>43</v>
      </c>
      <c r="K363" t="s">
        <v>349</v>
      </c>
      <c r="L363" t="s">
        <v>714</v>
      </c>
      <c r="M363" t="s">
        <v>33</v>
      </c>
      <c r="N363" t="s">
        <v>409</v>
      </c>
      <c r="O363" t="s">
        <v>48</v>
      </c>
      <c r="P363" t="s">
        <v>60</v>
      </c>
      <c r="Q363" t="s">
        <v>410</v>
      </c>
      <c r="R363">
        <v>195</v>
      </c>
      <c r="S363">
        <v>5</v>
      </c>
      <c r="T363">
        <v>0</v>
      </c>
      <c r="U363" s="34" t="str">
        <f t="shared" si="34"/>
        <v>No Discount</v>
      </c>
      <c r="V363">
        <v>-21.26</v>
      </c>
      <c r="W363" s="29">
        <f t="shared" si="35"/>
        <v>-0.109025641025641</v>
      </c>
      <c r="X363">
        <v>18.86</v>
      </c>
      <c r="Y363" t="s">
        <v>121</v>
      </c>
      <c r="Z363" s="34" t="str">
        <f t="shared" si="36"/>
        <v>Small</v>
      </c>
    </row>
    <row r="364" spans="1:26">
      <c r="A364" t="s">
        <v>1073</v>
      </c>
      <c r="B364" s="44">
        <v>44096</v>
      </c>
      <c r="C364" s="34">
        <f t="shared" si="31"/>
        <v>2020</v>
      </c>
      <c r="D364" s="34">
        <f t="shared" si="32"/>
        <v>9</v>
      </c>
      <c r="E364" s="34" t="str">
        <f t="shared" si="33"/>
        <v>September</v>
      </c>
      <c r="F364" s="44">
        <v>44101</v>
      </c>
      <c r="G364" t="s">
        <v>567</v>
      </c>
      <c r="H364" t="s">
        <v>186</v>
      </c>
      <c r="I364" t="s">
        <v>29</v>
      </c>
      <c r="J364" t="s">
        <v>43</v>
      </c>
      <c r="K364" t="s">
        <v>262</v>
      </c>
      <c r="L364" t="s">
        <v>568</v>
      </c>
      <c r="M364" t="s">
        <v>58</v>
      </c>
      <c r="N364" t="s">
        <v>1074</v>
      </c>
      <c r="O364" t="s">
        <v>35</v>
      </c>
      <c r="P364" t="s">
        <v>111</v>
      </c>
      <c r="Q364" t="s">
        <v>1075</v>
      </c>
      <c r="R364">
        <v>1083.75</v>
      </c>
      <c r="S364">
        <v>5</v>
      </c>
      <c r="T364">
        <v>0.25</v>
      </c>
      <c r="U364" s="34" t="str">
        <f t="shared" si="34"/>
        <v>High</v>
      </c>
      <c r="V364">
        <v>99.86</v>
      </c>
      <c r="W364" s="29">
        <f t="shared" si="35"/>
        <v>0.0921430219146482</v>
      </c>
      <c r="X364">
        <v>28.39</v>
      </c>
      <c r="Y364" t="s">
        <v>62</v>
      </c>
      <c r="Z364" s="34" t="str">
        <f t="shared" si="36"/>
        <v>Medium</v>
      </c>
    </row>
    <row r="365" spans="1:26">
      <c r="A365" t="s">
        <v>1076</v>
      </c>
      <c r="B365" s="44">
        <v>45651</v>
      </c>
      <c r="C365" s="34">
        <f t="shared" si="31"/>
        <v>2024</v>
      </c>
      <c r="D365" s="34">
        <f t="shared" si="32"/>
        <v>12</v>
      </c>
      <c r="E365" s="34" t="str">
        <f t="shared" si="33"/>
        <v>December</v>
      </c>
      <c r="F365" s="44">
        <v>45652</v>
      </c>
      <c r="G365" t="s">
        <v>295</v>
      </c>
      <c r="H365" t="s">
        <v>296</v>
      </c>
      <c r="I365" t="s">
        <v>29</v>
      </c>
      <c r="J365" t="s">
        <v>30</v>
      </c>
      <c r="K365" t="s">
        <v>297</v>
      </c>
      <c r="L365" t="s">
        <v>298</v>
      </c>
      <c r="M365" t="s">
        <v>46</v>
      </c>
      <c r="N365" t="s">
        <v>868</v>
      </c>
      <c r="O365" t="s">
        <v>48</v>
      </c>
      <c r="P365" t="s">
        <v>190</v>
      </c>
      <c r="Q365" t="s">
        <v>869</v>
      </c>
      <c r="R365">
        <v>379.95</v>
      </c>
      <c r="S365">
        <v>3</v>
      </c>
      <c r="T365">
        <v>0.15</v>
      </c>
      <c r="U365" s="34" t="str">
        <f t="shared" si="34"/>
        <v>Medium</v>
      </c>
      <c r="V365">
        <v>-33.68</v>
      </c>
      <c r="W365" s="29">
        <f t="shared" si="35"/>
        <v>-0.0886432425319121</v>
      </c>
      <c r="X365">
        <v>10.94</v>
      </c>
      <c r="Y365" t="s">
        <v>70</v>
      </c>
      <c r="Z365" s="34" t="str">
        <f t="shared" si="36"/>
        <v>Small</v>
      </c>
    </row>
    <row r="366" spans="1:26">
      <c r="A366" t="s">
        <v>1077</v>
      </c>
      <c r="B366" s="44">
        <v>45542</v>
      </c>
      <c r="C366" s="34">
        <f t="shared" si="31"/>
        <v>2024</v>
      </c>
      <c r="D366" s="34">
        <f t="shared" si="32"/>
        <v>9</v>
      </c>
      <c r="E366" s="34" t="str">
        <f t="shared" si="33"/>
        <v>September</v>
      </c>
      <c r="F366" s="44">
        <v>45549</v>
      </c>
      <c r="G366" t="s">
        <v>477</v>
      </c>
      <c r="H366" t="s">
        <v>478</v>
      </c>
      <c r="I366" t="s">
        <v>55</v>
      </c>
      <c r="J366" t="s">
        <v>43</v>
      </c>
      <c r="K366" t="s">
        <v>84</v>
      </c>
      <c r="L366" t="s">
        <v>366</v>
      </c>
      <c r="M366" t="s">
        <v>33</v>
      </c>
      <c r="N366" t="s">
        <v>189</v>
      </c>
      <c r="O366" t="s">
        <v>48</v>
      </c>
      <c r="P366" t="s">
        <v>190</v>
      </c>
      <c r="Q366" t="s">
        <v>191</v>
      </c>
      <c r="R366">
        <v>105</v>
      </c>
      <c r="S366">
        <v>3</v>
      </c>
      <c r="T366">
        <v>0</v>
      </c>
      <c r="U366" s="34" t="str">
        <f t="shared" si="34"/>
        <v>No Discount</v>
      </c>
      <c r="V366">
        <v>20.37</v>
      </c>
      <c r="W366" s="29">
        <f t="shared" si="35"/>
        <v>0.194</v>
      </c>
      <c r="X366">
        <v>9.1</v>
      </c>
      <c r="Y366" t="s">
        <v>70</v>
      </c>
      <c r="Z366" s="34" t="str">
        <f t="shared" si="36"/>
        <v>Small</v>
      </c>
    </row>
    <row r="367" spans="1:26">
      <c r="A367" t="s">
        <v>1078</v>
      </c>
      <c r="B367" s="44">
        <v>44996</v>
      </c>
      <c r="C367" s="34">
        <f t="shared" si="31"/>
        <v>2023</v>
      </c>
      <c r="D367" s="34">
        <f t="shared" si="32"/>
        <v>3</v>
      </c>
      <c r="E367" s="34" t="str">
        <f t="shared" si="33"/>
        <v>March</v>
      </c>
      <c r="F367" s="44">
        <v>45003</v>
      </c>
      <c r="G367" t="s">
        <v>447</v>
      </c>
      <c r="H367" t="s">
        <v>448</v>
      </c>
      <c r="I367" t="s">
        <v>55</v>
      </c>
      <c r="J367" t="s">
        <v>43</v>
      </c>
      <c r="K367" t="s">
        <v>331</v>
      </c>
      <c r="L367" t="s">
        <v>332</v>
      </c>
      <c r="M367" t="s">
        <v>58</v>
      </c>
      <c r="N367" t="s">
        <v>441</v>
      </c>
      <c r="O367" t="s">
        <v>67</v>
      </c>
      <c r="P367" t="s">
        <v>68</v>
      </c>
      <c r="Q367" t="s">
        <v>442</v>
      </c>
      <c r="R367">
        <v>3596</v>
      </c>
      <c r="S367">
        <v>4</v>
      </c>
      <c r="T367">
        <v>0</v>
      </c>
      <c r="U367" s="34" t="str">
        <f t="shared" si="34"/>
        <v>No Discount</v>
      </c>
      <c r="V367">
        <v>347.77</v>
      </c>
      <c r="W367" s="29">
        <f t="shared" si="35"/>
        <v>0.096710233592881</v>
      </c>
      <c r="X367">
        <v>39.44</v>
      </c>
      <c r="Y367" t="s">
        <v>51</v>
      </c>
      <c r="Z367" s="34" t="str">
        <f t="shared" si="36"/>
        <v>Large</v>
      </c>
    </row>
    <row r="368" spans="1:26">
      <c r="A368" t="s">
        <v>1079</v>
      </c>
      <c r="B368" s="44">
        <v>45042</v>
      </c>
      <c r="C368" s="34">
        <f t="shared" si="31"/>
        <v>2023</v>
      </c>
      <c r="D368" s="34">
        <f t="shared" si="32"/>
        <v>4</v>
      </c>
      <c r="E368" s="34" t="str">
        <f t="shared" si="33"/>
        <v>April</v>
      </c>
      <c r="F368" s="44">
        <v>45047</v>
      </c>
      <c r="G368" t="s">
        <v>106</v>
      </c>
      <c r="H368" t="s">
        <v>107</v>
      </c>
      <c r="I368" t="s">
        <v>29</v>
      </c>
      <c r="J368" t="s">
        <v>30</v>
      </c>
      <c r="K368" t="s">
        <v>108</v>
      </c>
      <c r="L368" t="s">
        <v>109</v>
      </c>
      <c r="M368" t="s">
        <v>58</v>
      </c>
      <c r="N368" t="s">
        <v>86</v>
      </c>
      <c r="O368" t="s">
        <v>67</v>
      </c>
      <c r="P368" t="s">
        <v>87</v>
      </c>
      <c r="Q368" t="s">
        <v>88</v>
      </c>
      <c r="R368">
        <v>245</v>
      </c>
      <c r="S368">
        <v>5</v>
      </c>
      <c r="T368">
        <v>0</v>
      </c>
      <c r="U368" s="34" t="str">
        <f t="shared" si="34"/>
        <v>No Discount</v>
      </c>
      <c r="V368">
        <v>21.83</v>
      </c>
      <c r="W368" s="29">
        <f t="shared" si="35"/>
        <v>0.0891020408163265</v>
      </c>
      <c r="X368">
        <v>49.74</v>
      </c>
      <c r="Y368" t="s">
        <v>137</v>
      </c>
      <c r="Z368" s="34" t="str">
        <f t="shared" si="36"/>
        <v>Small</v>
      </c>
    </row>
    <row r="369" spans="1:26">
      <c r="A369" t="s">
        <v>1080</v>
      </c>
      <c r="B369" s="44">
        <v>44064</v>
      </c>
      <c r="C369" s="34">
        <f t="shared" si="31"/>
        <v>2020</v>
      </c>
      <c r="D369" s="34">
        <f t="shared" si="32"/>
        <v>8</v>
      </c>
      <c r="E369" s="34" t="str">
        <f t="shared" si="33"/>
        <v>August</v>
      </c>
      <c r="F369" s="44">
        <v>44067</v>
      </c>
      <c r="G369" t="s">
        <v>712</v>
      </c>
      <c r="H369" t="s">
        <v>713</v>
      </c>
      <c r="I369" t="s">
        <v>42</v>
      </c>
      <c r="J369" t="s">
        <v>43</v>
      </c>
      <c r="K369" t="s">
        <v>349</v>
      </c>
      <c r="L369" t="s">
        <v>714</v>
      </c>
      <c r="M369" t="s">
        <v>33</v>
      </c>
      <c r="N369" t="s">
        <v>278</v>
      </c>
      <c r="O369" t="s">
        <v>35</v>
      </c>
      <c r="P369" t="s">
        <v>202</v>
      </c>
      <c r="Q369" t="s">
        <v>279</v>
      </c>
      <c r="R369">
        <v>2517.2</v>
      </c>
      <c r="S369">
        <v>4</v>
      </c>
      <c r="T369">
        <v>0.3</v>
      </c>
      <c r="U369" s="34" t="str">
        <f t="shared" si="34"/>
        <v>High</v>
      </c>
      <c r="V369">
        <v>-140.4</v>
      </c>
      <c r="W369" s="29">
        <f t="shared" si="35"/>
        <v>-0.0557762593357699</v>
      </c>
      <c r="X369">
        <v>48.47</v>
      </c>
      <c r="Y369" t="s">
        <v>38</v>
      </c>
      <c r="Z369" s="34" t="str">
        <f t="shared" si="36"/>
        <v>Large</v>
      </c>
    </row>
    <row r="370" spans="1:26">
      <c r="A370" t="s">
        <v>1081</v>
      </c>
      <c r="B370" s="44">
        <v>44687</v>
      </c>
      <c r="C370" s="34">
        <f t="shared" si="31"/>
        <v>2022</v>
      </c>
      <c r="D370" s="34">
        <f t="shared" si="32"/>
        <v>5</v>
      </c>
      <c r="E370" s="34" t="str">
        <f t="shared" si="33"/>
        <v>May</v>
      </c>
      <c r="F370" s="44">
        <v>44693</v>
      </c>
      <c r="G370" t="s">
        <v>861</v>
      </c>
      <c r="H370" t="s">
        <v>862</v>
      </c>
      <c r="I370" t="s">
        <v>42</v>
      </c>
      <c r="J370" t="s">
        <v>43</v>
      </c>
      <c r="K370" t="s">
        <v>640</v>
      </c>
      <c r="L370" t="s">
        <v>863</v>
      </c>
      <c r="M370" t="s">
        <v>76</v>
      </c>
      <c r="N370" t="s">
        <v>47</v>
      </c>
      <c r="O370" t="s">
        <v>48</v>
      </c>
      <c r="P370" t="s">
        <v>49</v>
      </c>
      <c r="Q370" t="s">
        <v>50</v>
      </c>
      <c r="R370">
        <v>316</v>
      </c>
      <c r="S370">
        <v>4</v>
      </c>
      <c r="T370">
        <v>0</v>
      </c>
      <c r="U370" s="34" t="str">
        <f t="shared" si="34"/>
        <v>No Discount</v>
      </c>
      <c r="V370">
        <v>-23.23</v>
      </c>
      <c r="W370" s="29">
        <f t="shared" si="35"/>
        <v>-0.0735126582278481</v>
      </c>
      <c r="X370">
        <v>24.75</v>
      </c>
      <c r="Y370" t="s">
        <v>62</v>
      </c>
      <c r="Z370" s="34" t="str">
        <f t="shared" si="36"/>
        <v>Small</v>
      </c>
    </row>
    <row r="371" spans="1:26">
      <c r="A371" t="s">
        <v>1082</v>
      </c>
      <c r="B371" s="44">
        <v>44172</v>
      </c>
      <c r="C371" s="34">
        <f t="shared" si="31"/>
        <v>2020</v>
      </c>
      <c r="D371" s="34">
        <f t="shared" si="32"/>
        <v>12</v>
      </c>
      <c r="E371" s="34" t="str">
        <f t="shared" si="33"/>
        <v>December</v>
      </c>
      <c r="F371" s="44">
        <v>44174</v>
      </c>
      <c r="G371" t="s">
        <v>158</v>
      </c>
      <c r="H371" t="s">
        <v>159</v>
      </c>
      <c r="I371" t="s">
        <v>42</v>
      </c>
      <c r="J371" t="s">
        <v>30</v>
      </c>
      <c r="K371" t="s">
        <v>160</v>
      </c>
      <c r="L371" t="s">
        <v>161</v>
      </c>
      <c r="M371" t="s">
        <v>76</v>
      </c>
      <c r="N371" t="s">
        <v>400</v>
      </c>
      <c r="O371" t="s">
        <v>67</v>
      </c>
      <c r="P371" t="s">
        <v>87</v>
      </c>
      <c r="Q371" t="s">
        <v>401</v>
      </c>
      <c r="R371">
        <v>785.25</v>
      </c>
      <c r="S371">
        <v>3</v>
      </c>
      <c r="T371">
        <v>0.25</v>
      </c>
      <c r="U371" s="34" t="str">
        <f t="shared" si="34"/>
        <v>High</v>
      </c>
      <c r="V371">
        <v>114.37</v>
      </c>
      <c r="W371" s="29">
        <f t="shared" si="35"/>
        <v>0.14564788283986</v>
      </c>
      <c r="X371">
        <v>11.38</v>
      </c>
      <c r="Y371" t="s">
        <v>62</v>
      </c>
      <c r="Z371" s="34" t="str">
        <f t="shared" si="36"/>
        <v>Medium</v>
      </c>
    </row>
    <row r="372" spans="1:26">
      <c r="A372" t="s">
        <v>1083</v>
      </c>
      <c r="B372" s="44">
        <v>44676</v>
      </c>
      <c r="C372" s="34">
        <f t="shared" si="31"/>
        <v>2022</v>
      </c>
      <c r="D372" s="34">
        <f t="shared" si="32"/>
        <v>4</v>
      </c>
      <c r="E372" s="34" t="str">
        <f t="shared" si="33"/>
        <v>April</v>
      </c>
      <c r="F372" s="44">
        <v>44682</v>
      </c>
      <c r="G372" t="s">
        <v>64</v>
      </c>
      <c r="H372" t="s">
        <v>65</v>
      </c>
      <c r="I372" t="s">
        <v>42</v>
      </c>
      <c r="J372" t="s">
        <v>43</v>
      </c>
      <c r="K372" t="s">
        <v>31</v>
      </c>
      <c r="L372" t="s">
        <v>32</v>
      </c>
      <c r="M372" t="s">
        <v>33</v>
      </c>
      <c r="N372" t="s">
        <v>208</v>
      </c>
      <c r="O372" t="s">
        <v>48</v>
      </c>
      <c r="P372" t="s">
        <v>128</v>
      </c>
      <c r="Q372" t="s">
        <v>209</v>
      </c>
      <c r="R372">
        <v>175</v>
      </c>
      <c r="S372">
        <v>5</v>
      </c>
      <c r="T372">
        <v>0</v>
      </c>
      <c r="U372" s="34" t="str">
        <f t="shared" si="34"/>
        <v>No Discount</v>
      </c>
      <c r="V372">
        <v>34.83</v>
      </c>
      <c r="W372" s="29">
        <f t="shared" si="35"/>
        <v>0.199028571428571</v>
      </c>
      <c r="X372">
        <v>12.24</v>
      </c>
      <c r="Y372" t="s">
        <v>96</v>
      </c>
      <c r="Z372" s="34" t="str">
        <f t="shared" si="36"/>
        <v>Small</v>
      </c>
    </row>
    <row r="373" spans="1:26">
      <c r="A373" t="s">
        <v>1084</v>
      </c>
      <c r="B373" s="44">
        <v>44697</v>
      </c>
      <c r="C373" s="34">
        <f t="shared" si="31"/>
        <v>2022</v>
      </c>
      <c r="D373" s="34">
        <f t="shared" si="32"/>
        <v>5</v>
      </c>
      <c r="E373" s="34" t="str">
        <f t="shared" si="33"/>
        <v>May</v>
      </c>
      <c r="F373" s="44">
        <v>44699</v>
      </c>
      <c r="G373" t="s">
        <v>883</v>
      </c>
      <c r="H373" t="s">
        <v>729</v>
      </c>
      <c r="I373" t="s">
        <v>29</v>
      </c>
      <c r="J373" t="s">
        <v>43</v>
      </c>
      <c r="K373" t="s">
        <v>472</v>
      </c>
      <c r="L373" t="s">
        <v>473</v>
      </c>
      <c r="M373" t="s">
        <v>58</v>
      </c>
      <c r="N373" t="s">
        <v>135</v>
      </c>
      <c r="O373" t="s">
        <v>67</v>
      </c>
      <c r="P373" t="s">
        <v>68</v>
      </c>
      <c r="Q373" t="s">
        <v>136</v>
      </c>
      <c r="R373">
        <v>1947</v>
      </c>
      <c r="S373">
        <v>3</v>
      </c>
      <c r="T373">
        <v>0</v>
      </c>
      <c r="U373" s="34" t="str">
        <f t="shared" si="34"/>
        <v>No Discount</v>
      </c>
      <c r="V373">
        <v>346.97</v>
      </c>
      <c r="W373" s="29">
        <f t="shared" si="35"/>
        <v>0.178207498715973</v>
      </c>
      <c r="X373">
        <v>11.63</v>
      </c>
      <c r="Y373" t="s">
        <v>137</v>
      </c>
      <c r="Z373" s="34" t="str">
        <f t="shared" si="36"/>
        <v>Medium</v>
      </c>
    </row>
    <row r="374" spans="1:26">
      <c r="A374" t="s">
        <v>1085</v>
      </c>
      <c r="B374" s="44">
        <v>44025</v>
      </c>
      <c r="C374" s="34">
        <f t="shared" si="31"/>
        <v>2020</v>
      </c>
      <c r="D374" s="34">
        <f t="shared" si="32"/>
        <v>7</v>
      </c>
      <c r="E374" s="34" t="str">
        <f t="shared" si="33"/>
        <v>July</v>
      </c>
      <c r="F374" s="44">
        <v>44030</v>
      </c>
      <c r="G374" t="s">
        <v>453</v>
      </c>
      <c r="H374" t="s">
        <v>454</v>
      </c>
      <c r="I374" t="s">
        <v>29</v>
      </c>
      <c r="J374" t="s">
        <v>43</v>
      </c>
      <c r="K374" t="s">
        <v>44</v>
      </c>
      <c r="L374" t="s">
        <v>45</v>
      </c>
      <c r="M374" t="s">
        <v>46</v>
      </c>
      <c r="N374" t="s">
        <v>170</v>
      </c>
      <c r="O374" t="s">
        <v>48</v>
      </c>
      <c r="P374" t="s">
        <v>49</v>
      </c>
      <c r="Q374" t="s">
        <v>171</v>
      </c>
      <c r="R374">
        <v>357.6</v>
      </c>
      <c r="S374">
        <v>3</v>
      </c>
      <c r="T374">
        <v>0.2</v>
      </c>
      <c r="U374" s="34" t="str">
        <f t="shared" si="34"/>
        <v>Medium</v>
      </c>
      <c r="V374">
        <v>60.87</v>
      </c>
      <c r="W374" s="29">
        <f t="shared" si="35"/>
        <v>0.170218120805369</v>
      </c>
      <c r="X374">
        <v>35.51</v>
      </c>
      <c r="Y374" t="s">
        <v>70</v>
      </c>
      <c r="Z374" s="34" t="str">
        <f t="shared" si="36"/>
        <v>Small</v>
      </c>
    </row>
    <row r="375" spans="1:26">
      <c r="A375" t="s">
        <v>1086</v>
      </c>
      <c r="B375" s="44">
        <v>45399</v>
      </c>
      <c r="C375" s="34">
        <f t="shared" si="31"/>
        <v>2024</v>
      </c>
      <c r="D375" s="34">
        <f t="shared" si="32"/>
        <v>4</v>
      </c>
      <c r="E375" s="34" t="str">
        <f t="shared" si="33"/>
        <v>April</v>
      </c>
      <c r="F375" s="44">
        <v>45403</v>
      </c>
      <c r="G375" t="s">
        <v>1087</v>
      </c>
      <c r="H375" t="s">
        <v>1088</v>
      </c>
      <c r="I375" t="s">
        <v>55</v>
      </c>
      <c r="J375" t="s">
        <v>43</v>
      </c>
      <c r="K375" t="s">
        <v>297</v>
      </c>
      <c r="L375" t="s">
        <v>298</v>
      </c>
      <c r="M375" t="s">
        <v>46</v>
      </c>
      <c r="N375" t="s">
        <v>339</v>
      </c>
      <c r="O375" t="s">
        <v>35</v>
      </c>
      <c r="P375" t="s">
        <v>78</v>
      </c>
      <c r="Q375" t="s">
        <v>340</v>
      </c>
      <c r="R375">
        <v>366.4</v>
      </c>
      <c r="S375">
        <v>2</v>
      </c>
      <c r="T375">
        <v>0.2</v>
      </c>
      <c r="U375" s="34" t="str">
        <f t="shared" si="34"/>
        <v>Medium</v>
      </c>
      <c r="V375">
        <v>33</v>
      </c>
      <c r="W375" s="29">
        <f t="shared" si="35"/>
        <v>0.0900655021834061</v>
      </c>
      <c r="X375">
        <v>36.56</v>
      </c>
      <c r="Y375" t="s">
        <v>51</v>
      </c>
      <c r="Z375" s="34" t="str">
        <f t="shared" si="36"/>
        <v>Small</v>
      </c>
    </row>
    <row r="376" spans="1:26">
      <c r="A376" t="s">
        <v>1089</v>
      </c>
      <c r="B376" s="44">
        <v>45042</v>
      </c>
      <c r="C376" s="34">
        <f t="shared" si="31"/>
        <v>2023</v>
      </c>
      <c r="D376" s="34">
        <f t="shared" si="32"/>
        <v>4</v>
      </c>
      <c r="E376" s="34" t="str">
        <f t="shared" si="33"/>
        <v>April</v>
      </c>
      <c r="F376" s="44">
        <v>45046</v>
      </c>
      <c r="G376" t="s">
        <v>890</v>
      </c>
      <c r="H376" t="s">
        <v>891</v>
      </c>
      <c r="I376" t="s">
        <v>29</v>
      </c>
      <c r="J376" t="s">
        <v>43</v>
      </c>
      <c r="K376" t="s">
        <v>349</v>
      </c>
      <c r="L376" t="s">
        <v>892</v>
      </c>
      <c r="M376" t="s">
        <v>33</v>
      </c>
      <c r="N376" t="s">
        <v>223</v>
      </c>
      <c r="O376" t="s">
        <v>48</v>
      </c>
      <c r="P376" t="s">
        <v>60</v>
      </c>
      <c r="Q376" t="s">
        <v>224</v>
      </c>
      <c r="R376">
        <v>320.4</v>
      </c>
      <c r="S376">
        <v>4</v>
      </c>
      <c r="T376">
        <v>0.1</v>
      </c>
      <c r="U376" s="34" t="str">
        <f t="shared" si="34"/>
        <v>Low</v>
      </c>
      <c r="V376">
        <v>-27.33</v>
      </c>
      <c r="W376" s="29">
        <f t="shared" si="35"/>
        <v>-0.0852996254681648</v>
      </c>
      <c r="X376">
        <v>5.65</v>
      </c>
      <c r="Y376" t="s">
        <v>121</v>
      </c>
      <c r="Z376" s="34" t="str">
        <f t="shared" si="36"/>
        <v>Small</v>
      </c>
    </row>
    <row r="377" spans="1:26">
      <c r="A377" t="s">
        <v>1090</v>
      </c>
      <c r="B377" s="44">
        <v>44953</v>
      </c>
      <c r="C377" s="34">
        <f t="shared" si="31"/>
        <v>2023</v>
      </c>
      <c r="D377" s="34">
        <f t="shared" si="32"/>
        <v>1</v>
      </c>
      <c r="E377" s="34" t="str">
        <f t="shared" si="33"/>
        <v>January</v>
      </c>
      <c r="F377" s="44">
        <v>44957</v>
      </c>
      <c r="G377" t="s">
        <v>517</v>
      </c>
      <c r="H377" t="s">
        <v>518</v>
      </c>
      <c r="I377" t="s">
        <v>42</v>
      </c>
      <c r="J377" t="s">
        <v>43</v>
      </c>
      <c r="K377" t="s">
        <v>56</v>
      </c>
      <c r="L377" t="s">
        <v>519</v>
      </c>
      <c r="M377" t="s">
        <v>58</v>
      </c>
      <c r="N377" t="s">
        <v>201</v>
      </c>
      <c r="O377" t="s">
        <v>35</v>
      </c>
      <c r="P377" t="s">
        <v>202</v>
      </c>
      <c r="Q377" t="s">
        <v>203</v>
      </c>
      <c r="R377">
        <v>673.5</v>
      </c>
      <c r="S377">
        <v>2</v>
      </c>
      <c r="T377">
        <v>0.25</v>
      </c>
      <c r="U377" s="34" t="str">
        <f t="shared" si="34"/>
        <v>High</v>
      </c>
      <c r="V377">
        <v>95.06</v>
      </c>
      <c r="W377" s="29">
        <f t="shared" si="35"/>
        <v>0.141143281365999</v>
      </c>
      <c r="X377">
        <v>19.88</v>
      </c>
      <c r="Y377" t="s">
        <v>80</v>
      </c>
      <c r="Z377" s="34" t="str">
        <f t="shared" si="36"/>
        <v>Medium</v>
      </c>
    </row>
    <row r="378" spans="1:26">
      <c r="A378" t="s">
        <v>1091</v>
      </c>
      <c r="B378" s="44">
        <v>45227</v>
      </c>
      <c r="C378" s="34">
        <f t="shared" si="31"/>
        <v>2023</v>
      </c>
      <c r="D378" s="34">
        <f t="shared" si="32"/>
        <v>10</v>
      </c>
      <c r="E378" s="34" t="str">
        <f t="shared" si="33"/>
        <v>October</v>
      </c>
      <c r="F378" s="44">
        <v>45230</v>
      </c>
      <c r="G378" t="s">
        <v>1092</v>
      </c>
      <c r="H378" t="s">
        <v>713</v>
      </c>
      <c r="I378" t="s">
        <v>42</v>
      </c>
      <c r="J378" t="s">
        <v>43</v>
      </c>
      <c r="K378" t="s">
        <v>199</v>
      </c>
      <c r="L378" t="s">
        <v>851</v>
      </c>
      <c r="M378" t="s">
        <v>46</v>
      </c>
      <c r="N378" t="s">
        <v>127</v>
      </c>
      <c r="O378" t="s">
        <v>48</v>
      </c>
      <c r="P378" t="s">
        <v>128</v>
      </c>
      <c r="Q378" t="s">
        <v>129</v>
      </c>
      <c r="R378">
        <v>260</v>
      </c>
      <c r="S378">
        <v>4</v>
      </c>
      <c r="T378">
        <v>0</v>
      </c>
      <c r="U378" s="34" t="str">
        <f t="shared" si="34"/>
        <v>No Discount</v>
      </c>
      <c r="V378">
        <v>36.77</v>
      </c>
      <c r="W378" s="29">
        <f t="shared" si="35"/>
        <v>0.141423076923077</v>
      </c>
      <c r="X378">
        <v>33.45</v>
      </c>
      <c r="Y378" t="s">
        <v>70</v>
      </c>
      <c r="Z378" s="34" t="str">
        <f t="shared" si="36"/>
        <v>Small</v>
      </c>
    </row>
    <row r="379" spans="1:26">
      <c r="A379" t="s">
        <v>1093</v>
      </c>
      <c r="B379" s="44">
        <v>44760</v>
      </c>
      <c r="C379" s="34">
        <f t="shared" si="31"/>
        <v>2022</v>
      </c>
      <c r="D379" s="34">
        <f t="shared" si="32"/>
        <v>7</v>
      </c>
      <c r="E379" s="34" t="str">
        <f t="shared" si="33"/>
        <v>July</v>
      </c>
      <c r="F379" s="44">
        <v>44765</v>
      </c>
      <c r="G379" t="s">
        <v>40</v>
      </c>
      <c r="H379" t="s">
        <v>41</v>
      </c>
      <c r="I379" t="s">
        <v>42</v>
      </c>
      <c r="J379" t="s">
        <v>43</v>
      </c>
      <c r="K379" t="s">
        <v>44</v>
      </c>
      <c r="L379" t="s">
        <v>45</v>
      </c>
      <c r="M379" t="s">
        <v>46</v>
      </c>
      <c r="N379" t="s">
        <v>388</v>
      </c>
      <c r="O379" t="s">
        <v>48</v>
      </c>
      <c r="P379" t="s">
        <v>190</v>
      </c>
      <c r="Q379" t="s">
        <v>389</v>
      </c>
      <c r="R379">
        <v>302.6</v>
      </c>
      <c r="S379">
        <v>4</v>
      </c>
      <c r="T379">
        <v>0.15</v>
      </c>
      <c r="U379" s="34" t="str">
        <f t="shared" si="34"/>
        <v>Medium</v>
      </c>
      <c r="V379">
        <v>68.47</v>
      </c>
      <c r="W379" s="29">
        <f t="shared" si="35"/>
        <v>0.226272306675479</v>
      </c>
      <c r="X379">
        <v>23.95</v>
      </c>
      <c r="Y379" t="s">
        <v>96</v>
      </c>
      <c r="Z379" s="34" t="str">
        <f t="shared" si="36"/>
        <v>Small</v>
      </c>
    </row>
    <row r="380" spans="1:26">
      <c r="A380" t="s">
        <v>1094</v>
      </c>
      <c r="B380" s="44">
        <v>44300</v>
      </c>
      <c r="C380" s="34">
        <f t="shared" si="31"/>
        <v>2021</v>
      </c>
      <c r="D380" s="34">
        <f t="shared" si="32"/>
        <v>4</v>
      </c>
      <c r="E380" s="34" t="str">
        <f t="shared" si="33"/>
        <v>April</v>
      </c>
      <c r="F380" s="44">
        <v>44307</v>
      </c>
      <c r="G380" t="s">
        <v>861</v>
      </c>
      <c r="H380" t="s">
        <v>862</v>
      </c>
      <c r="I380" t="s">
        <v>42</v>
      </c>
      <c r="J380" t="s">
        <v>43</v>
      </c>
      <c r="K380" t="s">
        <v>640</v>
      </c>
      <c r="L380" t="s">
        <v>863</v>
      </c>
      <c r="M380" t="s">
        <v>76</v>
      </c>
      <c r="N380" t="s">
        <v>421</v>
      </c>
      <c r="O380" t="s">
        <v>67</v>
      </c>
      <c r="P380" t="s">
        <v>252</v>
      </c>
      <c r="Q380" t="s">
        <v>422</v>
      </c>
      <c r="R380">
        <v>2739.2</v>
      </c>
      <c r="S380">
        <v>4</v>
      </c>
      <c r="T380">
        <v>0.2</v>
      </c>
      <c r="U380" s="34" t="str">
        <f t="shared" si="34"/>
        <v>Medium</v>
      </c>
      <c r="V380">
        <v>486.82</v>
      </c>
      <c r="W380" s="29">
        <f t="shared" si="35"/>
        <v>0.177723422897196</v>
      </c>
      <c r="X380">
        <v>20.77</v>
      </c>
      <c r="Y380" t="s">
        <v>38</v>
      </c>
      <c r="Z380" s="34" t="str">
        <f t="shared" si="36"/>
        <v>Large</v>
      </c>
    </row>
    <row r="381" spans="1:26">
      <c r="A381" t="s">
        <v>1095</v>
      </c>
      <c r="B381" s="44">
        <v>44091</v>
      </c>
      <c r="C381" s="34">
        <f t="shared" si="31"/>
        <v>2020</v>
      </c>
      <c r="D381" s="34">
        <f t="shared" si="32"/>
        <v>9</v>
      </c>
      <c r="E381" s="34" t="str">
        <f t="shared" si="33"/>
        <v>September</v>
      </c>
      <c r="F381" s="44">
        <v>44093</v>
      </c>
      <c r="G381" t="s">
        <v>491</v>
      </c>
      <c r="H381" t="s">
        <v>492</v>
      </c>
      <c r="I381" t="s">
        <v>29</v>
      </c>
      <c r="J381" t="s">
        <v>43</v>
      </c>
      <c r="K381" t="s">
        <v>56</v>
      </c>
      <c r="L381" t="s">
        <v>493</v>
      </c>
      <c r="M381" t="s">
        <v>58</v>
      </c>
      <c r="N381" t="s">
        <v>872</v>
      </c>
      <c r="O381" t="s">
        <v>35</v>
      </c>
      <c r="P381" t="s">
        <v>163</v>
      </c>
      <c r="Q381" t="s">
        <v>873</v>
      </c>
      <c r="R381">
        <v>1199.2</v>
      </c>
      <c r="S381">
        <v>1</v>
      </c>
      <c r="T381">
        <v>0.2</v>
      </c>
      <c r="U381" s="34" t="str">
        <f t="shared" si="34"/>
        <v>Medium</v>
      </c>
      <c r="V381">
        <v>166.9</v>
      </c>
      <c r="W381" s="29">
        <f t="shared" si="35"/>
        <v>0.139176117411608</v>
      </c>
      <c r="X381">
        <v>43.28</v>
      </c>
      <c r="Y381" t="s">
        <v>51</v>
      </c>
      <c r="Z381" s="34" t="str">
        <f t="shared" si="36"/>
        <v>Medium</v>
      </c>
    </row>
    <row r="382" spans="1:26">
      <c r="A382" t="s">
        <v>1096</v>
      </c>
      <c r="B382" s="44">
        <v>44940</v>
      </c>
      <c r="C382" s="34">
        <f t="shared" si="31"/>
        <v>2023</v>
      </c>
      <c r="D382" s="34">
        <f t="shared" si="32"/>
        <v>1</v>
      </c>
      <c r="E382" s="34" t="str">
        <f t="shared" si="33"/>
        <v>January</v>
      </c>
      <c r="F382" s="44">
        <v>44943</v>
      </c>
      <c r="G382" t="s">
        <v>721</v>
      </c>
      <c r="H382" t="s">
        <v>283</v>
      </c>
      <c r="I382" t="s">
        <v>29</v>
      </c>
      <c r="J382" t="s">
        <v>43</v>
      </c>
      <c r="K382" t="s">
        <v>213</v>
      </c>
      <c r="L382" t="s">
        <v>356</v>
      </c>
      <c r="M382" t="s">
        <v>33</v>
      </c>
      <c r="N382" t="s">
        <v>474</v>
      </c>
      <c r="O382" t="s">
        <v>35</v>
      </c>
      <c r="P382" t="s">
        <v>78</v>
      </c>
      <c r="Q382" t="s">
        <v>475</v>
      </c>
      <c r="R382">
        <v>1019.15</v>
      </c>
      <c r="S382">
        <v>1</v>
      </c>
      <c r="T382">
        <v>0.15</v>
      </c>
      <c r="U382" s="34" t="str">
        <f t="shared" si="34"/>
        <v>Medium</v>
      </c>
      <c r="V382">
        <v>-83.05</v>
      </c>
      <c r="W382" s="29">
        <f t="shared" si="35"/>
        <v>-0.0814894765245548</v>
      </c>
      <c r="X382">
        <v>5.07</v>
      </c>
      <c r="Y382" t="s">
        <v>96</v>
      </c>
      <c r="Z382" s="34" t="str">
        <f t="shared" si="36"/>
        <v>Medium</v>
      </c>
    </row>
    <row r="383" spans="1:26">
      <c r="A383" t="s">
        <v>1097</v>
      </c>
      <c r="B383" s="44">
        <v>44828</v>
      </c>
      <c r="C383" s="34">
        <f t="shared" si="31"/>
        <v>2022</v>
      </c>
      <c r="D383" s="34">
        <f t="shared" si="32"/>
        <v>9</v>
      </c>
      <c r="E383" s="34" t="str">
        <f t="shared" si="33"/>
        <v>September</v>
      </c>
      <c r="F383" s="44">
        <v>44835</v>
      </c>
      <c r="G383" t="s">
        <v>185</v>
      </c>
      <c r="H383" t="s">
        <v>186</v>
      </c>
      <c r="I383" t="s">
        <v>42</v>
      </c>
      <c r="J383" t="s">
        <v>43</v>
      </c>
      <c r="K383" t="s">
        <v>187</v>
      </c>
      <c r="L383" t="s">
        <v>188</v>
      </c>
      <c r="M383" t="s">
        <v>33</v>
      </c>
      <c r="N383" t="s">
        <v>872</v>
      </c>
      <c r="O383" t="s">
        <v>35</v>
      </c>
      <c r="P383" t="s">
        <v>163</v>
      </c>
      <c r="Q383" t="s">
        <v>873</v>
      </c>
      <c r="R383">
        <v>5996</v>
      </c>
      <c r="S383">
        <v>4</v>
      </c>
      <c r="T383">
        <v>0</v>
      </c>
      <c r="U383" s="34" t="str">
        <f t="shared" si="34"/>
        <v>No Discount</v>
      </c>
      <c r="V383">
        <v>1190.93</v>
      </c>
      <c r="W383" s="29">
        <f t="shared" si="35"/>
        <v>0.198620747164777</v>
      </c>
      <c r="X383">
        <v>27.58</v>
      </c>
      <c r="Y383" t="s">
        <v>62</v>
      </c>
      <c r="Z383" s="34" t="str">
        <f t="shared" si="36"/>
        <v>Large</v>
      </c>
    </row>
    <row r="384" spans="1:26">
      <c r="A384" t="s">
        <v>1098</v>
      </c>
      <c r="B384" s="44">
        <v>44002</v>
      </c>
      <c r="C384" s="34">
        <f t="shared" si="31"/>
        <v>2020</v>
      </c>
      <c r="D384" s="34">
        <f t="shared" si="32"/>
        <v>6</v>
      </c>
      <c r="E384" s="34" t="str">
        <f t="shared" si="33"/>
        <v>June</v>
      </c>
      <c r="F384" s="44">
        <v>44005</v>
      </c>
      <c r="G384" t="s">
        <v>453</v>
      </c>
      <c r="H384" t="s">
        <v>454</v>
      </c>
      <c r="I384" t="s">
        <v>29</v>
      </c>
      <c r="J384" t="s">
        <v>43</v>
      </c>
      <c r="K384" t="s">
        <v>44</v>
      </c>
      <c r="L384" t="s">
        <v>45</v>
      </c>
      <c r="M384" t="s">
        <v>46</v>
      </c>
      <c r="N384" t="s">
        <v>170</v>
      </c>
      <c r="O384" t="s">
        <v>48</v>
      </c>
      <c r="P384" t="s">
        <v>49</v>
      </c>
      <c r="Q384" t="s">
        <v>171</v>
      </c>
      <c r="R384">
        <v>104.3</v>
      </c>
      <c r="S384">
        <v>1</v>
      </c>
      <c r="T384">
        <v>0.3</v>
      </c>
      <c r="U384" s="34" t="str">
        <f t="shared" si="34"/>
        <v>High</v>
      </c>
      <c r="V384">
        <v>6.93</v>
      </c>
      <c r="W384" s="29">
        <f t="shared" si="35"/>
        <v>0.0664429530201342</v>
      </c>
      <c r="X384">
        <v>46.44</v>
      </c>
      <c r="Y384" t="s">
        <v>70</v>
      </c>
      <c r="Z384" s="34" t="str">
        <f t="shared" si="36"/>
        <v>Small</v>
      </c>
    </row>
    <row r="385" spans="1:26">
      <c r="A385" t="s">
        <v>1099</v>
      </c>
      <c r="B385" s="44">
        <v>45652</v>
      </c>
      <c r="C385" s="34">
        <f t="shared" si="31"/>
        <v>2024</v>
      </c>
      <c r="D385" s="34">
        <f t="shared" si="32"/>
        <v>12</v>
      </c>
      <c r="E385" s="34" t="str">
        <f t="shared" si="33"/>
        <v>December</v>
      </c>
      <c r="F385" s="44">
        <v>45657</v>
      </c>
      <c r="G385" t="s">
        <v>1100</v>
      </c>
      <c r="H385" t="s">
        <v>261</v>
      </c>
      <c r="I385" t="s">
        <v>42</v>
      </c>
      <c r="J385" t="s">
        <v>43</v>
      </c>
      <c r="K385" t="s">
        <v>175</v>
      </c>
      <c r="L385" t="s">
        <v>176</v>
      </c>
      <c r="M385" t="s">
        <v>46</v>
      </c>
      <c r="N385" t="s">
        <v>223</v>
      </c>
      <c r="O385" t="s">
        <v>48</v>
      </c>
      <c r="P385" t="s">
        <v>60</v>
      </c>
      <c r="Q385" t="s">
        <v>224</v>
      </c>
      <c r="R385">
        <v>62.3</v>
      </c>
      <c r="S385">
        <v>1</v>
      </c>
      <c r="T385">
        <v>0.3</v>
      </c>
      <c r="U385" s="34" t="str">
        <f t="shared" si="34"/>
        <v>High</v>
      </c>
      <c r="V385">
        <v>9.26</v>
      </c>
      <c r="W385" s="29">
        <f t="shared" si="35"/>
        <v>0.148635634028892</v>
      </c>
      <c r="X385">
        <v>6.52</v>
      </c>
      <c r="Y385" t="s">
        <v>80</v>
      </c>
      <c r="Z385" s="34" t="str">
        <f t="shared" si="36"/>
        <v>Small</v>
      </c>
    </row>
    <row r="386" spans="1:26">
      <c r="A386" t="s">
        <v>1101</v>
      </c>
      <c r="B386" s="44">
        <v>44835</v>
      </c>
      <c r="C386" s="34">
        <f t="shared" ref="C386:C449" si="37">YEAR(B386)</f>
        <v>2022</v>
      </c>
      <c r="D386" s="34">
        <f t="shared" ref="D386:D449" si="38">MONTH(B386)</f>
        <v>10</v>
      </c>
      <c r="E386" s="34" t="str">
        <f t="shared" ref="E386:E449" si="39">TEXT(B386,"mmmm")</f>
        <v>October</v>
      </c>
      <c r="F386" s="44">
        <v>44841</v>
      </c>
      <c r="G386" t="s">
        <v>72</v>
      </c>
      <c r="H386" t="s">
        <v>73</v>
      </c>
      <c r="I386" t="s">
        <v>55</v>
      </c>
      <c r="J386" t="s">
        <v>30</v>
      </c>
      <c r="K386" t="s">
        <v>74</v>
      </c>
      <c r="L386" t="s">
        <v>75</v>
      </c>
      <c r="M386" t="s">
        <v>76</v>
      </c>
      <c r="N386" t="s">
        <v>673</v>
      </c>
      <c r="O386" t="s">
        <v>35</v>
      </c>
      <c r="P386" t="s">
        <v>202</v>
      </c>
      <c r="Q386" t="s">
        <v>674</v>
      </c>
      <c r="R386">
        <v>1467.9</v>
      </c>
      <c r="S386">
        <v>3</v>
      </c>
      <c r="T386">
        <v>0.3</v>
      </c>
      <c r="U386" s="34" t="str">
        <f t="shared" ref="U386:U449" si="40">IF(T386=0,"No Discount",IF(T386&lt;=0.1,"Low",IF(T386&lt;=0.2,"Medium","High")))</f>
        <v>High</v>
      </c>
      <c r="V386">
        <v>-87.19</v>
      </c>
      <c r="W386" s="29">
        <f t="shared" ref="W386:W449" si="41">V386/R386</f>
        <v>-0.0593977791402684</v>
      </c>
      <c r="X386">
        <v>45.99</v>
      </c>
      <c r="Y386" t="s">
        <v>121</v>
      </c>
      <c r="Z386" s="34" t="str">
        <f t="shared" ref="Z386:Z449" si="42">IF(R386&lt;500,"Small",IF(R386&lt;=2000,"Medium","Large"))</f>
        <v>Medium</v>
      </c>
    </row>
    <row r="387" spans="1:26">
      <c r="A387" t="s">
        <v>1102</v>
      </c>
      <c r="B387" s="44">
        <v>45360</v>
      </c>
      <c r="C387" s="34">
        <f t="shared" si="37"/>
        <v>2024</v>
      </c>
      <c r="D387" s="34">
        <f t="shared" si="38"/>
        <v>3</v>
      </c>
      <c r="E387" s="34" t="str">
        <f t="shared" si="39"/>
        <v>March</v>
      </c>
      <c r="F387" s="44">
        <v>45364</v>
      </c>
      <c r="G387" t="s">
        <v>1103</v>
      </c>
      <c r="H387" t="s">
        <v>1104</v>
      </c>
      <c r="I387" t="s">
        <v>29</v>
      </c>
      <c r="J387" t="s">
        <v>43</v>
      </c>
      <c r="K387" t="s">
        <v>297</v>
      </c>
      <c r="L387" t="s">
        <v>298</v>
      </c>
      <c r="M387" t="s">
        <v>46</v>
      </c>
      <c r="N387" t="s">
        <v>312</v>
      </c>
      <c r="O387" t="s">
        <v>48</v>
      </c>
      <c r="P387" t="s">
        <v>49</v>
      </c>
      <c r="Q387" t="s">
        <v>313</v>
      </c>
      <c r="R387">
        <v>175.5</v>
      </c>
      <c r="S387">
        <v>5</v>
      </c>
      <c r="T387">
        <v>0.1</v>
      </c>
      <c r="U387" s="34" t="str">
        <f t="shared" si="40"/>
        <v>Low</v>
      </c>
      <c r="V387">
        <v>20.64</v>
      </c>
      <c r="W387" s="29">
        <f t="shared" si="41"/>
        <v>0.117606837606838</v>
      </c>
      <c r="X387">
        <v>48.21</v>
      </c>
      <c r="Y387" t="s">
        <v>96</v>
      </c>
      <c r="Z387" s="34" t="str">
        <f t="shared" si="42"/>
        <v>Small</v>
      </c>
    </row>
    <row r="388" spans="1:26">
      <c r="A388" t="s">
        <v>1105</v>
      </c>
      <c r="B388" s="44">
        <v>44601</v>
      </c>
      <c r="C388" s="34">
        <f t="shared" si="37"/>
        <v>2022</v>
      </c>
      <c r="D388" s="34">
        <f t="shared" si="38"/>
        <v>2</v>
      </c>
      <c r="E388" s="34" t="str">
        <f t="shared" si="39"/>
        <v>February</v>
      </c>
      <c r="F388" s="44">
        <v>44608</v>
      </c>
      <c r="G388" t="s">
        <v>98</v>
      </c>
      <c r="H388" t="s">
        <v>99</v>
      </c>
      <c r="I388" t="s">
        <v>55</v>
      </c>
      <c r="J388" t="s">
        <v>43</v>
      </c>
      <c r="K388" t="s">
        <v>100</v>
      </c>
      <c r="L388" t="s">
        <v>101</v>
      </c>
      <c r="M388" t="s">
        <v>33</v>
      </c>
      <c r="N388" t="s">
        <v>155</v>
      </c>
      <c r="O388" t="s">
        <v>67</v>
      </c>
      <c r="P388" t="s">
        <v>119</v>
      </c>
      <c r="Q388" t="s">
        <v>156</v>
      </c>
      <c r="R388">
        <v>1613.1</v>
      </c>
      <c r="S388">
        <v>2</v>
      </c>
      <c r="T388">
        <v>0.05</v>
      </c>
      <c r="U388" s="34" t="str">
        <f t="shared" si="40"/>
        <v>Low</v>
      </c>
      <c r="V388">
        <v>317.54</v>
      </c>
      <c r="W388" s="29">
        <f t="shared" si="41"/>
        <v>0.196850784204327</v>
      </c>
      <c r="X388">
        <v>16.94</v>
      </c>
      <c r="Y388" t="s">
        <v>62</v>
      </c>
      <c r="Z388" s="34" t="str">
        <f t="shared" si="42"/>
        <v>Medium</v>
      </c>
    </row>
    <row r="389" spans="1:26">
      <c r="A389" t="s">
        <v>1106</v>
      </c>
      <c r="B389" s="44">
        <v>44203</v>
      </c>
      <c r="C389" s="34">
        <f t="shared" si="37"/>
        <v>2021</v>
      </c>
      <c r="D389" s="34">
        <f t="shared" si="38"/>
        <v>1</v>
      </c>
      <c r="E389" s="34" t="str">
        <f t="shared" si="39"/>
        <v>January</v>
      </c>
      <c r="F389" s="44">
        <v>44210</v>
      </c>
      <c r="G389" t="s">
        <v>1107</v>
      </c>
      <c r="H389" t="s">
        <v>1108</v>
      </c>
      <c r="I389" t="s">
        <v>42</v>
      </c>
      <c r="J389" t="s">
        <v>43</v>
      </c>
      <c r="K389" t="s">
        <v>349</v>
      </c>
      <c r="L389" t="s">
        <v>350</v>
      </c>
      <c r="M389" t="s">
        <v>33</v>
      </c>
      <c r="N389" t="s">
        <v>430</v>
      </c>
      <c r="O389" t="s">
        <v>67</v>
      </c>
      <c r="P389" t="s">
        <v>87</v>
      </c>
      <c r="Q389" t="s">
        <v>431</v>
      </c>
      <c r="R389">
        <v>608.6</v>
      </c>
      <c r="S389">
        <v>4</v>
      </c>
      <c r="T389">
        <v>0.15</v>
      </c>
      <c r="U389" s="34" t="str">
        <f t="shared" si="40"/>
        <v>Medium</v>
      </c>
      <c r="V389">
        <v>-54.5</v>
      </c>
      <c r="W389" s="29">
        <f t="shared" si="41"/>
        <v>-0.0895497863950049</v>
      </c>
      <c r="X389">
        <v>19.37</v>
      </c>
      <c r="Y389" t="s">
        <v>62</v>
      </c>
      <c r="Z389" s="34" t="str">
        <f t="shared" si="42"/>
        <v>Medium</v>
      </c>
    </row>
    <row r="390" spans="1:26">
      <c r="A390" t="s">
        <v>1109</v>
      </c>
      <c r="B390" s="44">
        <v>43896</v>
      </c>
      <c r="C390" s="34">
        <f t="shared" si="37"/>
        <v>2020</v>
      </c>
      <c r="D390" s="34">
        <f t="shared" si="38"/>
        <v>3</v>
      </c>
      <c r="E390" s="34" t="str">
        <f t="shared" si="39"/>
        <v>March</v>
      </c>
      <c r="F390" s="44">
        <v>43902</v>
      </c>
      <c r="G390" t="s">
        <v>1110</v>
      </c>
      <c r="H390" t="s">
        <v>1111</v>
      </c>
      <c r="I390" t="s">
        <v>42</v>
      </c>
      <c r="J390" t="s">
        <v>43</v>
      </c>
      <c r="K390" t="s">
        <v>108</v>
      </c>
      <c r="L390" t="s">
        <v>1112</v>
      </c>
      <c r="M390" t="s">
        <v>58</v>
      </c>
      <c r="N390" t="s">
        <v>430</v>
      </c>
      <c r="O390" t="s">
        <v>67</v>
      </c>
      <c r="P390" t="s">
        <v>87</v>
      </c>
      <c r="Q390" t="s">
        <v>431</v>
      </c>
      <c r="R390">
        <v>895</v>
      </c>
      <c r="S390">
        <v>5</v>
      </c>
      <c r="T390">
        <v>0</v>
      </c>
      <c r="U390" s="34" t="str">
        <f t="shared" si="40"/>
        <v>No Discount</v>
      </c>
      <c r="V390">
        <v>155.81</v>
      </c>
      <c r="W390" s="29">
        <f t="shared" si="41"/>
        <v>0.17408938547486</v>
      </c>
      <c r="X390">
        <v>17.63</v>
      </c>
      <c r="Y390" t="s">
        <v>62</v>
      </c>
      <c r="Z390" s="34" t="str">
        <f t="shared" si="42"/>
        <v>Medium</v>
      </c>
    </row>
    <row r="391" spans="1:26">
      <c r="A391" t="s">
        <v>1113</v>
      </c>
      <c r="B391" s="44">
        <v>44362</v>
      </c>
      <c r="C391" s="34">
        <f t="shared" si="37"/>
        <v>2021</v>
      </c>
      <c r="D391" s="34">
        <f t="shared" si="38"/>
        <v>6</v>
      </c>
      <c r="E391" s="34" t="str">
        <f t="shared" si="39"/>
        <v>June</v>
      </c>
      <c r="F391" s="44">
        <v>44367</v>
      </c>
      <c r="G391" t="s">
        <v>336</v>
      </c>
      <c r="H391" t="s">
        <v>337</v>
      </c>
      <c r="I391" t="s">
        <v>55</v>
      </c>
      <c r="J391" t="s">
        <v>43</v>
      </c>
      <c r="K391" t="s">
        <v>153</v>
      </c>
      <c r="L391" t="s">
        <v>338</v>
      </c>
      <c r="M391" t="s">
        <v>58</v>
      </c>
      <c r="N391" t="s">
        <v>533</v>
      </c>
      <c r="O391" t="s">
        <v>67</v>
      </c>
      <c r="P391" t="s">
        <v>119</v>
      </c>
      <c r="Q391" t="s">
        <v>534</v>
      </c>
      <c r="R391">
        <v>1044.05</v>
      </c>
      <c r="S391">
        <v>1</v>
      </c>
      <c r="T391">
        <v>0.05</v>
      </c>
      <c r="U391" s="34" t="str">
        <f t="shared" si="40"/>
        <v>Low</v>
      </c>
      <c r="V391">
        <v>198.31</v>
      </c>
      <c r="W391" s="29">
        <f t="shared" si="41"/>
        <v>0.189943010392223</v>
      </c>
      <c r="X391">
        <v>34.99</v>
      </c>
      <c r="Y391" t="s">
        <v>137</v>
      </c>
      <c r="Z391" s="34" t="str">
        <f t="shared" si="42"/>
        <v>Medium</v>
      </c>
    </row>
    <row r="392" spans="1:26">
      <c r="A392" t="s">
        <v>1114</v>
      </c>
      <c r="B392" s="44">
        <v>45191</v>
      </c>
      <c r="C392" s="34">
        <f t="shared" si="37"/>
        <v>2023</v>
      </c>
      <c r="D392" s="34">
        <f t="shared" si="38"/>
        <v>9</v>
      </c>
      <c r="E392" s="34" t="str">
        <f t="shared" si="39"/>
        <v>September</v>
      </c>
      <c r="F392" s="44">
        <v>45198</v>
      </c>
      <c r="G392" t="s">
        <v>660</v>
      </c>
      <c r="H392" t="s">
        <v>661</v>
      </c>
      <c r="I392" t="s">
        <v>42</v>
      </c>
      <c r="J392" t="s">
        <v>43</v>
      </c>
      <c r="K392" t="s">
        <v>187</v>
      </c>
      <c r="L392" t="s">
        <v>662</v>
      </c>
      <c r="M392" t="s">
        <v>33</v>
      </c>
      <c r="N392" t="s">
        <v>170</v>
      </c>
      <c r="O392" t="s">
        <v>48</v>
      </c>
      <c r="P392" t="s">
        <v>49</v>
      </c>
      <c r="Q392" t="s">
        <v>171</v>
      </c>
      <c r="R392">
        <v>447</v>
      </c>
      <c r="S392">
        <v>3</v>
      </c>
      <c r="T392">
        <v>0</v>
      </c>
      <c r="U392" s="34" t="str">
        <f t="shared" si="40"/>
        <v>No Discount</v>
      </c>
      <c r="V392">
        <v>41.17</v>
      </c>
      <c r="W392" s="29">
        <f t="shared" si="41"/>
        <v>0.0921029082774049</v>
      </c>
      <c r="X392">
        <v>11.77</v>
      </c>
      <c r="Y392" t="s">
        <v>51</v>
      </c>
      <c r="Z392" s="34" t="str">
        <f t="shared" si="42"/>
        <v>Small</v>
      </c>
    </row>
    <row r="393" spans="1:26">
      <c r="A393" t="s">
        <v>1115</v>
      </c>
      <c r="B393" s="44">
        <v>44487</v>
      </c>
      <c r="C393" s="34">
        <f t="shared" si="37"/>
        <v>2021</v>
      </c>
      <c r="D393" s="34">
        <f t="shared" si="38"/>
        <v>10</v>
      </c>
      <c r="E393" s="34" t="str">
        <f t="shared" si="39"/>
        <v>October</v>
      </c>
      <c r="F393" s="44">
        <v>44492</v>
      </c>
      <c r="G393" t="s">
        <v>795</v>
      </c>
      <c r="H393" t="s">
        <v>796</v>
      </c>
      <c r="I393" t="s">
        <v>42</v>
      </c>
      <c r="J393" t="s">
        <v>43</v>
      </c>
      <c r="K393" t="s">
        <v>551</v>
      </c>
      <c r="L393" t="s">
        <v>718</v>
      </c>
      <c r="M393" t="s">
        <v>33</v>
      </c>
      <c r="N393" t="s">
        <v>430</v>
      </c>
      <c r="O393" t="s">
        <v>67</v>
      </c>
      <c r="P393" t="s">
        <v>87</v>
      </c>
      <c r="Q393" t="s">
        <v>431</v>
      </c>
      <c r="R393">
        <v>179</v>
      </c>
      <c r="S393">
        <v>1</v>
      </c>
      <c r="T393">
        <v>0</v>
      </c>
      <c r="U393" s="34" t="str">
        <f t="shared" si="40"/>
        <v>No Discount</v>
      </c>
      <c r="V393">
        <v>17.72</v>
      </c>
      <c r="W393" s="29">
        <f t="shared" si="41"/>
        <v>0.0989944134078212</v>
      </c>
      <c r="X393">
        <v>12.53</v>
      </c>
      <c r="Y393" t="s">
        <v>80</v>
      </c>
      <c r="Z393" s="34" t="str">
        <f t="shared" si="42"/>
        <v>Small</v>
      </c>
    </row>
    <row r="394" spans="1:26">
      <c r="A394" t="s">
        <v>1116</v>
      </c>
      <c r="B394" s="44">
        <v>44133</v>
      </c>
      <c r="C394" s="34">
        <f t="shared" si="37"/>
        <v>2020</v>
      </c>
      <c r="D394" s="34">
        <f t="shared" si="38"/>
        <v>10</v>
      </c>
      <c r="E394" s="34" t="str">
        <f t="shared" si="39"/>
        <v>October</v>
      </c>
      <c r="F394" s="44">
        <v>44139</v>
      </c>
      <c r="G394" t="s">
        <v>691</v>
      </c>
      <c r="H394" t="s">
        <v>692</v>
      </c>
      <c r="I394" t="s">
        <v>42</v>
      </c>
      <c r="J394" t="s">
        <v>43</v>
      </c>
      <c r="K394" t="s">
        <v>213</v>
      </c>
      <c r="L394" t="s">
        <v>356</v>
      </c>
      <c r="M394" t="s">
        <v>33</v>
      </c>
      <c r="N394" t="s">
        <v>155</v>
      </c>
      <c r="O394" t="s">
        <v>67</v>
      </c>
      <c r="P394" t="s">
        <v>119</v>
      </c>
      <c r="Q394" t="s">
        <v>156</v>
      </c>
      <c r="R394">
        <v>2547</v>
      </c>
      <c r="S394">
        <v>3</v>
      </c>
      <c r="T394">
        <v>0</v>
      </c>
      <c r="U394" s="34" t="str">
        <f t="shared" si="40"/>
        <v>No Discount</v>
      </c>
      <c r="V394">
        <v>378.22</v>
      </c>
      <c r="W394" s="29">
        <f t="shared" si="41"/>
        <v>0.148496270121712</v>
      </c>
      <c r="X394">
        <v>12.77</v>
      </c>
      <c r="Y394" t="s">
        <v>96</v>
      </c>
      <c r="Z394" s="34" t="str">
        <f t="shared" si="42"/>
        <v>Large</v>
      </c>
    </row>
    <row r="395" spans="1:26">
      <c r="A395" t="s">
        <v>1117</v>
      </c>
      <c r="B395" s="44">
        <v>45618</v>
      </c>
      <c r="C395" s="34">
        <f t="shared" si="37"/>
        <v>2024</v>
      </c>
      <c r="D395" s="34">
        <f t="shared" si="38"/>
        <v>11</v>
      </c>
      <c r="E395" s="34" t="str">
        <f t="shared" si="39"/>
        <v>November</v>
      </c>
      <c r="F395" s="44">
        <v>45624</v>
      </c>
      <c r="G395" t="s">
        <v>759</v>
      </c>
      <c r="H395" t="s">
        <v>644</v>
      </c>
      <c r="I395" t="s">
        <v>42</v>
      </c>
      <c r="J395" t="s">
        <v>43</v>
      </c>
      <c r="K395" t="s">
        <v>645</v>
      </c>
      <c r="L395" t="s">
        <v>311</v>
      </c>
      <c r="M395" t="s">
        <v>58</v>
      </c>
      <c r="N395" t="s">
        <v>286</v>
      </c>
      <c r="O395" t="s">
        <v>35</v>
      </c>
      <c r="P395" t="s">
        <v>202</v>
      </c>
      <c r="Q395" t="s">
        <v>287</v>
      </c>
      <c r="R395">
        <v>298</v>
      </c>
      <c r="S395">
        <v>2</v>
      </c>
      <c r="T395">
        <v>0</v>
      </c>
      <c r="U395" s="34" t="str">
        <f t="shared" si="40"/>
        <v>No Discount</v>
      </c>
      <c r="V395">
        <v>43.04</v>
      </c>
      <c r="W395" s="29">
        <f t="shared" si="41"/>
        <v>0.144429530201342</v>
      </c>
      <c r="X395">
        <v>5.52</v>
      </c>
      <c r="Y395" t="s">
        <v>51</v>
      </c>
      <c r="Z395" s="34" t="str">
        <f t="shared" si="42"/>
        <v>Small</v>
      </c>
    </row>
    <row r="396" spans="1:26">
      <c r="A396" t="s">
        <v>1118</v>
      </c>
      <c r="B396" s="44">
        <v>44302</v>
      </c>
      <c r="C396" s="34">
        <f t="shared" si="37"/>
        <v>2021</v>
      </c>
      <c r="D396" s="34">
        <f t="shared" si="38"/>
        <v>4</v>
      </c>
      <c r="E396" s="34" t="str">
        <f t="shared" si="39"/>
        <v>April</v>
      </c>
      <c r="F396" s="44">
        <v>44306</v>
      </c>
      <c r="G396" t="s">
        <v>1119</v>
      </c>
      <c r="H396" t="s">
        <v>1120</v>
      </c>
      <c r="I396" t="s">
        <v>55</v>
      </c>
      <c r="J396" t="s">
        <v>30</v>
      </c>
      <c r="K396" t="s">
        <v>133</v>
      </c>
      <c r="L396" t="s">
        <v>753</v>
      </c>
      <c r="M396" t="s">
        <v>33</v>
      </c>
      <c r="N396" t="s">
        <v>59</v>
      </c>
      <c r="O396" t="s">
        <v>48</v>
      </c>
      <c r="P396" t="s">
        <v>60</v>
      </c>
      <c r="Q396" t="s">
        <v>61</v>
      </c>
      <c r="R396">
        <v>661.2</v>
      </c>
      <c r="S396">
        <v>4</v>
      </c>
      <c r="T396">
        <v>0.05</v>
      </c>
      <c r="U396" s="34" t="str">
        <f t="shared" si="40"/>
        <v>Low</v>
      </c>
      <c r="V396">
        <v>123.05</v>
      </c>
      <c r="W396" s="29">
        <f t="shared" si="41"/>
        <v>0.186101028433152</v>
      </c>
      <c r="X396">
        <v>30.62</v>
      </c>
      <c r="Y396" t="s">
        <v>121</v>
      </c>
      <c r="Z396" s="34" t="str">
        <f t="shared" si="42"/>
        <v>Medium</v>
      </c>
    </row>
    <row r="397" spans="1:26">
      <c r="A397" t="s">
        <v>1121</v>
      </c>
      <c r="B397" s="44">
        <v>45170</v>
      </c>
      <c r="C397" s="34">
        <f t="shared" si="37"/>
        <v>2023</v>
      </c>
      <c r="D397" s="34">
        <f t="shared" si="38"/>
        <v>9</v>
      </c>
      <c r="E397" s="34" t="str">
        <f t="shared" si="39"/>
        <v>September</v>
      </c>
      <c r="F397" s="44">
        <v>45171</v>
      </c>
      <c r="G397" t="s">
        <v>218</v>
      </c>
      <c r="H397" t="s">
        <v>219</v>
      </c>
      <c r="I397" t="s">
        <v>29</v>
      </c>
      <c r="J397" t="s">
        <v>43</v>
      </c>
      <c r="K397" t="s">
        <v>146</v>
      </c>
      <c r="L397" t="s">
        <v>147</v>
      </c>
      <c r="M397" t="s">
        <v>33</v>
      </c>
      <c r="N397" t="s">
        <v>670</v>
      </c>
      <c r="O397" t="s">
        <v>48</v>
      </c>
      <c r="P397" t="s">
        <v>49</v>
      </c>
      <c r="Q397" t="s">
        <v>671</v>
      </c>
      <c r="R397">
        <v>392</v>
      </c>
      <c r="S397">
        <v>4</v>
      </c>
      <c r="T397">
        <v>0</v>
      </c>
      <c r="U397" s="34" t="str">
        <f t="shared" si="40"/>
        <v>No Discount</v>
      </c>
      <c r="V397">
        <v>73.62</v>
      </c>
      <c r="W397" s="29">
        <f t="shared" si="41"/>
        <v>0.18780612244898</v>
      </c>
      <c r="X397">
        <v>15.92</v>
      </c>
      <c r="Y397" t="s">
        <v>80</v>
      </c>
      <c r="Z397" s="34" t="str">
        <f t="shared" si="42"/>
        <v>Small</v>
      </c>
    </row>
    <row r="398" spans="1:26">
      <c r="A398" t="s">
        <v>1122</v>
      </c>
      <c r="B398" s="44">
        <v>45132</v>
      </c>
      <c r="C398" s="34">
        <f t="shared" si="37"/>
        <v>2023</v>
      </c>
      <c r="D398" s="34">
        <f t="shared" si="38"/>
        <v>7</v>
      </c>
      <c r="E398" s="34" t="str">
        <f t="shared" si="39"/>
        <v>July</v>
      </c>
      <c r="F398" s="44">
        <v>45138</v>
      </c>
      <c r="G398" t="s">
        <v>664</v>
      </c>
      <c r="H398" t="s">
        <v>665</v>
      </c>
      <c r="I398" t="s">
        <v>29</v>
      </c>
      <c r="J398" t="s">
        <v>43</v>
      </c>
      <c r="K398" t="s">
        <v>133</v>
      </c>
      <c r="L398" t="s">
        <v>134</v>
      </c>
      <c r="M398" t="s">
        <v>33</v>
      </c>
      <c r="N398" t="s">
        <v>223</v>
      </c>
      <c r="O398" t="s">
        <v>48</v>
      </c>
      <c r="P398" t="s">
        <v>60</v>
      </c>
      <c r="Q398" t="s">
        <v>224</v>
      </c>
      <c r="R398">
        <v>80.1</v>
      </c>
      <c r="S398">
        <v>1</v>
      </c>
      <c r="T398">
        <v>0.1</v>
      </c>
      <c r="U398" s="34" t="str">
        <f t="shared" si="40"/>
        <v>Low</v>
      </c>
      <c r="V398">
        <v>-9.2</v>
      </c>
      <c r="W398" s="29">
        <f t="shared" si="41"/>
        <v>-0.114856429463171</v>
      </c>
      <c r="X398">
        <v>17.32</v>
      </c>
      <c r="Y398" t="s">
        <v>137</v>
      </c>
      <c r="Z398" s="34" t="str">
        <f t="shared" si="42"/>
        <v>Small</v>
      </c>
    </row>
    <row r="399" spans="1:26">
      <c r="A399" t="s">
        <v>1123</v>
      </c>
      <c r="B399" s="44">
        <v>44575</v>
      </c>
      <c r="C399" s="34">
        <f t="shared" si="37"/>
        <v>2022</v>
      </c>
      <c r="D399" s="34">
        <f t="shared" si="38"/>
        <v>1</v>
      </c>
      <c r="E399" s="34" t="str">
        <f t="shared" si="39"/>
        <v>January</v>
      </c>
      <c r="F399" s="44">
        <v>44578</v>
      </c>
      <c r="G399" t="s">
        <v>879</v>
      </c>
      <c r="H399" t="s">
        <v>880</v>
      </c>
      <c r="I399" t="s">
        <v>42</v>
      </c>
      <c r="J399" t="s">
        <v>30</v>
      </c>
      <c r="K399" t="s">
        <v>44</v>
      </c>
      <c r="L399" t="s">
        <v>195</v>
      </c>
      <c r="M399" t="s">
        <v>46</v>
      </c>
      <c r="N399" t="s">
        <v>292</v>
      </c>
      <c r="O399" t="s">
        <v>35</v>
      </c>
      <c r="P399" t="s">
        <v>163</v>
      </c>
      <c r="Q399" t="s">
        <v>293</v>
      </c>
      <c r="R399">
        <v>4871.25</v>
      </c>
      <c r="S399">
        <v>5</v>
      </c>
      <c r="T399">
        <v>0.25</v>
      </c>
      <c r="U399" s="34" t="str">
        <f t="shared" si="40"/>
        <v>High</v>
      </c>
      <c r="V399">
        <v>961.55</v>
      </c>
      <c r="W399" s="29">
        <f t="shared" si="41"/>
        <v>0.197392866307416</v>
      </c>
      <c r="X399">
        <v>42.33</v>
      </c>
      <c r="Y399" t="s">
        <v>80</v>
      </c>
      <c r="Z399" s="34" t="str">
        <f t="shared" si="42"/>
        <v>Large</v>
      </c>
    </row>
    <row r="400" spans="1:26">
      <c r="A400" t="s">
        <v>1124</v>
      </c>
      <c r="B400" s="44">
        <v>45056</v>
      </c>
      <c r="C400" s="34">
        <f t="shared" si="37"/>
        <v>2023</v>
      </c>
      <c r="D400" s="34">
        <f t="shared" si="38"/>
        <v>5</v>
      </c>
      <c r="E400" s="34" t="str">
        <f t="shared" si="39"/>
        <v>May</v>
      </c>
      <c r="F400" s="44">
        <v>45057</v>
      </c>
      <c r="G400" t="s">
        <v>668</v>
      </c>
      <c r="H400" t="s">
        <v>669</v>
      </c>
      <c r="I400" t="s">
        <v>55</v>
      </c>
      <c r="J400" t="s">
        <v>43</v>
      </c>
      <c r="K400" t="s">
        <v>153</v>
      </c>
      <c r="L400" t="s">
        <v>338</v>
      </c>
      <c r="M400" t="s">
        <v>58</v>
      </c>
      <c r="N400" t="s">
        <v>357</v>
      </c>
      <c r="O400" t="s">
        <v>48</v>
      </c>
      <c r="P400" t="s">
        <v>49</v>
      </c>
      <c r="Q400" t="s">
        <v>358</v>
      </c>
      <c r="R400">
        <v>241.5</v>
      </c>
      <c r="S400">
        <v>5</v>
      </c>
      <c r="T400">
        <v>0.3</v>
      </c>
      <c r="U400" s="34" t="str">
        <f t="shared" si="40"/>
        <v>High</v>
      </c>
      <c r="V400">
        <v>23.94</v>
      </c>
      <c r="W400" s="29">
        <f t="shared" si="41"/>
        <v>0.0991304347826087</v>
      </c>
      <c r="X400">
        <v>40.95</v>
      </c>
      <c r="Y400" t="s">
        <v>62</v>
      </c>
      <c r="Z400" s="34" t="str">
        <f t="shared" si="42"/>
        <v>Small</v>
      </c>
    </row>
    <row r="401" spans="1:26">
      <c r="A401" t="s">
        <v>1125</v>
      </c>
      <c r="B401" s="44">
        <v>44203</v>
      </c>
      <c r="C401" s="34">
        <f t="shared" si="37"/>
        <v>2021</v>
      </c>
      <c r="D401" s="34">
        <f t="shared" si="38"/>
        <v>1</v>
      </c>
      <c r="E401" s="34" t="str">
        <f t="shared" si="39"/>
        <v>January</v>
      </c>
      <c r="F401" s="44">
        <v>44207</v>
      </c>
      <c r="G401" t="s">
        <v>664</v>
      </c>
      <c r="H401" t="s">
        <v>665</v>
      </c>
      <c r="I401" t="s">
        <v>29</v>
      </c>
      <c r="J401" t="s">
        <v>43</v>
      </c>
      <c r="K401" t="s">
        <v>133</v>
      </c>
      <c r="L401" t="s">
        <v>134</v>
      </c>
      <c r="M401" t="s">
        <v>33</v>
      </c>
      <c r="N401" t="s">
        <v>228</v>
      </c>
      <c r="O401" t="s">
        <v>67</v>
      </c>
      <c r="P401" t="s">
        <v>103</v>
      </c>
      <c r="Q401" t="s">
        <v>229</v>
      </c>
      <c r="R401">
        <v>566.2</v>
      </c>
      <c r="S401">
        <v>4</v>
      </c>
      <c r="T401">
        <v>0.05</v>
      </c>
      <c r="U401" s="34" t="str">
        <f t="shared" si="40"/>
        <v>Low</v>
      </c>
      <c r="V401">
        <v>83.15</v>
      </c>
      <c r="W401" s="29">
        <f t="shared" si="41"/>
        <v>0.146856234546097</v>
      </c>
      <c r="X401">
        <v>5.93</v>
      </c>
      <c r="Y401" t="s">
        <v>121</v>
      </c>
      <c r="Z401" s="34" t="str">
        <f t="shared" si="42"/>
        <v>Medium</v>
      </c>
    </row>
    <row r="402" spans="1:26">
      <c r="A402" t="s">
        <v>1126</v>
      </c>
      <c r="B402" s="44">
        <v>45590</v>
      </c>
      <c r="C402" s="34">
        <f t="shared" si="37"/>
        <v>2024</v>
      </c>
      <c r="D402" s="34">
        <f t="shared" si="38"/>
        <v>10</v>
      </c>
      <c r="E402" s="34" t="str">
        <f t="shared" si="39"/>
        <v>October</v>
      </c>
      <c r="F402" s="44">
        <v>45591</v>
      </c>
      <c r="G402" t="s">
        <v>1127</v>
      </c>
      <c r="H402" t="s">
        <v>1128</v>
      </c>
      <c r="I402" t="s">
        <v>42</v>
      </c>
      <c r="J402" t="s">
        <v>43</v>
      </c>
      <c r="K402" t="s">
        <v>199</v>
      </c>
      <c r="L402" t="s">
        <v>200</v>
      </c>
      <c r="M402" t="s">
        <v>46</v>
      </c>
      <c r="N402" t="s">
        <v>698</v>
      </c>
      <c r="O402" t="s">
        <v>35</v>
      </c>
      <c r="P402" t="s">
        <v>36</v>
      </c>
      <c r="Q402" t="s">
        <v>699</v>
      </c>
      <c r="R402">
        <v>1249.5</v>
      </c>
      <c r="S402">
        <v>3</v>
      </c>
      <c r="T402">
        <v>0.3</v>
      </c>
      <c r="U402" s="34" t="str">
        <f t="shared" si="40"/>
        <v>High</v>
      </c>
      <c r="V402">
        <v>267.87</v>
      </c>
      <c r="W402" s="29">
        <f t="shared" si="41"/>
        <v>0.21438175270108</v>
      </c>
      <c r="X402">
        <v>23.39</v>
      </c>
      <c r="Y402" t="s">
        <v>80</v>
      </c>
      <c r="Z402" s="34" t="str">
        <f t="shared" si="42"/>
        <v>Medium</v>
      </c>
    </row>
    <row r="403" spans="1:26">
      <c r="A403" t="s">
        <v>1129</v>
      </c>
      <c r="B403" s="44">
        <v>44692</v>
      </c>
      <c r="C403" s="34">
        <f t="shared" si="37"/>
        <v>2022</v>
      </c>
      <c r="D403" s="34">
        <f t="shared" si="38"/>
        <v>5</v>
      </c>
      <c r="E403" s="34" t="str">
        <f t="shared" si="39"/>
        <v>May</v>
      </c>
      <c r="F403" s="44">
        <v>44699</v>
      </c>
      <c r="G403" t="s">
        <v>1130</v>
      </c>
      <c r="H403" t="s">
        <v>1131</v>
      </c>
      <c r="I403" t="s">
        <v>42</v>
      </c>
      <c r="J403" t="s">
        <v>43</v>
      </c>
      <c r="K403" t="s">
        <v>240</v>
      </c>
      <c r="L403" t="s">
        <v>1132</v>
      </c>
      <c r="M403" t="s">
        <v>46</v>
      </c>
      <c r="N403" t="s">
        <v>286</v>
      </c>
      <c r="O403" t="s">
        <v>35</v>
      </c>
      <c r="P403" t="s">
        <v>202</v>
      </c>
      <c r="Q403" t="s">
        <v>287</v>
      </c>
      <c r="R403">
        <v>379.95</v>
      </c>
      <c r="S403">
        <v>3</v>
      </c>
      <c r="T403">
        <v>0.15</v>
      </c>
      <c r="U403" s="34" t="str">
        <f t="shared" si="40"/>
        <v>Medium</v>
      </c>
      <c r="V403">
        <v>89.97</v>
      </c>
      <c r="W403" s="29">
        <f t="shared" si="41"/>
        <v>0.236794315041453</v>
      </c>
      <c r="X403">
        <v>16.73</v>
      </c>
      <c r="Y403" t="s">
        <v>62</v>
      </c>
      <c r="Z403" s="34" t="str">
        <f t="shared" si="42"/>
        <v>Small</v>
      </c>
    </row>
    <row r="404" spans="1:26">
      <c r="A404" t="s">
        <v>1133</v>
      </c>
      <c r="B404" s="44">
        <v>45063</v>
      </c>
      <c r="C404" s="34">
        <f t="shared" si="37"/>
        <v>2023</v>
      </c>
      <c r="D404" s="34">
        <f t="shared" si="38"/>
        <v>5</v>
      </c>
      <c r="E404" s="34" t="str">
        <f t="shared" si="39"/>
        <v>May</v>
      </c>
      <c r="F404" s="44">
        <v>45064</v>
      </c>
      <c r="G404" t="s">
        <v>521</v>
      </c>
      <c r="H404" t="s">
        <v>522</v>
      </c>
      <c r="I404" t="s">
        <v>29</v>
      </c>
      <c r="J404" t="s">
        <v>43</v>
      </c>
      <c r="K404" t="s">
        <v>108</v>
      </c>
      <c r="L404" t="s">
        <v>485</v>
      </c>
      <c r="M404" t="s">
        <v>58</v>
      </c>
      <c r="N404" t="s">
        <v>357</v>
      </c>
      <c r="O404" t="s">
        <v>48</v>
      </c>
      <c r="P404" t="s">
        <v>49</v>
      </c>
      <c r="Q404" t="s">
        <v>358</v>
      </c>
      <c r="R404">
        <v>310.5</v>
      </c>
      <c r="S404">
        <v>5</v>
      </c>
      <c r="T404">
        <v>0.1</v>
      </c>
      <c r="U404" s="34" t="str">
        <f t="shared" si="40"/>
        <v>Low</v>
      </c>
      <c r="V404">
        <v>53.97</v>
      </c>
      <c r="W404" s="29">
        <f t="shared" si="41"/>
        <v>0.173816425120773</v>
      </c>
      <c r="X404">
        <v>47.8</v>
      </c>
      <c r="Y404" t="s">
        <v>70</v>
      </c>
      <c r="Z404" s="34" t="str">
        <f t="shared" si="42"/>
        <v>Small</v>
      </c>
    </row>
    <row r="405" spans="1:26">
      <c r="A405" t="s">
        <v>1134</v>
      </c>
      <c r="B405" s="44">
        <v>44057</v>
      </c>
      <c r="C405" s="34">
        <f t="shared" si="37"/>
        <v>2020</v>
      </c>
      <c r="D405" s="34">
        <f t="shared" si="38"/>
        <v>8</v>
      </c>
      <c r="E405" s="34" t="str">
        <f t="shared" si="39"/>
        <v>August</v>
      </c>
      <c r="F405" s="44">
        <v>44063</v>
      </c>
      <c r="G405" t="s">
        <v>360</v>
      </c>
      <c r="H405" t="s">
        <v>361</v>
      </c>
      <c r="I405" t="s">
        <v>42</v>
      </c>
      <c r="J405" t="s">
        <v>30</v>
      </c>
      <c r="K405" t="s">
        <v>168</v>
      </c>
      <c r="L405" t="s">
        <v>362</v>
      </c>
      <c r="M405" t="s">
        <v>76</v>
      </c>
      <c r="N405" t="s">
        <v>215</v>
      </c>
      <c r="O405" t="s">
        <v>35</v>
      </c>
      <c r="P405" t="s">
        <v>36</v>
      </c>
      <c r="Q405" t="s">
        <v>216</v>
      </c>
      <c r="R405">
        <v>1104.15</v>
      </c>
      <c r="S405">
        <v>1</v>
      </c>
      <c r="T405">
        <v>0.15</v>
      </c>
      <c r="U405" s="34" t="str">
        <f t="shared" si="40"/>
        <v>Medium</v>
      </c>
      <c r="V405">
        <v>127.49</v>
      </c>
      <c r="W405" s="29">
        <f t="shared" si="41"/>
        <v>0.115464384368066</v>
      </c>
      <c r="X405">
        <v>16.69</v>
      </c>
      <c r="Y405" t="s">
        <v>70</v>
      </c>
      <c r="Z405" s="34" t="str">
        <f t="shared" si="42"/>
        <v>Medium</v>
      </c>
    </row>
    <row r="406" spans="1:26">
      <c r="A406" t="s">
        <v>1135</v>
      </c>
      <c r="B406" s="44">
        <v>44482</v>
      </c>
      <c r="C406" s="34">
        <f t="shared" si="37"/>
        <v>2021</v>
      </c>
      <c r="D406" s="34">
        <f t="shared" si="38"/>
        <v>10</v>
      </c>
      <c r="E406" s="34" t="str">
        <f t="shared" si="39"/>
        <v>October</v>
      </c>
      <c r="F406" s="44">
        <v>44487</v>
      </c>
      <c r="G406" t="s">
        <v>428</v>
      </c>
      <c r="H406" t="s">
        <v>429</v>
      </c>
      <c r="I406" t="s">
        <v>29</v>
      </c>
      <c r="J406" t="s">
        <v>30</v>
      </c>
      <c r="K406" t="s">
        <v>380</v>
      </c>
      <c r="L406" t="s">
        <v>381</v>
      </c>
      <c r="M406" t="s">
        <v>58</v>
      </c>
      <c r="N406" t="s">
        <v>670</v>
      </c>
      <c r="O406" t="s">
        <v>48</v>
      </c>
      <c r="P406" t="s">
        <v>49</v>
      </c>
      <c r="Q406" t="s">
        <v>671</v>
      </c>
      <c r="R406">
        <v>156.8</v>
      </c>
      <c r="S406">
        <v>2</v>
      </c>
      <c r="T406">
        <v>0.2</v>
      </c>
      <c r="U406" s="34" t="str">
        <f t="shared" si="40"/>
        <v>Medium</v>
      </c>
      <c r="V406">
        <v>26.74</v>
      </c>
      <c r="W406" s="29">
        <f t="shared" si="41"/>
        <v>0.170535714285714</v>
      </c>
      <c r="X406">
        <v>15.39</v>
      </c>
      <c r="Y406" t="s">
        <v>137</v>
      </c>
      <c r="Z406" s="34" t="str">
        <f t="shared" si="42"/>
        <v>Small</v>
      </c>
    </row>
    <row r="407" spans="1:26">
      <c r="A407" t="s">
        <v>1136</v>
      </c>
      <c r="B407" s="44">
        <v>44309</v>
      </c>
      <c r="C407" s="34">
        <f t="shared" si="37"/>
        <v>2021</v>
      </c>
      <c r="D407" s="34">
        <f t="shared" si="38"/>
        <v>4</v>
      </c>
      <c r="E407" s="34" t="str">
        <f t="shared" si="39"/>
        <v>April</v>
      </c>
      <c r="F407" s="44">
        <v>44313</v>
      </c>
      <c r="G407" t="s">
        <v>144</v>
      </c>
      <c r="H407" t="s">
        <v>145</v>
      </c>
      <c r="I407" t="s">
        <v>55</v>
      </c>
      <c r="J407" t="s">
        <v>30</v>
      </c>
      <c r="K407" t="s">
        <v>146</v>
      </c>
      <c r="L407" t="s">
        <v>147</v>
      </c>
      <c r="M407" t="s">
        <v>33</v>
      </c>
      <c r="N407" t="s">
        <v>215</v>
      </c>
      <c r="O407" t="s">
        <v>35</v>
      </c>
      <c r="P407" t="s">
        <v>36</v>
      </c>
      <c r="Q407" t="s">
        <v>216</v>
      </c>
      <c r="R407">
        <v>3897</v>
      </c>
      <c r="S407">
        <v>4</v>
      </c>
      <c r="T407">
        <v>0.25</v>
      </c>
      <c r="U407" s="34" t="str">
        <f t="shared" si="40"/>
        <v>High</v>
      </c>
      <c r="V407">
        <v>462.59</v>
      </c>
      <c r="W407" s="29">
        <f t="shared" si="41"/>
        <v>0.118704131383115</v>
      </c>
      <c r="X407">
        <v>16.82</v>
      </c>
      <c r="Y407" t="s">
        <v>38</v>
      </c>
      <c r="Z407" s="34" t="str">
        <f t="shared" si="42"/>
        <v>Large</v>
      </c>
    </row>
    <row r="408" spans="1:26">
      <c r="A408" t="s">
        <v>1137</v>
      </c>
      <c r="B408" s="44">
        <v>45094</v>
      </c>
      <c r="C408" s="34">
        <f t="shared" si="37"/>
        <v>2023</v>
      </c>
      <c r="D408" s="34">
        <f t="shared" si="38"/>
        <v>6</v>
      </c>
      <c r="E408" s="34" t="str">
        <f t="shared" si="39"/>
        <v>June</v>
      </c>
      <c r="F408" s="44">
        <v>45099</v>
      </c>
      <c r="G408" t="s">
        <v>1138</v>
      </c>
      <c r="H408" t="s">
        <v>1139</v>
      </c>
      <c r="I408" t="s">
        <v>55</v>
      </c>
      <c r="J408" t="s">
        <v>30</v>
      </c>
      <c r="K408" t="s">
        <v>284</v>
      </c>
      <c r="L408" t="s">
        <v>414</v>
      </c>
      <c r="M408" t="s">
        <v>76</v>
      </c>
      <c r="N408" t="s">
        <v>223</v>
      </c>
      <c r="O408" t="s">
        <v>48</v>
      </c>
      <c r="P408" t="s">
        <v>60</v>
      </c>
      <c r="Q408" t="s">
        <v>224</v>
      </c>
      <c r="R408">
        <v>142.4</v>
      </c>
      <c r="S408">
        <v>2</v>
      </c>
      <c r="T408">
        <v>0.2</v>
      </c>
      <c r="U408" s="34" t="str">
        <f t="shared" si="40"/>
        <v>Medium</v>
      </c>
      <c r="V408">
        <v>14.81</v>
      </c>
      <c r="W408" s="29">
        <f t="shared" si="41"/>
        <v>0.104002808988764</v>
      </c>
      <c r="X408">
        <v>21.84</v>
      </c>
      <c r="Y408" t="s">
        <v>121</v>
      </c>
      <c r="Z408" s="34" t="str">
        <f t="shared" si="42"/>
        <v>Small</v>
      </c>
    </row>
    <row r="409" spans="1:26">
      <c r="A409" t="s">
        <v>1140</v>
      </c>
      <c r="B409" s="44">
        <v>45217</v>
      </c>
      <c r="C409" s="34">
        <f t="shared" si="37"/>
        <v>2023</v>
      </c>
      <c r="D409" s="34">
        <f t="shared" si="38"/>
        <v>10</v>
      </c>
      <c r="E409" s="34" t="str">
        <f t="shared" si="39"/>
        <v>October</v>
      </c>
      <c r="F409" s="44">
        <v>45222</v>
      </c>
      <c r="G409" t="s">
        <v>806</v>
      </c>
      <c r="H409" t="s">
        <v>807</v>
      </c>
      <c r="I409" t="s">
        <v>29</v>
      </c>
      <c r="J409" t="s">
        <v>43</v>
      </c>
      <c r="K409" t="s">
        <v>125</v>
      </c>
      <c r="L409" t="s">
        <v>808</v>
      </c>
      <c r="M409" t="s">
        <v>58</v>
      </c>
      <c r="N409" t="s">
        <v>228</v>
      </c>
      <c r="O409" t="s">
        <v>67</v>
      </c>
      <c r="P409" t="s">
        <v>103</v>
      </c>
      <c r="Q409" t="s">
        <v>229</v>
      </c>
      <c r="R409">
        <v>596</v>
      </c>
      <c r="S409">
        <v>5</v>
      </c>
      <c r="T409">
        <v>0.2</v>
      </c>
      <c r="U409" s="34" t="str">
        <f t="shared" si="40"/>
        <v>Medium</v>
      </c>
      <c r="V409">
        <v>80.01</v>
      </c>
      <c r="W409" s="29">
        <f t="shared" si="41"/>
        <v>0.134244966442953</v>
      </c>
      <c r="X409">
        <v>31.3</v>
      </c>
      <c r="Y409" t="s">
        <v>70</v>
      </c>
      <c r="Z409" s="34" t="str">
        <f t="shared" si="42"/>
        <v>Medium</v>
      </c>
    </row>
    <row r="410" spans="1:26">
      <c r="A410" t="s">
        <v>1141</v>
      </c>
      <c r="B410" s="44">
        <v>44333</v>
      </c>
      <c r="C410" s="34">
        <f t="shared" si="37"/>
        <v>2021</v>
      </c>
      <c r="D410" s="34">
        <f t="shared" si="38"/>
        <v>5</v>
      </c>
      <c r="E410" s="34" t="str">
        <f t="shared" si="39"/>
        <v>May</v>
      </c>
      <c r="F410" s="44">
        <v>44337</v>
      </c>
      <c r="G410" t="s">
        <v>185</v>
      </c>
      <c r="H410" t="s">
        <v>186</v>
      </c>
      <c r="I410" t="s">
        <v>42</v>
      </c>
      <c r="J410" t="s">
        <v>43</v>
      </c>
      <c r="K410" t="s">
        <v>187</v>
      </c>
      <c r="L410" t="s">
        <v>188</v>
      </c>
      <c r="M410" t="s">
        <v>33</v>
      </c>
      <c r="N410" t="s">
        <v>315</v>
      </c>
      <c r="O410" t="s">
        <v>67</v>
      </c>
      <c r="P410" t="s">
        <v>252</v>
      </c>
      <c r="Q410" t="s">
        <v>316</v>
      </c>
      <c r="R410">
        <v>475.3</v>
      </c>
      <c r="S410">
        <v>1</v>
      </c>
      <c r="T410">
        <v>0.3</v>
      </c>
      <c r="U410" s="34" t="str">
        <f t="shared" si="40"/>
        <v>High</v>
      </c>
      <c r="V410">
        <v>106.55</v>
      </c>
      <c r="W410" s="29">
        <f t="shared" si="41"/>
        <v>0.22417420576478</v>
      </c>
      <c r="X410">
        <v>40.91</v>
      </c>
      <c r="Y410" t="s">
        <v>80</v>
      </c>
      <c r="Z410" s="34" t="str">
        <f t="shared" si="42"/>
        <v>Small</v>
      </c>
    </row>
    <row r="411" spans="1:26">
      <c r="A411" t="s">
        <v>1142</v>
      </c>
      <c r="B411" s="44">
        <v>44269</v>
      </c>
      <c r="C411" s="34">
        <f t="shared" si="37"/>
        <v>2021</v>
      </c>
      <c r="D411" s="34">
        <f t="shared" si="38"/>
        <v>3</v>
      </c>
      <c r="E411" s="34" t="str">
        <f t="shared" si="39"/>
        <v>March</v>
      </c>
      <c r="F411" s="44">
        <v>44272</v>
      </c>
      <c r="G411" t="s">
        <v>1143</v>
      </c>
      <c r="H411" t="s">
        <v>1144</v>
      </c>
      <c r="I411" t="s">
        <v>42</v>
      </c>
      <c r="J411" t="s">
        <v>43</v>
      </c>
      <c r="K411" t="s">
        <v>100</v>
      </c>
      <c r="L411" t="s">
        <v>420</v>
      </c>
      <c r="M411" t="s">
        <v>33</v>
      </c>
      <c r="N411" t="s">
        <v>235</v>
      </c>
      <c r="O411" t="s">
        <v>35</v>
      </c>
      <c r="P411" t="s">
        <v>78</v>
      </c>
      <c r="Q411" t="s">
        <v>236</v>
      </c>
      <c r="R411">
        <v>1647</v>
      </c>
      <c r="S411">
        <v>3</v>
      </c>
      <c r="T411">
        <v>0</v>
      </c>
      <c r="U411" s="34" t="str">
        <f t="shared" si="40"/>
        <v>No Discount</v>
      </c>
      <c r="V411">
        <v>-137.27</v>
      </c>
      <c r="W411" s="29">
        <f t="shared" si="41"/>
        <v>-0.0833454766241652</v>
      </c>
      <c r="X411">
        <v>18.38</v>
      </c>
      <c r="Y411" t="s">
        <v>121</v>
      </c>
      <c r="Z411" s="34" t="str">
        <f t="shared" si="42"/>
        <v>Medium</v>
      </c>
    </row>
    <row r="412" spans="1:26">
      <c r="A412" t="s">
        <v>1145</v>
      </c>
      <c r="B412" s="44">
        <v>45508</v>
      </c>
      <c r="C412" s="34">
        <f t="shared" si="37"/>
        <v>2024</v>
      </c>
      <c r="D412" s="34">
        <f t="shared" si="38"/>
        <v>8</v>
      </c>
      <c r="E412" s="34" t="str">
        <f t="shared" si="39"/>
        <v>August</v>
      </c>
      <c r="F412" s="44">
        <v>45510</v>
      </c>
      <c r="G412" t="s">
        <v>309</v>
      </c>
      <c r="H412" t="s">
        <v>310</v>
      </c>
      <c r="I412" t="s">
        <v>29</v>
      </c>
      <c r="J412" t="s">
        <v>43</v>
      </c>
      <c r="K412" t="s">
        <v>175</v>
      </c>
      <c r="L412" t="s">
        <v>311</v>
      </c>
      <c r="M412" t="s">
        <v>46</v>
      </c>
      <c r="N412" t="s">
        <v>127</v>
      </c>
      <c r="O412" t="s">
        <v>48</v>
      </c>
      <c r="P412" t="s">
        <v>128</v>
      </c>
      <c r="Q412" t="s">
        <v>129</v>
      </c>
      <c r="R412">
        <v>61.75</v>
      </c>
      <c r="S412">
        <v>1</v>
      </c>
      <c r="T412">
        <v>0.05</v>
      </c>
      <c r="U412" s="34" t="str">
        <f t="shared" si="40"/>
        <v>Low</v>
      </c>
      <c r="V412">
        <v>-12.37</v>
      </c>
      <c r="W412" s="29">
        <f t="shared" si="41"/>
        <v>-0.200323886639676</v>
      </c>
      <c r="X412">
        <v>24.76</v>
      </c>
      <c r="Y412" t="s">
        <v>80</v>
      </c>
      <c r="Z412" s="34" t="str">
        <f t="shared" si="42"/>
        <v>Small</v>
      </c>
    </row>
    <row r="413" spans="1:26">
      <c r="A413" t="s">
        <v>1146</v>
      </c>
      <c r="B413" s="44">
        <v>45511</v>
      </c>
      <c r="C413" s="34">
        <f t="shared" si="37"/>
        <v>2024</v>
      </c>
      <c r="D413" s="34">
        <f t="shared" si="38"/>
        <v>8</v>
      </c>
      <c r="E413" s="34" t="str">
        <f t="shared" si="39"/>
        <v>August</v>
      </c>
      <c r="F413" s="44">
        <v>45518</v>
      </c>
      <c r="G413" t="s">
        <v>1147</v>
      </c>
      <c r="H413" t="s">
        <v>1148</v>
      </c>
      <c r="I413" t="s">
        <v>55</v>
      </c>
      <c r="J413" t="s">
        <v>43</v>
      </c>
      <c r="K413" t="s">
        <v>199</v>
      </c>
      <c r="L413" t="s">
        <v>200</v>
      </c>
      <c r="M413" t="s">
        <v>46</v>
      </c>
      <c r="N413" t="s">
        <v>333</v>
      </c>
      <c r="O413" t="s">
        <v>48</v>
      </c>
      <c r="P413" t="s">
        <v>190</v>
      </c>
      <c r="Q413" t="s">
        <v>334</v>
      </c>
      <c r="R413">
        <v>141.75</v>
      </c>
      <c r="S413">
        <v>1</v>
      </c>
      <c r="T413">
        <v>0.25</v>
      </c>
      <c r="U413" s="34" t="str">
        <f t="shared" si="40"/>
        <v>High</v>
      </c>
      <c r="V413">
        <v>15.76</v>
      </c>
      <c r="W413" s="29">
        <f t="shared" si="41"/>
        <v>0.111181657848325</v>
      </c>
      <c r="X413">
        <v>32.51</v>
      </c>
      <c r="Y413" t="s">
        <v>137</v>
      </c>
      <c r="Z413" s="34" t="str">
        <f t="shared" si="42"/>
        <v>Small</v>
      </c>
    </row>
    <row r="414" spans="1:26">
      <c r="A414" t="s">
        <v>1149</v>
      </c>
      <c r="B414" s="44">
        <v>43858</v>
      </c>
      <c r="C414" s="34">
        <f t="shared" si="37"/>
        <v>2020</v>
      </c>
      <c r="D414" s="34">
        <f t="shared" si="38"/>
        <v>1</v>
      </c>
      <c r="E414" s="34" t="str">
        <f t="shared" si="39"/>
        <v>January</v>
      </c>
      <c r="F414" s="44">
        <v>43865</v>
      </c>
      <c r="G414" t="s">
        <v>795</v>
      </c>
      <c r="H414" t="s">
        <v>796</v>
      </c>
      <c r="I414" t="s">
        <v>42</v>
      </c>
      <c r="J414" t="s">
        <v>43</v>
      </c>
      <c r="K414" t="s">
        <v>551</v>
      </c>
      <c r="L414" t="s">
        <v>718</v>
      </c>
      <c r="M414" t="s">
        <v>33</v>
      </c>
      <c r="N414" t="s">
        <v>162</v>
      </c>
      <c r="O414" t="s">
        <v>35</v>
      </c>
      <c r="P414" t="s">
        <v>163</v>
      </c>
      <c r="Q414" t="s">
        <v>164</v>
      </c>
      <c r="R414">
        <v>1482.3</v>
      </c>
      <c r="S414">
        <v>3</v>
      </c>
      <c r="T414">
        <v>0.1</v>
      </c>
      <c r="U414" s="34" t="str">
        <f t="shared" si="40"/>
        <v>Low</v>
      </c>
      <c r="V414">
        <v>166.79</v>
      </c>
      <c r="W414" s="29">
        <f t="shared" si="41"/>
        <v>0.112521082102139</v>
      </c>
      <c r="X414">
        <v>36.96</v>
      </c>
      <c r="Y414" t="s">
        <v>62</v>
      </c>
      <c r="Z414" s="34" t="str">
        <f t="shared" si="42"/>
        <v>Medium</v>
      </c>
    </row>
    <row r="415" spans="1:26">
      <c r="A415" t="s">
        <v>1150</v>
      </c>
      <c r="B415" s="44">
        <v>44893</v>
      </c>
      <c r="C415" s="34">
        <f t="shared" si="37"/>
        <v>2022</v>
      </c>
      <c r="D415" s="34">
        <f t="shared" si="38"/>
        <v>11</v>
      </c>
      <c r="E415" s="34" t="str">
        <f t="shared" si="39"/>
        <v>November</v>
      </c>
      <c r="F415" s="44">
        <v>44900</v>
      </c>
      <c r="G415" t="s">
        <v>954</v>
      </c>
      <c r="H415" t="s">
        <v>955</v>
      </c>
      <c r="I415" t="s">
        <v>55</v>
      </c>
      <c r="J415" t="s">
        <v>43</v>
      </c>
      <c r="K415" t="s">
        <v>284</v>
      </c>
      <c r="L415" t="s">
        <v>956</v>
      </c>
      <c r="M415" t="s">
        <v>76</v>
      </c>
      <c r="N415" t="s">
        <v>409</v>
      </c>
      <c r="O415" t="s">
        <v>48</v>
      </c>
      <c r="P415" t="s">
        <v>60</v>
      </c>
      <c r="Q415" t="s">
        <v>410</v>
      </c>
      <c r="R415">
        <v>136.5</v>
      </c>
      <c r="S415">
        <v>5</v>
      </c>
      <c r="T415">
        <v>0.3</v>
      </c>
      <c r="U415" s="34" t="str">
        <f t="shared" si="40"/>
        <v>High</v>
      </c>
      <c r="V415">
        <v>13.43</v>
      </c>
      <c r="W415" s="29">
        <f t="shared" si="41"/>
        <v>0.0983882783882784</v>
      </c>
      <c r="X415">
        <v>37.12</v>
      </c>
      <c r="Y415" t="s">
        <v>121</v>
      </c>
      <c r="Z415" s="34" t="str">
        <f t="shared" si="42"/>
        <v>Small</v>
      </c>
    </row>
    <row r="416" spans="1:26">
      <c r="A416" t="s">
        <v>1151</v>
      </c>
      <c r="B416" s="44">
        <v>44599</v>
      </c>
      <c r="C416" s="34">
        <f t="shared" si="37"/>
        <v>2022</v>
      </c>
      <c r="D416" s="34">
        <f t="shared" si="38"/>
        <v>2</v>
      </c>
      <c r="E416" s="34" t="str">
        <f t="shared" si="39"/>
        <v>February</v>
      </c>
      <c r="F416" s="44">
        <v>44603</v>
      </c>
      <c r="G416" t="s">
        <v>503</v>
      </c>
      <c r="H416" t="s">
        <v>1152</v>
      </c>
      <c r="I416" t="s">
        <v>29</v>
      </c>
      <c r="J416" t="s">
        <v>43</v>
      </c>
      <c r="K416" t="s">
        <v>74</v>
      </c>
      <c r="L416" t="s">
        <v>75</v>
      </c>
      <c r="M416" t="s">
        <v>76</v>
      </c>
      <c r="N416" t="s">
        <v>397</v>
      </c>
      <c r="O416" t="s">
        <v>48</v>
      </c>
      <c r="P416" t="s">
        <v>128</v>
      </c>
      <c r="Q416" t="s">
        <v>398</v>
      </c>
      <c r="R416">
        <v>25</v>
      </c>
      <c r="S416">
        <v>1</v>
      </c>
      <c r="T416">
        <v>0</v>
      </c>
      <c r="U416" s="34" t="str">
        <f t="shared" si="40"/>
        <v>No Discount</v>
      </c>
      <c r="V416">
        <v>-0.69</v>
      </c>
      <c r="W416" s="29">
        <f t="shared" si="41"/>
        <v>-0.0276</v>
      </c>
      <c r="X416">
        <v>23.13</v>
      </c>
      <c r="Y416" t="s">
        <v>70</v>
      </c>
      <c r="Z416" s="34" t="str">
        <f t="shared" si="42"/>
        <v>Small</v>
      </c>
    </row>
    <row r="417" spans="1:26">
      <c r="A417" t="s">
        <v>1153</v>
      </c>
      <c r="B417" s="44">
        <v>44252</v>
      </c>
      <c r="C417" s="34">
        <f t="shared" si="37"/>
        <v>2021</v>
      </c>
      <c r="D417" s="34">
        <f t="shared" si="38"/>
        <v>2</v>
      </c>
      <c r="E417" s="34" t="str">
        <f t="shared" si="39"/>
        <v>February</v>
      </c>
      <c r="F417" s="44">
        <v>44255</v>
      </c>
      <c r="G417" t="s">
        <v>1154</v>
      </c>
      <c r="H417" t="s">
        <v>1155</v>
      </c>
      <c r="I417" t="s">
        <v>55</v>
      </c>
      <c r="J417" t="s">
        <v>43</v>
      </c>
      <c r="K417" t="s">
        <v>602</v>
      </c>
      <c r="L417" t="s">
        <v>726</v>
      </c>
      <c r="M417" t="s">
        <v>46</v>
      </c>
      <c r="N417" t="s">
        <v>474</v>
      </c>
      <c r="O417" t="s">
        <v>35</v>
      </c>
      <c r="P417" t="s">
        <v>78</v>
      </c>
      <c r="Q417" t="s">
        <v>475</v>
      </c>
      <c r="R417">
        <v>1199</v>
      </c>
      <c r="S417">
        <v>1</v>
      </c>
      <c r="T417">
        <v>0</v>
      </c>
      <c r="U417" s="34" t="str">
        <f t="shared" si="40"/>
        <v>No Discount</v>
      </c>
      <c r="V417">
        <v>131.59</v>
      </c>
      <c r="W417" s="29">
        <f t="shared" si="41"/>
        <v>0.109749791492911</v>
      </c>
      <c r="X417">
        <v>40.98</v>
      </c>
      <c r="Y417" t="s">
        <v>51</v>
      </c>
      <c r="Z417" s="34" t="str">
        <f t="shared" si="42"/>
        <v>Medium</v>
      </c>
    </row>
    <row r="418" spans="1:26">
      <c r="A418" t="s">
        <v>1156</v>
      </c>
      <c r="B418" s="44">
        <v>44253</v>
      </c>
      <c r="C418" s="34">
        <f t="shared" si="37"/>
        <v>2021</v>
      </c>
      <c r="D418" s="34">
        <f t="shared" si="38"/>
        <v>2</v>
      </c>
      <c r="E418" s="34" t="str">
        <f t="shared" si="39"/>
        <v>February</v>
      </c>
      <c r="F418" s="44">
        <v>44259</v>
      </c>
      <c r="G418" t="s">
        <v>876</v>
      </c>
      <c r="H418" t="s">
        <v>877</v>
      </c>
      <c r="I418" t="s">
        <v>42</v>
      </c>
      <c r="J418" t="s">
        <v>30</v>
      </c>
      <c r="K418" t="s">
        <v>56</v>
      </c>
      <c r="L418" t="s">
        <v>493</v>
      </c>
      <c r="M418" t="s">
        <v>58</v>
      </c>
      <c r="N418" t="s">
        <v>684</v>
      </c>
      <c r="O418" t="s">
        <v>48</v>
      </c>
      <c r="P418" t="s">
        <v>60</v>
      </c>
      <c r="Q418" t="s">
        <v>685</v>
      </c>
      <c r="R418">
        <v>75.05</v>
      </c>
      <c r="S418">
        <v>1</v>
      </c>
      <c r="T418">
        <v>0.05</v>
      </c>
      <c r="U418" s="34" t="str">
        <f t="shared" si="40"/>
        <v>Low</v>
      </c>
      <c r="V418">
        <v>-19.93</v>
      </c>
      <c r="W418" s="29">
        <f t="shared" si="41"/>
        <v>-0.265556295802798</v>
      </c>
      <c r="X418">
        <v>46.43</v>
      </c>
      <c r="Y418" t="s">
        <v>137</v>
      </c>
      <c r="Z418" s="34" t="str">
        <f t="shared" si="42"/>
        <v>Small</v>
      </c>
    </row>
    <row r="419" spans="1:26">
      <c r="A419" t="s">
        <v>1157</v>
      </c>
      <c r="B419" s="44">
        <v>43946</v>
      </c>
      <c r="C419" s="34">
        <f t="shared" si="37"/>
        <v>2020</v>
      </c>
      <c r="D419" s="34">
        <f t="shared" si="38"/>
        <v>4</v>
      </c>
      <c r="E419" s="34" t="str">
        <f t="shared" si="39"/>
        <v>April</v>
      </c>
      <c r="F419" s="44">
        <v>43948</v>
      </c>
      <c r="G419" t="s">
        <v>491</v>
      </c>
      <c r="H419" t="s">
        <v>492</v>
      </c>
      <c r="I419" t="s">
        <v>29</v>
      </c>
      <c r="J419" t="s">
        <v>43</v>
      </c>
      <c r="K419" t="s">
        <v>56</v>
      </c>
      <c r="L419" t="s">
        <v>493</v>
      </c>
      <c r="M419" t="s">
        <v>58</v>
      </c>
      <c r="N419" t="s">
        <v>77</v>
      </c>
      <c r="O419" t="s">
        <v>35</v>
      </c>
      <c r="P419" t="s">
        <v>78</v>
      </c>
      <c r="Q419" t="s">
        <v>79</v>
      </c>
      <c r="R419">
        <v>6626.25</v>
      </c>
      <c r="S419">
        <v>5</v>
      </c>
      <c r="T419">
        <v>0.05</v>
      </c>
      <c r="U419" s="34" t="str">
        <f t="shared" si="40"/>
        <v>Low</v>
      </c>
      <c r="V419">
        <v>660.86</v>
      </c>
      <c r="W419" s="29">
        <f t="shared" si="41"/>
        <v>0.0997336351631768</v>
      </c>
      <c r="X419">
        <v>5.9</v>
      </c>
      <c r="Y419" t="s">
        <v>80</v>
      </c>
      <c r="Z419" s="34" t="str">
        <f t="shared" si="42"/>
        <v>Large</v>
      </c>
    </row>
    <row r="420" spans="1:26">
      <c r="A420" t="s">
        <v>1158</v>
      </c>
      <c r="B420" s="44">
        <v>44371</v>
      </c>
      <c r="C420" s="34">
        <f t="shared" si="37"/>
        <v>2021</v>
      </c>
      <c r="D420" s="34">
        <f t="shared" si="38"/>
        <v>6</v>
      </c>
      <c r="E420" s="34" t="str">
        <f t="shared" si="39"/>
        <v>June</v>
      </c>
      <c r="F420" s="44">
        <v>44372</v>
      </c>
      <c r="G420" t="s">
        <v>1154</v>
      </c>
      <c r="H420" t="s">
        <v>1155</v>
      </c>
      <c r="I420" t="s">
        <v>55</v>
      </c>
      <c r="J420" t="s">
        <v>43</v>
      </c>
      <c r="K420" t="s">
        <v>602</v>
      </c>
      <c r="L420" t="s">
        <v>726</v>
      </c>
      <c r="M420" t="s">
        <v>46</v>
      </c>
      <c r="N420" t="s">
        <v>474</v>
      </c>
      <c r="O420" t="s">
        <v>35</v>
      </c>
      <c r="P420" t="s">
        <v>78</v>
      </c>
      <c r="Q420" t="s">
        <v>475</v>
      </c>
      <c r="R420">
        <v>2398</v>
      </c>
      <c r="S420">
        <v>2</v>
      </c>
      <c r="T420">
        <v>0</v>
      </c>
      <c r="U420" s="34" t="str">
        <f t="shared" si="40"/>
        <v>No Discount</v>
      </c>
      <c r="V420">
        <v>230.28</v>
      </c>
      <c r="W420" s="29">
        <f t="shared" si="41"/>
        <v>0.0960300250208507</v>
      </c>
      <c r="X420">
        <v>31.73</v>
      </c>
      <c r="Y420" t="s">
        <v>80</v>
      </c>
      <c r="Z420" s="34" t="str">
        <f t="shared" si="42"/>
        <v>Large</v>
      </c>
    </row>
    <row r="421" spans="1:26">
      <c r="A421" t="s">
        <v>1159</v>
      </c>
      <c r="B421" s="44">
        <v>45473</v>
      </c>
      <c r="C421" s="34">
        <f t="shared" si="37"/>
        <v>2024</v>
      </c>
      <c r="D421" s="34">
        <f t="shared" si="38"/>
        <v>6</v>
      </c>
      <c r="E421" s="34" t="str">
        <f t="shared" si="39"/>
        <v>June</v>
      </c>
      <c r="F421" s="44">
        <v>45479</v>
      </c>
      <c r="G421" t="s">
        <v>248</v>
      </c>
      <c r="H421" t="s">
        <v>249</v>
      </c>
      <c r="I421" t="s">
        <v>55</v>
      </c>
      <c r="J421" t="s">
        <v>30</v>
      </c>
      <c r="K421" t="s">
        <v>31</v>
      </c>
      <c r="L421" t="s">
        <v>250</v>
      </c>
      <c r="M421" t="s">
        <v>33</v>
      </c>
      <c r="N421" t="s">
        <v>208</v>
      </c>
      <c r="O421" t="s">
        <v>48</v>
      </c>
      <c r="P421" t="s">
        <v>128</v>
      </c>
      <c r="Q421" t="s">
        <v>209</v>
      </c>
      <c r="R421">
        <v>56</v>
      </c>
      <c r="S421">
        <v>2</v>
      </c>
      <c r="T421">
        <v>0.2</v>
      </c>
      <c r="U421" s="34" t="str">
        <f t="shared" si="40"/>
        <v>Medium</v>
      </c>
      <c r="V421">
        <v>-1.55</v>
      </c>
      <c r="W421" s="29">
        <f t="shared" si="41"/>
        <v>-0.0276785714285714</v>
      </c>
      <c r="X421">
        <v>23.84</v>
      </c>
      <c r="Y421" t="s">
        <v>62</v>
      </c>
      <c r="Z421" s="34" t="str">
        <f t="shared" si="42"/>
        <v>Small</v>
      </c>
    </row>
    <row r="422" spans="1:26">
      <c r="A422" t="s">
        <v>1160</v>
      </c>
      <c r="B422" s="44">
        <v>45109</v>
      </c>
      <c r="C422" s="34">
        <f t="shared" si="37"/>
        <v>2023</v>
      </c>
      <c r="D422" s="34">
        <f t="shared" si="38"/>
        <v>7</v>
      </c>
      <c r="E422" s="34" t="str">
        <f t="shared" si="39"/>
        <v>July</v>
      </c>
      <c r="F422" s="44">
        <v>45116</v>
      </c>
      <c r="G422" t="s">
        <v>539</v>
      </c>
      <c r="H422" t="s">
        <v>540</v>
      </c>
      <c r="I422" t="s">
        <v>42</v>
      </c>
      <c r="J422" t="s">
        <v>43</v>
      </c>
      <c r="K422" t="s">
        <v>273</v>
      </c>
      <c r="L422" t="s">
        <v>541</v>
      </c>
      <c r="M422" t="s">
        <v>46</v>
      </c>
      <c r="N422" t="s">
        <v>673</v>
      </c>
      <c r="O422" t="s">
        <v>35</v>
      </c>
      <c r="P422" t="s">
        <v>202</v>
      </c>
      <c r="Q422" t="s">
        <v>674</v>
      </c>
      <c r="R422">
        <v>2621.25</v>
      </c>
      <c r="S422">
        <v>5</v>
      </c>
      <c r="T422">
        <v>0.25</v>
      </c>
      <c r="U422" s="34" t="str">
        <f t="shared" si="40"/>
        <v>High</v>
      </c>
      <c r="V422">
        <v>-220.62</v>
      </c>
      <c r="W422" s="29">
        <f t="shared" si="41"/>
        <v>-0.0841659513590844</v>
      </c>
      <c r="X422">
        <v>36.39</v>
      </c>
      <c r="Y422" t="s">
        <v>121</v>
      </c>
      <c r="Z422" s="34" t="str">
        <f t="shared" si="42"/>
        <v>Large</v>
      </c>
    </row>
    <row r="423" spans="1:26">
      <c r="A423" t="s">
        <v>1161</v>
      </c>
      <c r="B423" s="44">
        <v>45165</v>
      </c>
      <c r="C423" s="34">
        <f t="shared" si="37"/>
        <v>2023</v>
      </c>
      <c r="D423" s="34">
        <f t="shared" si="38"/>
        <v>8</v>
      </c>
      <c r="E423" s="34" t="str">
        <f t="shared" si="39"/>
        <v>August</v>
      </c>
      <c r="F423" s="44">
        <v>45172</v>
      </c>
      <c r="G423" t="s">
        <v>799</v>
      </c>
      <c r="H423" t="s">
        <v>800</v>
      </c>
      <c r="I423" t="s">
        <v>55</v>
      </c>
      <c r="J423" t="s">
        <v>43</v>
      </c>
      <c r="K423" t="s">
        <v>56</v>
      </c>
      <c r="L423" t="s">
        <v>57</v>
      </c>
      <c r="M423" t="s">
        <v>58</v>
      </c>
      <c r="N423" t="s">
        <v>59</v>
      </c>
      <c r="O423" t="s">
        <v>48</v>
      </c>
      <c r="P423" t="s">
        <v>60</v>
      </c>
      <c r="Q423" t="s">
        <v>61</v>
      </c>
      <c r="R423">
        <v>469.8</v>
      </c>
      <c r="S423">
        <v>3</v>
      </c>
      <c r="T423">
        <v>0.1</v>
      </c>
      <c r="U423" s="34" t="str">
        <f t="shared" si="40"/>
        <v>Low</v>
      </c>
      <c r="V423">
        <v>47</v>
      </c>
      <c r="W423" s="29">
        <f t="shared" si="41"/>
        <v>0.100042571306939</v>
      </c>
      <c r="X423">
        <v>31.26</v>
      </c>
      <c r="Y423" t="s">
        <v>51</v>
      </c>
      <c r="Z423" s="34" t="str">
        <f t="shared" si="42"/>
        <v>Small</v>
      </c>
    </row>
    <row r="424" spans="1:26">
      <c r="A424" t="s">
        <v>1162</v>
      </c>
      <c r="B424" s="44">
        <v>44303</v>
      </c>
      <c r="C424" s="34">
        <f t="shared" si="37"/>
        <v>2021</v>
      </c>
      <c r="D424" s="34">
        <f t="shared" si="38"/>
        <v>4</v>
      </c>
      <c r="E424" s="34" t="str">
        <f t="shared" si="39"/>
        <v>April</v>
      </c>
      <c r="F424" s="44">
        <v>44306</v>
      </c>
      <c r="G424" t="s">
        <v>447</v>
      </c>
      <c r="H424" t="s">
        <v>448</v>
      </c>
      <c r="I424" t="s">
        <v>55</v>
      </c>
      <c r="J424" t="s">
        <v>43</v>
      </c>
      <c r="K424" t="s">
        <v>331</v>
      </c>
      <c r="L424" t="s">
        <v>332</v>
      </c>
      <c r="M424" t="s">
        <v>58</v>
      </c>
      <c r="N424" t="s">
        <v>155</v>
      </c>
      <c r="O424" t="s">
        <v>67</v>
      </c>
      <c r="P424" t="s">
        <v>119</v>
      </c>
      <c r="Q424" t="s">
        <v>156</v>
      </c>
      <c r="R424">
        <v>4032.75</v>
      </c>
      <c r="S424">
        <v>5</v>
      </c>
      <c r="T424">
        <v>0.05</v>
      </c>
      <c r="U424" s="34" t="str">
        <f t="shared" si="40"/>
        <v>Low</v>
      </c>
      <c r="V424">
        <v>803.39</v>
      </c>
      <c r="W424" s="29">
        <f t="shared" si="41"/>
        <v>0.199216415597297</v>
      </c>
      <c r="X424">
        <v>10.52</v>
      </c>
      <c r="Y424" t="s">
        <v>80</v>
      </c>
      <c r="Z424" s="34" t="str">
        <f t="shared" si="42"/>
        <v>Large</v>
      </c>
    </row>
    <row r="425" spans="1:26">
      <c r="A425" t="s">
        <v>1163</v>
      </c>
      <c r="B425" s="44">
        <v>44528</v>
      </c>
      <c r="C425" s="34">
        <f t="shared" si="37"/>
        <v>2021</v>
      </c>
      <c r="D425" s="34">
        <f t="shared" si="38"/>
        <v>11</v>
      </c>
      <c r="E425" s="34" t="str">
        <f t="shared" si="39"/>
        <v>November</v>
      </c>
      <c r="F425" s="44">
        <v>44534</v>
      </c>
      <c r="G425" t="s">
        <v>289</v>
      </c>
      <c r="H425" t="s">
        <v>290</v>
      </c>
      <c r="I425" t="s">
        <v>29</v>
      </c>
      <c r="J425" t="s">
        <v>43</v>
      </c>
      <c r="K425" t="s">
        <v>180</v>
      </c>
      <c r="L425" t="s">
        <v>291</v>
      </c>
      <c r="M425" t="s">
        <v>46</v>
      </c>
      <c r="N425" t="s">
        <v>312</v>
      </c>
      <c r="O425" t="s">
        <v>48</v>
      </c>
      <c r="P425" t="s">
        <v>49</v>
      </c>
      <c r="Q425" t="s">
        <v>313</v>
      </c>
      <c r="R425">
        <v>66.3</v>
      </c>
      <c r="S425">
        <v>2</v>
      </c>
      <c r="T425">
        <v>0.15</v>
      </c>
      <c r="U425" s="34" t="str">
        <f t="shared" si="40"/>
        <v>Medium</v>
      </c>
      <c r="V425">
        <v>10.96</v>
      </c>
      <c r="W425" s="29">
        <f t="shared" si="41"/>
        <v>0.165309200603318</v>
      </c>
      <c r="X425">
        <v>7.68</v>
      </c>
      <c r="Y425" t="s">
        <v>51</v>
      </c>
      <c r="Z425" s="34" t="str">
        <f t="shared" si="42"/>
        <v>Small</v>
      </c>
    </row>
    <row r="426" spans="1:26">
      <c r="A426" t="s">
        <v>1164</v>
      </c>
      <c r="B426" s="44">
        <v>44359</v>
      </c>
      <c r="C426" s="34">
        <f t="shared" si="37"/>
        <v>2021</v>
      </c>
      <c r="D426" s="34">
        <f t="shared" si="38"/>
        <v>6</v>
      </c>
      <c r="E426" s="34" t="str">
        <f t="shared" si="39"/>
        <v>June</v>
      </c>
      <c r="F426" s="44">
        <v>44362</v>
      </c>
      <c r="G426" t="s">
        <v>1143</v>
      </c>
      <c r="H426" t="s">
        <v>1144</v>
      </c>
      <c r="I426" t="s">
        <v>42</v>
      </c>
      <c r="J426" t="s">
        <v>43</v>
      </c>
      <c r="K426" t="s">
        <v>100</v>
      </c>
      <c r="L426" t="s">
        <v>420</v>
      </c>
      <c r="M426" t="s">
        <v>33</v>
      </c>
      <c r="N426" t="s">
        <v>47</v>
      </c>
      <c r="O426" t="s">
        <v>48</v>
      </c>
      <c r="P426" t="s">
        <v>49</v>
      </c>
      <c r="Q426" t="s">
        <v>50</v>
      </c>
      <c r="R426">
        <v>79</v>
      </c>
      <c r="S426">
        <v>1</v>
      </c>
      <c r="T426">
        <v>0</v>
      </c>
      <c r="U426" s="34" t="str">
        <f t="shared" si="40"/>
        <v>No Discount</v>
      </c>
      <c r="V426">
        <v>-13.06</v>
      </c>
      <c r="W426" s="29">
        <f t="shared" si="41"/>
        <v>-0.165316455696203</v>
      </c>
      <c r="X426">
        <v>22.46</v>
      </c>
      <c r="Y426" t="s">
        <v>70</v>
      </c>
      <c r="Z426" s="34" t="str">
        <f t="shared" si="42"/>
        <v>Small</v>
      </c>
    </row>
    <row r="427" spans="1:26">
      <c r="A427" t="s">
        <v>1165</v>
      </c>
      <c r="B427" s="44">
        <v>45111</v>
      </c>
      <c r="C427" s="34">
        <f t="shared" si="37"/>
        <v>2023</v>
      </c>
      <c r="D427" s="34">
        <f t="shared" si="38"/>
        <v>7</v>
      </c>
      <c r="E427" s="34" t="str">
        <f t="shared" si="39"/>
        <v>July</v>
      </c>
      <c r="F427" s="44">
        <v>45114</v>
      </c>
      <c r="G427" t="s">
        <v>1166</v>
      </c>
      <c r="H427" t="s">
        <v>1167</v>
      </c>
      <c r="I427" t="s">
        <v>29</v>
      </c>
      <c r="J427" t="s">
        <v>43</v>
      </c>
      <c r="K427" t="s">
        <v>284</v>
      </c>
      <c r="L427" t="s">
        <v>414</v>
      </c>
      <c r="M427" t="s">
        <v>76</v>
      </c>
      <c r="N427" t="s">
        <v>500</v>
      </c>
      <c r="O427" t="s">
        <v>67</v>
      </c>
      <c r="P427" t="s">
        <v>68</v>
      </c>
      <c r="Q427" t="s">
        <v>501</v>
      </c>
      <c r="R427">
        <v>1043.1</v>
      </c>
      <c r="S427">
        <v>2</v>
      </c>
      <c r="T427">
        <v>0.05</v>
      </c>
      <c r="U427" s="34" t="str">
        <f t="shared" si="40"/>
        <v>Low</v>
      </c>
      <c r="V427">
        <v>-66.89</v>
      </c>
      <c r="W427" s="29">
        <f t="shared" si="41"/>
        <v>-0.0641261624005369</v>
      </c>
      <c r="X427">
        <v>49.11</v>
      </c>
      <c r="Y427" t="s">
        <v>80</v>
      </c>
      <c r="Z427" s="34" t="str">
        <f t="shared" si="42"/>
        <v>Medium</v>
      </c>
    </row>
    <row r="428" spans="1:26">
      <c r="A428" t="s">
        <v>1168</v>
      </c>
      <c r="B428" s="44">
        <v>44444</v>
      </c>
      <c r="C428" s="34">
        <f t="shared" si="37"/>
        <v>2021</v>
      </c>
      <c r="D428" s="34">
        <f t="shared" si="38"/>
        <v>9</v>
      </c>
      <c r="E428" s="34" t="str">
        <f t="shared" si="39"/>
        <v>September</v>
      </c>
      <c r="F428" s="44">
        <v>44448</v>
      </c>
      <c r="G428" t="s">
        <v>976</v>
      </c>
      <c r="H428" t="s">
        <v>977</v>
      </c>
      <c r="I428" t="s">
        <v>29</v>
      </c>
      <c r="J428" t="s">
        <v>43</v>
      </c>
      <c r="K428" t="s">
        <v>320</v>
      </c>
      <c r="L428" t="s">
        <v>181</v>
      </c>
      <c r="M428" t="s">
        <v>46</v>
      </c>
      <c r="N428" t="s">
        <v>59</v>
      </c>
      <c r="O428" t="s">
        <v>48</v>
      </c>
      <c r="P428" t="s">
        <v>60</v>
      </c>
      <c r="Q428" t="s">
        <v>61</v>
      </c>
      <c r="R428">
        <v>147.9</v>
      </c>
      <c r="S428">
        <v>1</v>
      </c>
      <c r="T428">
        <v>0.15</v>
      </c>
      <c r="U428" s="34" t="str">
        <f t="shared" si="40"/>
        <v>Medium</v>
      </c>
      <c r="V428">
        <v>20.65</v>
      </c>
      <c r="W428" s="29">
        <f t="shared" si="41"/>
        <v>0.139621365787694</v>
      </c>
      <c r="X428">
        <v>19.91</v>
      </c>
      <c r="Y428" t="s">
        <v>38</v>
      </c>
      <c r="Z428" s="34" t="str">
        <f t="shared" si="42"/>
        <v>Small</v>
      </c>
    </row>
    <row r="429" spans="1:26">
      <c r="A429" t="s">
        <v>1169</v>
      </c>
      <c r="B429" s="44">
        <v>45451</v>
      </c>
      <c r="C429" s="34">
        <f t="shared" si="37"/>
        <v>2024</v>
      </c>
      <c r="D429" s="34">
        <f t="shared" si="38"/>
        <v>6</v>
      </c>
      <c r="E429" s="34" t="str">
        <f t="shared" si="39"/>
        <v>June</v>
      </c>
      <c r="F429" s="44">
        <v>45452</v>
      </c>
      <c r="G429" t="s">
        <v>131</v>
      </c>
      <c r="H429" t="s">
        <v>132</v>
      </c>
      <c r="I429" t="s">
        <v>29</v>
      </c>
      <c r="J429" t="s">
        <v>30</v>
      </c>
      <c r="K429" t="s">
        <v>133</v>
      </c>
      <c r="L429" t="s">
        <v>134</v>
      </c>
      <c r="M429" t="s">
        <v>33</v>
      </c>
      <c r="N429" t="s">
        <v>47</v>
      </c>
      <c r="O429" t="s">
        <v>48</v>
      </c>
      <c r="P429" t="s">
        <v>49</v>
      </c>
      <c r="Q429" t="s">
        <v>50</v>
      </c>
      <c r="R429">
        <v>118.5</v>
      </c>
      <c r="S429">
        <v>2</v>
      </c>
      <c r="T429">
        <v>0.25</v>
      </c>
      <c r="U429" s="34" t="str">
        <f t="shared" si="40"/>
        <v>High</v>
      </c>
      <c r="V429">
        <v>9.58</v>
      </c>
      <c r="W429" s="29">
        <f t="shared" si="41"/>
        <v>0.0808438818565401</v>
      </c>
      <c r="X429">
        <v>15.47</v>
      </c>
      <c r="Y429" t="s">
        <v>70</v>
      </c>
      <c r="Z429" s="34" t="str">
        <f t="shared" si="42"/>
        <v>Small</v>
      </c>
    </row>
    <row r="430" spans="1:26">
      <c r="A430" t="s">
        <v>1170</v>
      </c>
      <c r="B430" s="44">
        <v>43909</v>
      </c>
      <c r="C430" s="34">
        <f t="shared" si="37"/>
        <v>2020</v>
      </c>
      <c r="D430" s="34">
        <f t="shared" si="38"/>
        <v>3</v>
      </c>
      <c r="E430" s="34" t="str">
        <f t="shared" si="39"/>
        <v>March</v>
      </c>
      <c r="F430" s="44">
        <v>43913</v>
      </c>
      <c r="G430" t="s">
        <v>1171</v>
      </c>
      <c r="H430" t="s">
        <v>1172</v>
      </c>
      <c r="I430" t="s">
        <v>42</v>
      </c>
      <c r="J430" t="s">
        <v>43</v>
      </c>
      <c r="K430" t="s">
        <v>56</v>
      </c>
      <c r="L430" t="s">
        <v>519</v>
      </c>
      <c r="M430" t="s">
        <v>58</v>
      </c>
      <c r="N430" t="s">
        <v>333</v>
      </c>
      <c r="O430" t="s">
        <v>48</v>
      </c>
      <c r="P430" t="s">
        <v>190</v>
      </c>
      <c r="Q430" t="s">
        <v>334</v>
      </c>
      <c r="R430">
        <v>132.3</v>
      </c>
      <c r="S430">
        <v>1</v>
      </c>
      <c r="T430">
        <v>0.3</v>
      </c>
      <c r="U430" s="34" t="str">
        <f t="shared" si="40"/>
        <v>High</v>
      </c>
      <c r="V430">
        <v>10.09</v>
      </c>
      <c r="W430" s="29">
        <f t="shared" si="41"/>
        <v>0.0762660619803477</v>
      </c>
      <c r="X430">
        <v>19.29</v>
      </c>
      <c r="Y430" t="s">
        <v>80</v>
      </c>
      <c r="Z430" s="34" t="str">
        <f t="shared" si="42"/>
        <v>Small</v>
      </c>
    </row>
    <row r="431" spans="1:26">
      <c r="A431" t="s">
        <v>1173</v>
      </c>
      <c r="B431" s="44">
        <v>44068</v>
      </c>
      <c r="C431" s="34">
        <f t="shared" si="37"/>
        <v>2020</v>
      </c>
      <c r="D431" s="34">
        <f t="shared" si="38"/>
        <v>8</v>
      </c>
      <c r="E431" s="34" t="str">
        <f t="shared" si="39"/>
        <v>August</v>
      </c>
      <c r="F431" s="44">
        <v>44075</v>
      </c>
      <c r="G431" t="s">
        <v>1174</v>
      </c>
      <c r="H431" t="s">
        <v>1175</v>
      </c>
      <c r="I431" t="s">
        <v>55</v>
      </c>
      <c r="J431" t="s">
        <v>30</v>
      </c>
      <c r="K431" t="s">
        <v>74</v>
      </c>
      <c r="L431" t="s">
        <v>387</v>
      </c>
      <c r="M431" t="s">
        <v>76</v>
      </c>
      <c r="N431" t="s">
        <v>546</v>
      </c>
      <c r="O431" t="s">
        <v>35</v>
      </c>
      <c r="P431" t="s">
        <v>36</v>
      </c>
      <c r="Q431" t="s">
        <v>547</v>
      </c>
      <c r="R431">
        <v>3561.5</v>
      </c>
      <c r="S431">
        <v>2</v>
      </c>
      <c r="T431">
        <v>0.15</v>
      </c>
      <c r="U431" s="34" t="str">
        <f t="shared" si="40"/>
        <v>Medium</v>
      </c>
      <c r="V431">
        <v>350.44</v>
      </c>
      <c r="W431" s="29">
        <f t="shared" si="41"/>
        <v>0.0983967429453882</v>
      </c>
      <c r="X431">
        <v>19.04</v>
      </c>
      <c r="Y431" t="s">
        <v>121</v>
      </c>
      <c r="Z431" s="34" t="str">
        <f t="shared" si="42"/>
        <v>Large</v>
      </c>
    </row>
    <row r="432" spans="1:26">
      <c r="A432" t="s">
        <v>1176</v>
      </c>
      <c r="B432" s="44">
        <v>44553</v>
      </c>
      <c r="C432" s="34">
        <f t="shared" si="37"/>
        <v>2021</v>
      </c>
      <c r="D432" s="34">
        <f t="shared" si="38"/>
        <v>12</v>
      </c>
      <c r="E432" s="34" t="str">
        <f t="shared" si="39"/>
        <v>December</v>
      </c>
      <c r="F432" s="44">
        <v>44560</v>
      </c>
      <c r="G432" t="s">
        <v>1177</v>
      </c>
      <c r="H432" t="s">
        <v>1178</v>
      </c>
      <c r="I432" t="s">
        <v>29</v>
      </c>
      <c r="J432" t="s">
        <v>43</v>
      </c>
      <c r="K432" t="s">
        <v>168</v>
      </c>
      <c r="L432" t="s">
        <v>362</v>
      </c>
      <c r="M432" t="s">
        <v>76</v>
      </c>
      <c r="N432" t="s">
        <v>582</v>
      </c>
      <c r="O432" t="s">
        <v>35</v>
      </c>
      <c r="P432" t="s">
        <v>78</v>
      </c>
      <c r="Q432" t="s">
        <v>583</v>
      </c>
      <c r="R432">
        <v>2495</v>
      </c>
      <c r="S432">
        <v>5</v>
      </c>
      <c r="T432">
        <v>0</v>
      </c>
      <c r="U432" s="34" t="str">
        <f t="shared" si="40"/>
        <v>No Discount</v>
      </c>
      <c r="V432">
        <v>289.06</v>
      </c>
      <c r="W432" s="29">
        <f t="shared" si="41"/>
        <v>0.115855711422846</v>
      </c>
      <c r="X432">
        <v>34.47</v>
      </c>
      <c r="Y432" t="s">
        <v>121</v>
      </c>
      <c r="Z432" s="34" t="str">
        <f t="shared" si="42"/>
        <v>Large</v>
      </c>
    </row>
    <row r="433" spans="1:26">
      <c r="A433" t="s">
        <v>1179</v>
      </c>
      <c r="B433" s="44">
        <v>45284</v>
      </c>
      <c r="C433" s="34">
        <f t="shared" si="37"/>
        <v>2023</v>
      </c>
      <c r="D433" s="34">
        <f t="shared" si="38"/>
        <v>12</v>
      </c>
      <c r="E433" s="34" t="str">
        <f t="shared" si="39"/>
        <v>December</v>
      </c>
      <c r="F433" s="44">
        <v>45287</v>
      </c>
      <c r="G433" t="s">
        <v>450</v>
      </c>
      <c r="H433" t="s">
        <v>451</v>
      </c>
      <c r="I433" t="s">
        <v>42</v>
      </c>
      <c r="J433" t="s">
        <v>43</v>
      </c>
      <c r="K433" t="s">
        <v>199</v>
      </c>
      <c r="L433" t="s">
        <v>396</v>
      </c>
      <c r="M433" t="s">
        <v>46</v>
      </c>
      <c r="N433" t="s">
        <v>208</v>
      </c>
      <c r="O433" t="s">
        <v>48</v>
      </c>
      <c r="P433" t="s">
        <v>128</v>
      </c>
      <c r="Q433" t="s">
        <v>209</v>
      </c>
      <c r="R433">
        <v>35</v>
      </c>
      <c r="S433">
        <v>1</v>
      </c>
      <c r="T433">
        <v>0</v>
      </c>
      <c r="U433" s="34" t="str">
        <f t="shared" si="40"/>
        <v>No Discount</v>
      </c>
      <c r="V433">
        <v>2.5</v>
      </c>
      <c r="W433" s="29">
        <f t="shared" si="41"/>
        <v>0.0714285714285714</v>
      </c>
      <c r="X433">
        <v>15.01</v>
      </c>
      <c r="Y433" t="s">
        <v>121</v>
      </c>
      <c r="Z433" s="34" t="str">
        <f t="shared" si="42"/>
        <v>Small</v>
      </c>
    </row>
    <row r="434" spans="1:26">
      <c r="A434" t="s">
        <v>1180</v>
      </c>
      <c r="B434" s="44">
        <v>45013</v>
      </c>
      <c r="C434" s="34">
        <f t="shared" si="37"/>
        <v>2023</v>
      </c>
      <c r="D434" s="34">
        <f t="shared" si="38"/>
        <v>3</v>
      </c>
      <c r="E434" s="34" t="str">
        <f t="shared" si="39"/>
        <v>March</v>
      </c>
      <c r="F434" s="44">
        <v>45019</v>
      </c>
      <c r="G434" t="s">
        <v>954</v>
      </c>
      <c r="H434" t="s">
        <v>955</v>
      </c>
      <c r="I434" t="s">
        <v>55</v>
      </c>
      <c r="J434" t="s">
        <v>43</v>
      </c>
      <c r="K434" t="s">
        <v>284</v>
      </c>
      <c r="L434" t="s">
        <v>956</v>
      </c>
      <c r="M434" t="s">
        <v>76</v>
      </c>
      <c r="N434" t="s">
        <v>189</v>
      </c>
      <c r="O434" t="s">
        <v>48</v>
      </c>
      <c r="P434" t="s">
        <v>190</v>
      </c>
      <c r="Q434" t="s">
        <v>191</v>
      </c>
      <c r="R434">
        <v>89.25</v>
      </c>
      <c r="S434">
        <v>3</v>
      </c>
      <c r="T434">
        <v>0.15</v>
      </c>
      <c r="U434" s="34" t="str">
        <f t="shared" si="40"/>
        <v>Medium</v>
      </c>
      <c r="V434">
        <v>15.46</v>
      </c>
      <c r="W434" s="29">
        <f t="shared" si="41"/>
        <v>0.173221288515406</v>
      </c>
      <c r="X434">
        <v>7.98</v>
      </c>
      <c r="Y434" t="s">
        <v>96</v>
      </c>
      <c r="Z434" s="34" t="str">
        <f t="shared" si="42"/>
        <v>Small</v>
      </c>
    </row>
    <row r="435" spans="1:26">
      <c r="A435" t="s">
        <v>1181</v>
      </c>
      <c r="B435" s="44">
        <v>45628</v>
      </c>
      <c r="C435" s="34">
        <f t="shared" si="37"/>
        <v>2024</v>
      </c>
      <c r="D435" s="34">
        <f t="shared" si="38"/>
        <v>12</v>
      </c>
      <c r="E435" s="34" t="str">
        <f t="shared" si="39"/>
        <v>December</v>
      </c>
      <c r="F435" s="44">
        <v>45632</v>
      </c>
      <c r="G435" t="s">
        <v>373</v>
      </c>
      <c r="H435" t="s">
        <v>374</v>
      </c>
      <c r="I435" t="s">
        <v>42</v>
      </c>
      <c r="J435" t="s">
        <v>43</v>
      </c>
      <c r="K435" t="s">
        <v>74</v>
      </c>
      <c r="L435" t="s">
        <v>75</v>
      </c>
      <c r="M435" t="s">
        <v>76</v>
      </c>
      <c r="N435" t="s">
        <v>286</v>
      </c>
      <c r="O435" t="s">
        <v>35</v>
      </c>
      <c r="P435" t="s">
        <v>202</v>
      </c>
      <c r="Q435" t="s">
        <v>287</v>
      </c>
      <c r="R435">
        <v>447</v>
      </c>
      <c r="S435">
        <v>4</v>
      </c>
      <c r="T435">
        <v>0.25</v>
      </c>
      <c r="U435" s="34" t="str">
        <f t="shared" si="40"/>
        <v>High</v>
      </c>
      <c r="V435">
        <v>105.41</v>
      </c>
      <c r="W435" s="29">
        <f t="shared" si="41"/>
        <v>0.235816554809843</v>
      </c>
      <c r="X435">
        <v>21.14</v>
      </c>
      <c r="Y435" t="s">
        <v>689</v>
      </c>
      <c r="Z435" s="34" t="str">
        <f t="shared" si="42"/>
        <v>Small</v>
      </c>
    </row>
    <row r="436" spans="1:26">
      <c r="A436" t="s">
        <v>1182</v>
      </c>
      <c r="B436" s="44">
        <v>43867</v>
      </c>
      <c r="C436" s="34">
        <f t="shared" si="37"/>
        <v>2020</v>
      </c>
      <c r="D436" s="34">
        <f t="shared" si="38"/>
        <v>2</v>
      </c>
      <c r="E436" s="34" t="str">
        <f t="shared" si="39"/>
        <v>February</v>
      </c>
      <c r="F436" s="44">
        <v>43873</v>
      </c>
      <c r="G436" t="s">
        <v>1183</v>
      </c>
      <c r="H436" t="s">
        <v>1184</v>
      </c>
      <c r="I436" t="s">
        <v>29</v>
      </c>
      <c r="J436" t="s">
        <v>30</v>
      </c>
      <c r="K436" t="s">
        <v>180</v>
      </c>
      <c r="L436" t="s">
        <v>821</v>
      </c>
      <c r="M436" t="s">
        <v>46</v>
      </c>
      <c r="N436" t="s">
        <v>110</v>
      </c>
      <c r="O436" t="s">
        <v>35</v>
      </c>
      <c r="P436" t="s">
        <v>111</v>
      </c>
      <c r="Q436" t="s">
        <v>112</v>
      </c>
      <c r="R436">
        <v>189.05</v>
      </c>
      <c r="S436">
        <v>1</v>
      </c>
      <c r="T436">
        <v>0.05</v>
      </c>
      <c r="U436" s="34" t="str">
        <f t="shared" si="40"/>
        <v>Low</v>
      </c>
      <c r="V436">
        <v>-14.01</v>
      </c>
      <c r="W436" s="29">
        <f t="shared" si="41"/>
        <v>-0.0741073790002645</v>
      </c>
      <c r="X436">
        <v>15.18</v>
      </c>
      <c r="Y436" t="s">
        <v>96</v>
      </c>
      <c r="Z436" s="34" t="str">
        <f t="shared" si="42"/>
        <v>Small</v>
      </c>
    </row>
    <row r="437" spans="1:26">
      <c r="A437" t="s">
        <v>1185</v>
      </c>
      <c r="B437" s="44">
        <v>44238</v>
      </c>
      <c r="C437" s="34">
        <f t="shared" si="37"/>
        <v>2021</v>
      </c>
      <c r="D437" s="34">
        <f t="shared" si="38"/>
        <v>2</v>
      </c>
      <c r="E437" s="34" t="str">
        <f t="shared" si="39"/>
        <v>February</v>
      </c>
      <c r="F437" s="44">
        <v>44244</v>
      </c>
      <c r="G437" t="s">
        <v>329</v>
      </c>
      <c r="H437" t="s">
        <v>330</v>
      </c>
      <c r="I437" t="s">
        <v>29</v>
      </c>
      <c r="J437" t="s">
        <v>43</v>
      </c>
      <c r="K437" t="s">
        <v>331</v>
      </c>
      <c r="L437" t="s">
        <v>332</v>
      </c>
      <c r="M437" t="s">
        <v>58</v>
      </c>
      <c r="N437" t="s">
        <v>397</v>
      </c>
      <c r="O437" t="s">
        <v>48</v>
      </c>
      <c r="P437" t="s">
        <v>128</v>
      </c>
      <c r="Q437" t="s">
        <v>398</v>
      </c>
      <c r="R437">
        <v>71.25</v>
      </c>
      <c r="S437">
        <v>3</v>
      </c>
      <c r="T437">
        <v>0.05</v>
      </c>
      <c r="U437" s="34" t="str">
        <f t="shared" si="40"/>
        <v>Low</v>
      </c>
      <c r="V437">
        <v>-15.58</v>
      </c>
      <c r="W437" s="29">
        <f t="shared" si="41"/>
        <v>-0.218666666666667</v>
      </c>
      <c r="X437">
        <v>40.05</v>
      </c>
      <c r="Y437" t="s">
        <v>121</v>
      </c>
      <c r="Z437" s="34" t="str">
        <f t="shared" si="42"/>
        <v>Small</v>
      </c>
    </row>
    <row r="438" spans="1:26">
      <c r="A438" t="s">
        <v>1186</v>
      </c>
      <c r="B438" s="44">
        <v>45319</v>
      </c>
      <c r="C438" s="34">
        <f t="shared" si="37"/>
        <v>2024</v>
      </c>
      <c r="D438" s="34">
        <f t="shared" si="38"/>
        <v>1</v>
      </c>
      <c r="E438" s="34" t="str">
        <f t="shared" si="39"/>
        <v>January</v>
      </c>
      <c r="F438" s="44">
        <v>45325</v>
      </c>
      <c r="G438" t="s">
        <v>668</v>
      </c>
      <c r="H438" t="s">
        <v>669</v>
      </c>
      <c r="I438" t="s">
        <v>55</v>
      </c>
      <c r="J438" t="s">
        <v>43</v>
      </c>
      <c r="K438" t="s">
        <v>153</v>
      </c>
      <c r="L438" t="s">
        <v>338</v>
      </c>
      <c r="M438" t="s">
        <v>58</v>
      </c>
      <c r="N438" t="s">
        <v>170</v>
      </c>
      <c r="O438" t="s">
        <v>48</v>
      </c>
      <c r="P438" t="s">
        <v>49</v>
      </c>
      <c r="Q438" t="s">
        <v>171</v>
      </c>
      <c r="R438">
        <v>238.4</v>
      </c>
      <c r="S438">
        <v>2</v>
      </c>
      <c r="T438">
        <v>0.2</v>
      </c>
      <c r="U438" s="34" t="str">
        <f t="shared" si="40"/>
        <v>Medium</v>
      </c>
      <c r="V438">
        <v>43.74</v>
      </c>
      <c r="W438" s="29">
        <f t="shared" si="41"/>
        <v>0.183473154362416</v>
      </c>
      <c r="X438">
        <v>13.12</v>
      </c>
      <c r="Y438" t="s">
        <v>80</v>
      </c>
      <c r="Z438" s="34" t="str">
        <f t="shared" si="42"/>
        <v>Small</v>
      </c>
    </row>
    <row r="439" spans="1:26">
      <c r="A439" t="s">
        <v>1187</v>
      </c>
      <c r="B439" s="44">
        <v>44269</v>
      </c>
      <c r="C439" s="34">
        <f t="shared" si="37"/>
        <v>2021</v>
      </c>
      <c r="D439" s="34">
        <f t="shared" si="38"/>
        <v>3</v>
      </c>
      <c r="E439" s="34" t="str">
        <f t="shared" si="39"/>
        <v>March</v>
      </c>
      <c r="F439" s="44">
        <v>44271</v>
      </c>
      <c r="G439" t="s">
        <v>1138</v>
      </c>
      <c r="H439" t="s">
        <v>1139</v>
      </c>
      <c r="I439" t="s">
        <v>55</v>
      </c>
      <c r="J439" t="s">
        <v>30</v>
      </c>
      <c r="K439" t="s">
        <v>284</v>
      </c>
      <c r="L439" t="s">
        <v>414</v>
      </c>
      <c r="M439" t="s">
        <v>76</v>
      </c>
      <c r="N439" t="s">
        <v>162</v>
      </c>
      <c r="O439" t="s">
        <v>35</v>
      </c>
      <c r="P439" t="s">
        <v>163</v>
      </c>
      <c r="Q439" t="s">
        <v>164</v>
      </c>
      <c r="R439">
        <v>2470.5</v>
      </c>
      <c r="S439">
        <v>5</v>
      </c>
      <c r="T439">
        <v>0.1</v>
      </c>
      <c r="U439" s="34" t="str">
        <f t="shared" si="40"/>
        <v>Low</v>
      </c>
      <c r="V439">
        <v>603.53</v>
      </c>
      <c r="W439" s="29">
        <f t="shared" si="41"/>
        <v>0.244294677190852</v>
      </c>
      <c r="X439">
        <v>46.99</v>
      </c>
      <c r="Y439" t="s">
        <v>51</v>
      </c>
      <c r="Z439" s="34" t="str">
        <f t="shared" si="42"/>
        <v>Large</v>
      </c>
    </row>
    <row r="440" spans="1:26">
      <c r="A440" t="s">
        <v>1188</v>
      </c>
      <c r="B440" s="44">
        <v>45308</v>
      </c>
      <c r="C440" s="34">
        <f t="shared" si="37"/>
        <v>2024</v>
      </c>
      <c r="D440" s="34">
        <f t="shared" si="38"/>
        <v>1</v>
      </c>
      <c r="E440" s="34" t="str">
        <f t="shared" si="39"/>
        <v>January</v>
      </c>
      <c r="F440" s="44">
        <v>45314</v>
      </c>
      <c r="G440" t="s">
        <v>704</v>
      </c>
      <c r="H440" t="s">
        <v>571</v>
      </c>
      <c r="I440" t="s">
        <v>29</v>
      </c>
      <c r="J440" t="s">
        <v>43</v>
      </c>
      <c r="K440" t="s">
        <v>74</v>
      </c>
      <c r="L440" t="s">
        <v>387</v>
      </c>
      <c r="M440" t="s">
        <v>76</v>
      </c>
      <c r="N440" t="s">
        <v>1074</v>
      </c>
      <c r="O440" t="s">
        <v>35</v>
      </c>
      <c r="P440" t="s">
        <v>111</v>
      </c>
      <c r="Q440" t="s">
        <v>1075</v>
      </c>
      <c r="R440">
        <v>736.95</v>
      </c>
      <c r="S440">
        <v>3</v>
      </c>
      <c r="T440">
        <v>0.15</v>
      </c>
      <c r="U440" s="34" t="str">
        <f t="shared" si="40"/>
        <v>Medium</v>
      </c>
      <c r="V440">
        <v>182.63</v>
      </c>
      <c r="W440" s="29">
        <f t="shared" si="41"/>
        <v>0.24781871225999</v>
      </c>
      <c r="X440">
        <v>5.36</v>
      </c>
      <c r="Y440" t="s">
        <v>51</v>
      </c>
      <c r="Z440" s="34" t="str">
        <f t="shared" si="42"/>
        <v>Medium</v>
      </c>
    </row>
    <row r="441" spans="1:26">
      <c r="A441" t="s">
        <v>1189</v>
      </c>
      <c r="B441" s="44">
        <v>44195</v>
      </c>
      <c r="C441" s="34">
        <f t="shared" si="37"/>
        <v>2020</v>
      </c>
      <c r="D441" s="34">
        <f t="shared" si="38"/>
        <v>12</v>
      </c>
      <c r="E441" s="34" t="str">
        <f t="shared" si="39"/>
        <v>December</v>
      </c>
      <c r="F441" s="44">
        <v>44199</v>
      </c>
      <c r="G441" t="s">
        <v>1107</v>
      </c>
      <c r="H441" t="s">
        <v>1108</v>
      </c>
      <c r="I441" t="s">
        <v>42</v>
      </c>
      <c r="J441" t="s">
        <v>43</v>
      </c>
      <c r="K441" t="s">
        <v>349</v>
      </c>
      <c r="L441" t="s">
        <v>350</v>
      </c>
      <c r="M441" t="s">
        <v>33</v>
      </c>
      <c r="N441" t="s">
        <v>421</v>
      </c>
      <c r="O441" t="s">
        <v>67</v>
      </c>
      <c r="P441" t="s">
        <v>252</v>
      </c>
      <c r="Q441" t="s">
        <v>422</v>
      </c>
      <c r="R441">
        <v>2568</v>
      </c>
      <c r="S441">
        <v>3</v>
      </c>
      <c r="T441">
        <v>0</v>
      </c>
      <c r="U441" s="34" t="str">
        <f t="shared" si="40"/>
        <v>No Discount</v>
      </c>
      <c r="V441">
        <v>557.28</v>
      </c>
      <c r="W441" s="29">
        <f t="shared" si="41"/>
        <v>0.217009345794393</v>
      </c>
      <c r="X441">
        <v>25.6</v>
      </c>
      <c r="Y441" t="s">
        <v>70</v>
      </c>
      <c r="Z441" s="34" t="str">
        <f t="shared" si="42"/>
        <v>Large</v>
      </c>
    </row>
    <row r="442" spans="1:26">
      <c r="A442" t="s">
        <v>1190</v>
      </c>
      <c r="B442" s="44">
        <v>45393</v>
      </c>
      <c r="C442" s="34">
        <f t="shared" si="37"/>
        <v>2024</v>
      </c>
      <c r="D442" s="34">
        <f t="shared" si="38"/>
        <v>4</v>
      </c>
      <c r="E442" s="34" t="str">
        <f t="shared" si="39"/>
        <v>April</v>
      </c>
      <c r="F442" s="44">
        <v>45397</v>
      </c>
      <c r="G442" t="s">
        <v>895</v>
      </c>
      <c r="H442" t="s">
        <v>669</v>
      </c>
      <c r="I442" t="s">
        <v>29</v>
      </c>
      <c r="J442" t="s">
        <v>43</v>
      </c>
      <c r="K442" t="s">
        <v>125</v>
      </c>
      <c r="L442" t="s">
        <v>808</v>
      </c>
      <c r="M442" t="s">
        <v>58</v>
      </c>
      <c r="N442" t="s">
        <v>312</v>
      </c>
      <c r="O442" t="s">
        <v>48</v>
      </c>
      <c r="P442" t="s">
        <v>49</v>
      </c>
      <c r="Q442" t="s">
        <v>313</v>
      </c>
      <c r="R442">
        <v>99.45</v>
      </c>
      <c r="S442">
        <v>3</v>
      </c>
      <c r="T442">
        <v>0.15</v>
      </c>
      <c r="U442" s="34" t="str">
        <f t="shared" si="40"/>
        <v>Medium</v>
      </c>
      <c r="V442">
        <v>1.57</v>
      </c>
      <c r="W442" s="29">
        <f t="shared" si="41"/>
        <v>0.0157868275515334</v>
      </c>
      <c r="X442">
        <v>27.93</v>
      </c>
      <c r="Y442" t="s">
        <v>70</v>
      </c>
      <c r="Z442" s="34" t="str">
        <f t="shared" si="42"/>
        <v>Small</v>
      </c>
    </row>
    <row r="443" spans="1:26">
      <c r="A443" t="s">
        <v>1191</v>
      </c>
      <c r="B443" s="44">
        <v>44296</v>
      </c>
      <c r="C443" s="34">
        <f t="shared" si="37"/>
        <v>2021</v>
      </c>
      <c r="D443" s="34">
        <f t="shared" si="38"/>
        <v>4</v>
      </c>
      <c r="E443" s="34" t="str">
        <f t="shared" si="39"/>
        <v>April</v>
      </c>
      <c r="F443" s="44">
        <v>44300</v>
      </c>
      <c r="G443" t="s">
        <v>151</v>
      </c>
      <c r="H443" t="s">
        <v>152</v>
      </c>
      <c r="I443" t="s">
        <v>29</v>
      </c>
      <c r="J443" t="s">
        <v>43</v>
      </c>
      <c r="K443" t="s">
        <v>153</v>
      </c>
      <c r="L443" t="s">
        <v>154</v>
      </c>
      <c r="M443" t="s">
        <v>58</v>
      </c>
      <c r="N443" t="s">
        <v>315</v>
      </c>
      <c r="O443" t="s">
        <v>67</v>
      </c>
      <c r="P443" t="s">
        <v>252</v>
      </c>
      <c r="Q443" t="s">
        <v>316</v>
      </c>
      <c r="R443">
        <v>3395</v>
      </c>
      <c r="S443">
        <v>5</v>
      </c>
      <c r="T443">
        <v>0</v>
      </c>
      <c r="U443" s="34" t="str">
        <f t="shared" si="40"/>
        <v>No Discount</v>
      </c>
      <c r="V443">
        <v>494.37</v>
      </c>
      <c r="W443" s="29">
        <f t="shared" si="41"/>
        <v>0.145617083946981</v>
      </c>
      <c r="X443">
        <v>49.59</v>
      </c>
      <c r="Y443" t="s">
        <v>121</v>
      </c>
      <c r="Z443" s="34" t="str">
        <f t="shared" si="42"/>
        <v>Large</v>
      </c>
    </row>
    <row r="444" spans="1:26">
      <c r="A444" t="s">
        <v>1192</v>
      </c>
      <c r="B444" s="44">
        <v>44377</v>
      </c>
      <c r="C444" s="34">
        <f t="shared" si="37"/>
        <v>2021</v>
      </c>
      <c r="D444" s="34">
        <f t="shared" si="38"/>
        <v>6</v>
      </c>
      <c r="E444" s="34" t="str">
        <f t="shared" si="39"/>
        <v>June</v>
      </c>
      <c r="F444" s="44">
        <v>44384</v>
      </c>
      <c r="G444" t="s">
        <v>1107</v>
      </c>
      <c r="H444" t="s">
        <v>1108</v>
      </c>
      <c r="I444" t="s">
        <v>42</v>
      </c>
      <c r="J444" t="s">
        <v>43</v>
      </c>
      <c r="K444" t="s">
        <v>349</v>
      </c>
      <c r="L444" t="s">
        <v>350</v>
      </c>
      <c r="M444" t="s">
        <v>33</v>
      </c>
      <c r="N444" t="s">
        <v>66</v>
      </c>
      <c r="O444" t="s">
        <v>67</v>
      </c>
      <c r="P444" t="s">
        <v>68</v>
      </c>
      <c r="Q444" t="s">
        <v>69</v>
      </c>
      <c r="R444">
        <v>1438.2</v>
      </c>
      <c r="S444">
        <v>2</v>
      </c>
      <c r="T444">
        <v>0.1</v>
      </c>
      <c r="U444" s="34" t="str">
        <f t="shared" si="40"/>
        <v>Low</v>
      </c>
      <c r="V444">
        <v>276.92</v>
      </c>
      <c r="W444" s="29">
        <f t="shared" si="41"/>
        <v>0.192546238353497</v>
      </c>
      <c r="X444">
        <v>35.75</v>
      </c>
      <c r="Y444" t="s">
        <v>80</v>
      </c>
      <c r="Z444" s="34" t="str">
        <f t="shared" si="42"/>
        <v>Medium</v>
      </c>
    </row>
    <row r="445" spans="1:26">
      <c r="A445" t="s">
        <v>1193</v>
      </c>
      <c r="B445" s="44">
        <v>44627</v>
      </c>
      <c r="C445" s="34">
        <f t="shared" si="37"/>
        <v>2022</v>
      </c>
      <c r="D445" s="34">
        <f t="shared" si="38"/>
        <v>3</v>
      </c>
      <c r="E445" s="34" t="str">
        <f t="shared" si="39"/>
        <v>March</v>
      </c>
      <c r="F445" s="44">
        <v>44634</v>
      </c>
      <c r="G445" t="s">
        <v>453</v>
      </c>
      <c r="H445" t="s">
        <v>454</v>
      </c>
      <c r="I445" t="s">
        <v>29</v>
      </c>
      <c r="J445" t="s">
        <v>43</v>
      </c>
      <c r="K445" t="s">
        <v>44</v>
      </c>
      <c r="L445" t="s">
        <v>45</v>
      </c>
      <c r="M445" t="s">
        <v>46</v>
      </c>
      <c r="N445" t="s">
        <v>546</v>
      </c>
      <c r="O445" t="s">
        <v>35</v>
      </c>
      <c r="P445" t="s">
        <v>36</v>
      </c>
      <c r="Q445" t="s">
        <v>547</v>
      </c>
      <c r="R445">
        <v>4190</v>
      </c>
      <c r="S445">
        <v>2</v>
      </c>
      <c r="T445">
        <v>0</v>
      </c>
      <c r="U445" s="34" t="str">
        <f t="shared" si="40"/>
        <v>No Discount</v>
      </c>
      <c r="V445">
        <v>1034.25</v>
      </c>
      <c r="W445" s="29">
        <f t="shared" si="41"/>
        <v>0.246837708830549</v>
      </c>
      <c r="X445">
        <v>44.17</v>
      </c>
      <c r="Y445" t="s">
        <v>38</v>
      </c>
      <c r="Z445" s="34" t="str">
        <f t="shared" si="42"/>
        <v>Large</v>
      </c>
    </row>
    <row r="446" spans="1:26">
      <c r="A446" t="s">
        <v>1194</v>
      </c>
      <c r="B446" s="44">
        <v>44860</v>
      </c>
      <c r="C446" s="34">
        <f t="shared" si="37"/>
        <v>2022</v>
      </c>
      <c r="D446" s="34">
        <f t="shared" si="38"/>
        <v>10</v>
      </c>
      <c r="E446" s="34" t="str">
        <f t="shared" si="39"/>
        <v>October</v>
      </c>
      <c r="F446" s="44">
        <v>44861</v>
      </c>
      <c r="G446" t="s">
        <v>1127</v>
      </c>
      <c r="H446" t="s">
        <v>1128</v>
      </c>
      <c r="I446" t="s">
        <v>42</v>
      </c>
      <c r="J446" t="s">
        <v>43</v>
      </c>
      <c r="K446" t="s">
        <v>199</v>
      </c>
      <c r="L446" t="s">
        <v>200</v>
      </c>
      <c r="M446" t="s">
        <v>46</v>
      </c>
      <c r="N446" t="s">
        <v>424</v>
      </c>
      <c r="O446" t="s">
        <v>67</v>
      </c>
      <c r="P446" t="s">
        <v>103</v>
      </c>
      <c r="Q446" t="s">
        <v>425</v>
      </c>
      <c r="R446">
        <v>2466.2</v>
      </c>
      <c r="S446">
        <v>4</v>
      </c>
      <c r="T446">
        <v>0.05</v>
      </c>
      <c r="U446" s="34" t="str">
        <f t="shared" si="40"/>
        <v>Low</v>
      </c>
      <c r="V446">
        <v>365.92</v>
      </c>
      <c r="W446" s="29">
        <f t="shared" si="41"/>
        <v>0.148374016705863</v>
      </c>
      <c r="X446">
        <v>13.35</v>
      </c>
      <c r="Y446" t="s">
        <v>51</v>
      </c>
      <c r="Z446" s="34" t="str">
        <f t="shared" si="42"/>
        <v>Large</v>
      </c>
    </row>
    <row r="447" spans="1:26">
      <c r="A447" t="s">
        <v>1195</v>
      </c>
      <c r="B447" s="44">
        <v>44971</v>
      </c>
      <c r="C447" s="34">
        <f t="shared" si="37"/>
        <v>2023</v>
      </c>
      <c r="D447" s="34">
        <f t="shared" si="38"/>
        <v>2</v>
      </c>
      <c r="E447" s="34" t="str">
        <f t="shared" si="39"/>
        <v>February</v>
      </c>
      <c r="F447" s="44">
        <v>44972</v>
      </c>
      <c r="G447" t="s">
        <v>1196</v>
      </c>
      <c r="H447" t="s">
        <v>1197</v>
      </c>
      <c r="I447" t="s">
        <v>42</v>
      </c>
      <c r="J447" t="s">
        <v>43</v>
      </c>
      <c r="K447" t="s">
        <v>153</v>
      </c>
      <c r="L447" t="s">
        <v>207</v>
      </c>
      <c r="M447" t="s">
        <v>58</v>
      </c>
      <c r="N447" t="s">
        <v>367</v>
      </c>
      <c r="O447" t="s">
        <v>35</v>
      </c>
      <c r="P447" t="s">
        <v>202</v>
      </c>
      <c r="Q447" t="s">
        <v>368</v>
      </c>
      <c r="R447">
        <v>509.15</v>
      </c>
      <c r="S447">
        <v>1</v>
      </c>
      <c r="T447">
        <v>0.15</v>
      </c>
      <c r="U447" s="34" t="str">
        <f t="shared" si="40"/>
        <v>Medium</v>
      </c>
      <c r="V447">
        <v>-38.85</v>
      </c>
      <c r="W447" s="29">
        <f t="shared" si="41"/>
        <v>-0.0763036433271138</v>
      </c>
      <c r="X447">
        <v>44.64</v>
      </c>
      <c r="Y447" t="s">
        <v>51</v>
      </c>
      <c r="Z447" s="34" t="str">
        <f t="shared" si="42"/>
        <v>Medium</v>
      </c>
    </row>
    <row r="448" spans="1:26">
      <c r="A448" t="s">
        <v>1198</v>
      </c>
      <c r="B448" s="44">
        <v>43956</v>
      </c>
      <c r="C448" s="34">
        <f t="shared" si="37"/>
        <v>2020</v>
      </c>
      <c r="D448" s="34">
        <f t="shared" si="38"/>
        <v>5</v>
      </c>
      <c r="E448" s="34" t="str">
        <f t="shared" si="39"/>
        <v>May</v>
      </c>
      <c r="F448" s="44">
        <v>43960</v>
      </c>
      <c r="G448" t="s">
        <v>1199</v>
      </c>
      <c r="H448" t="s">
        <v>1200</v>
      </c>
      <c r="I448" t="s">
        <v>55</v>
      </c>
      <c r="J448" t="s">
        <v>43</v>
      </c>
      <c r="K448" t="s">
        <v>233</v>
      </c>
      <c r="L448" t="s">
        <v>234</v>
      </c>
      <c r="M448" t="s">
        <v>46</v>
      </c>
      <c r="N448" t="s">
        <v>278</v>
      </c>
      <c r="O448" t="s">
        <v>35</v>
      </c>
      <c r="P448" t="s">
        <v>202</v>
      </c>
      <c r="Q448" t="s">
        <v>279</v>
      </c>
      <c r="R448">
        <v>899</v>
      </c>
      <c r="S448">
        <v>1</v>
      </c>
      <c r="T448">
        <v>0</v>
      </c>
      <c r="U448" s="34" t="str">
        <f t="shared" si="40"/>
        <v>No Discount</v>
      </c>
      <c r="V448">
        <v>121.17</v>
      </c>
      <c r="W448" s="29">
        <f t="shared" si="41"/>
        <v>0.134783092324805</v>
      </c>
      <c r="X448">
        <v>45.61</v>
      </c>
      <c r="Y448" t="s">
        <v>96</v>
      </c>
      <c r="Z448" s="34" t="str">
        <f t="shared" si="42"/>
        <v>Medium</v>
      </c>
    </row>
    <row r="449" spans="1:26">
      <c r="A449" t="s">
        <v>1201</v>
      </c>
      <c r="B449" s="44">
        <v>45573</v>
      </c>
      <c r="C449" s="34">
        <f t="shared" si="37"/>
        <v>2024</v>
      </c>
      <c r="D449" s="34">
        <f t="shared" si="38"/>
        <v>10</v>
      </c>
      <c r="E449" s="34" t="str">
        <f t="shared" si="39"/>
        <v>October</v>
      </c>
      <c r="F449" s="44">
        <v>45576</v>
      </c>
      <c r="G449" t="s">
        <v>655</v>
      </c>
      <c r="H449" t="s">
        <v>656</v>
      </c>
      <c r="I449" t="s">
        <v>42</v>
      </c>
      <c r="J449" t="s">
        <v>43</v>
      </c>
      <c r="K449" t="s">
        <v>153</v>
      </c>
      <c r="L449" t="s">
        <v>338</v>
      </c>
      <c r="M449" t="s">
        <v>58</v>
      </c>
      <c r="N449" t="s">
        <v>86</v>
      </c>
      <c r="O449" t="s">
        <v>67</v>
      </c>
      <c r="P449" t="s">
        <v>87</v>
      </c>
      <c r="Q449" t="s">
        <v>88</v>
      </c>
      <c r="R449">
        <v>166.6</v>
      </c>
      <c r="S449">
        <v>4</v>
      </c>
      <c r="T449">
        <v>0.15</v>
      </c>
      <c r="U449" s="34" t="str">
        <f t="shared" si="40"/>
        <v>Medium</v>
      </c>
      <c r="V449">
        <v>35.86</v>
      </c>
      <c r="W449" s="29">
        <f t="shared" si="41"/>
        <v>0.215246098439376</v>
      </c>
      <c r="X449">
        <v>19.31</v>
      </c>
      <c r="Y449" t="s">
        <v>121</v>
      </c>
      <c r="Z449" s="34" t="str">
        <f t="shared" si="42"/>
        <v>Small</v>
      </c>
    </row>
    <row r="450" spans="1:26">
      <c r="A450" t="s">
        <v>1202</v>
      </c>
      <c r="B450" s="44">
        <v>45518</v>
      </c>
      <c r="C450" s="34">
        <f t="shared" ref="C450:C513" si="43">YEAR(B450)</f>
        <v>2024</v>
      </c>
      <c r="D450" s="34">
        <f t="shared" ref="D450:D513" si="44">MONTH(B450)</f>
        <v>8</v>
      </c>
      <c r="E450" s="34" t="str">
        <f t="shared" ref="E450:E513" si="45">TEXT(B450,"mmmm")</f>
        <v>August</v>
      </c>
      <c r="F450" s="44">
        <v>45524</v>
      </c>
      <c r="G450" t="s">
        <v>1203</v>
      </c>
      <c r="H450" t="s">
        <v>1204</v>
      </c>
      <c r="I450" t="s">
        <v>55</v>
      </c>
      <c r="J450" t="s">
        <v>43</v>
      </c>
      <c r="K450" t="s">
        <v>262</v>
      </c>
      <c r="L450" t="s">
        <v>568</v>
      </c>
      <c r="M450" t="s">
        <v>58</v>
      </c>
      <c r="N450" t="s">
        <v>582</v>
      </c>
      <c r="O450" t="s">
        <v>35</v>
      </c>
      <c r="P450" t="s">
        <v>78</v>
      </c>
      <c r="Q450" t="s">
        <v>583</v>
      </c>
      <c r="R450">
        <v>1871.25</v>
      </c>
      <c r="S450">
        <v>5</v>
      </c>
      <c r="T450">
        <v>0.25</v>
      </c>
      <c r="U450" s="34" t="str">
        <f t="shared" ref="U450:U513" si="46">IF(T450=0,"No Discount",IF(T450&lt;=0.1,"Low",IF(T450&lt;=0.2,"Medium","High")))</f>
        <v>High</v>
      </c>
      <c r="V450">
        <v>276.49</v>
      </c>
      <c r="W450" s="29">
        <f t="shared" ref="W450:W513" si="47">V450/R450</f>
        <v>0.147756847027388</v>
      </c>
      <c r="X450">
        <v>13.99</v>
      </c>
      <c r="Y450" t="s">
        <v>121</v>
      </c>
      <c r="Z450" s="34" t="str">
        <f t="shared" ref="Z450:Z513" si="48">IF(R450&lt;500,"Small",IF(R450&lt;=2000,"Medium","Large"))</f>
        <v>Medium</v>
      </c>
    </row>
    <row r="451" spans="1:26">
      <c r="A451" t="s">
        <v>1205</v>
      </c>
      <c r="B451" s="44">
        <v>45578</v>
      </c>
      <c r="C451" s="34">
        <f t="shared" si="43"/>
        <v>2024</v>
      </c>
      <c r="D451" s="34">
        <f t="shared" si="44"/>
        <v>10</v>
      </c>
      <c r="E451" s="34" t="str">
        <f t="shared" si="45"/>
        <v>October</v>
      </c>
      <c r="F451" s="44">
        <v>45579</v>
      </c>
      <c r="G451" t="s">
        <v>1011</v>
      </c>
      <c r="H451" t="s">
        <v>1012</v>
      </c>
      <c r="I451" t="s">
        <v>55</v>
      </c>
      <c r="J451" t="s">
        <v>43</v>
      </c>
      <c r="K451" t="s">
        <v>257</v>
      </c>
      <c r="L451" t="s">
        <v>258</v>
      </c>
      <c r="M451" t="s">
        <v>76</v>
      </c>
      <c r="N451" t="s">
        <v>189</v>
      </c>
      <c r="O451" t="s">
        <v>48</v>
      </c>
      <c r="P451" t="s">
        <v>190</v>
      </c>
      <c r="Q451" t="s">
        <v>191</v>
      </c>
      <c r="R451">
        <v>84</v>
      </c>
      <c r="S451">
        <v>3</v>
      </c>
      <c r="T451">
        <v>0.2</v>
      </c>
      <c r="U451" s="34" t="str">
        <f t="shared" si="46"/>
        <v>Medium</v>
      </c>
      <c r="V451">
        <v>-10.36</v>
      </c>
      <c r="W451" s="29">
        <f t="shared" si="47"/>
        <v>-0.123333333333333</v>
      </c>
      <c r="X451">
        <v>12.12</v>
      </c>
      <c r="Y451" t="s">
        <v>137</v>
      </c>
      <c r="Z451" s="34" t="str">
        <f t="shared" si="48"/>
        <v>Small</v>
      </c>
    </row>
    <row r="452" spans="1:26">
      <c r="A452" t="s">
        <v>1206</v>
      </c>
      <c r="B452" s="44">
        <v>45638</v>
      </c>
      <c r="C452" s="34">
        <f t="shared" si="43"/>
        <v>2024</v>
      </c>
      <c r="D452" s="34">
        <f t="shared" si="44"/>
        <v>12</v>
      </c>
      <c r="E452" s="34" t="str">
        <f t="shared" si="45"/>
        <v>December</v>
      </c>
      <c r="F452" s="44">
        <v>45642</v>
      </c>
      <c r="G452" t="s">
        <v>267</v>
      </c>
      <c r="H452" t="s">
        <v>283</v>
      </c>
      <c r="I452" t="s">
        <v>42</v>
      </c>
      <c r="J452" t="s">
        <v>43</v>
      </c>
      <c r="K452" t="s">
        <v>92</v>
      </c>
      <c r="L452" t="s">
        <v>269</v>
      </c>
      <c r="M452" t="s">
        <v>76</v>
      </c>
      <c r="N452" t="s">
        <v>110</v>
      </c>
      <c r="O452" t="s">
        <v>35</v>
      </c>
      <c r="P452" t="s">
        <v>111</v>
      </c>
      <c r="Q452" t="s">
        <v>112</v>
      </c>
      <c r="R452">
        <v>179.1</v>
      </c>
      <c r="S452">
        <v>1</v>
      </c>
      <c r="T452">
        <v>0.1</v>
      </c>
      <c r="U452" s="34" t="str">
        <f t="shared" si="46"/>
        <v>Low</v>
      </c>
      <c r="V452">
        <v>29.95</v>
      </c>
      <c r="W452" s="29">
        <f t="shared" si="47"/>
        <v>0.167225013958682</v>
      </c>
      <c r="X452">
        <v>19.58</v>
      </c>
      <c r="Y452" t="s">
        <v>137</v>
      </c>
      <c r="Z452" s="34" t="str">
        <f t="shared" si="48"/>
        <v>Small</v>
      </c>
    </row>
    <row r="453" spans="1:26">
      <c r="A453" t="s">
        <v>1207</v>
      </c>
      <c r="B453" s="44">
        <v>44239</v>
      </c>
      <c r="C453" s="34">
        <f t="shared" si="43"/>
        <v>2021</v>
      </c>
      <c r="D453" s="34">
        <f t="shared" si="44"/>
        <v>2</v>
      </c>
      <c r="E453" s="34" t="str">
        <f t="shared" si="45"/>
        <v>February</v>
      </c>
      <c r="F453" s="44">
        <v>44245</v>
      </c>
      <c r="G453" t="s">
        <v>1107</v>
      </c>
      <c r="H453" t="s">
        <v>1108</v>
      </c>
      <c r="I453" t="s">
        <v>42</v>
      </c>
      <c r="J453" t="s">
        <v>43</v>
      </c>
      <c r="K453" t="s">
        <v>349</v>
      </c>
      <c r="L453" t="s">
        <v>350</v>
      </c>
      <c r="M453" t="s">
        <v>33</v>
      </c>
      <c r="N453" t="s">
        <v>474</v>
      </c>
      <c r="O453" t="s">
        <v>35</v>
      </c>
      <c r="P453" t="s">
        <v>78</v>
      </c>
      <c r="Q453" t="s">
        <v>475</v>
      </c>
      <c r="R453">
        <v>3597</v>
      </c>
      <c r="S453">
        <v>3</v>
      </c>
      <c r="T453">
        <v>0</v>
      </c>
      <c r="U453" s="34" t="str">
        <f t="shared" si="46"/>
        <v>No Discount</v>
      </c>
      <c r="V453">
        <v>635.73</v>
      </c>
      <c r="W453" s="29">
        <f t="shared" si="47"/>
        <v>0.17673894912427</v>
      </c>
      <c r="X453">
        <v>39.1</v>
      </c>
      <c r="Y453" t="s">
        <v>137</v>
      </c>
      <c r="Z453" s="34" t="str">
        <f t="shared" si="48"/>
        <v>Large</v>
      </c>
    </row>
    <row r="454" spans="1:26">
      <c r="A454" t="s">
        <v>1208</v>
      </c>
      <c r="B454" s="44">
        <v>44706</v>
      </c>
      <c r="C454" s="34">
        <f t="shared" si="43"/>
        <v>2022</v>
      </c>
      <c r="D454" s="34">
        <f t="shared" si="44"/>
        <v>5</v>
      </c>
      <c r="E454" s="34" t="str">
        <f t="shared" si="45"/>
        <v>May</v>
      </c>
      <c r="F454" s="44">
        <v>44713</v>
      </c>
      <c r="G454" t="s">
        <v>1019</v>
      </c>
      <c r="H454" t="s">
        <v>661</v>
      </c>
      <c r="I454" t="s">
        <v>42</v>
      </c>
      <c r="J454" t="s">
        <v>43</v>
      </c>
      <c r="K454" t="s">
        <v>187</v>
      </c>
      <c r="L454" t="s">
        <v>188</v>
      </c>
      <c r="M454" t="s">
        <v>33</v>
      </c>
      <c r="N454" t="s">
        <v>339</v>
      </c>
      <c r="O454" t="s">
        <v>35</v>
      </c>
      <c r="P454" t="s">
        <v>78</v>
      </c>
      <c r="Q454" t="s">
        <v>340</v>
      </c>
      <c r="R454">
        <v>206.1</v>
      </c>
      <c r="S454">
        <v>1</v>
      </c>
      <c r="T454">
        <v>0.1</v>
      </c>
      <c r="U454" s="34" t="str">
        <f t="shared" si="46"/>
        <v>Low</v>
      </c>
      <c r="V454">
        <v>31.69</v>
      </c>
      <c r="W454" s="29">
        <f t="shared" si="47"/>
        <v>0.153760310528869</v>
      </c>
      <c r="X454">
        <v>31.78</v>
      </c>
      <c r="Y454" t="s">
        <v>51</v>
      </c>
      <c r="Z454" s="34" t="str">
        <f t="shared" si="48"/>
        <v>Small</v>
      </c>
    </row>
    <row r="455" spans="1:26">
      <c r="A455" t="s">
        <v>1209</v>
      </c>
      <c r="B455" s="44">
        <v>44752</v>
      </c>
      <c r="C455" s="34">
        <f t="shared" si="43"/>
        <v>2022</v>
      </c>
      <c r="D455" s="34">
        <f t="shared" si="44"/>
        <v>7</v>
      </c>
      <c r="E455" s="34" t="str">
        <f t="shared" si="45"/>
        <v>July</v>
      </c>
      <c r="F455" s="44">
        <v>44755</v>
      </c>
      <c r="G455" t="s">
        <v>243</v>
      </c>
      <c r="H455" t="s">
        <v>244</v>
      </c>
      <c r="I455" t="s">
        <v>55</v>
      </c>
      <c r="J455" t="s">
        <v>43</v>
      </c>
      <c r="K455" t="s">
        <v>245</v>
      </c>
      <c r="L455" t="s">
        <v>958</v>
      </c>
      <c r="M455" t="s">
        <v>76</v>
      </c>
      <c r="N455" t="s">
        <v>339</v>
      </c>
      <c r="O455" t="s">
        <v>35</v>
      </c>
      <c r="P455" t="s">
        <v>78</v>
      </c>
      <c r="Q455" t="s">
        <v>340</v>
      </c>
      <c r="R455">
        <v>687</v>
      </c>
      <c r="S455">
        <v>4</v>
      </c>
      <c r="T455">
        <v>0.25</v>
      </c>
      <c r="U455" s="34" t="str">
        <f t="shared" si="46"/>
        <v>High</v>
      </c>
      <c r="V455">
        <v>95.35</v>
      </c>
      <c r="W455" s="29">
        <f t="shared" si="47"/>
        <v>0.138791848617176</v>
      </c>
      <c r="X455">
        <v>25.68</v>
      </c>
      <c r="Y455" t="s">
        <v>51</v>
      </c>
      <c r="Z455" s="34" t="str">
        <f t="shared" si="48"/>
        <v>Medium</v>
      </c>
    </row>
    <row r="456" spans="1:26">
      <c r="A456" t="s">
        <v>1210</v>
      </c>
      <c r="B456" s="44">
        <v>45606</v>
      </c>
      <c r="C456" s="34">
        <f t="shared" si="43"/>
        <v>2024</v>
      </c>
      <c r="D456" s="34">
        <f t="shared" si="44"/>
        <v>11</v>
      </c>
      <c r="E456" s="34" t="str">
        <f t="shared" si="45"/>
        <v>November</v>
      </c>
      <c r="F456" s="44">
        <v>45611</v>
      </c>
      <c r="G456" t="s">
        <v>901</v>
      </c>
      <c r="H456" t="s">
        <v>902</v>
      </c>
      <c r="I456" t="s">
        <v>42</v>
      </c>
      <c r="J456" t="s">
        <v>43</v>
      </c>
      <c r="K456" t="s">
        <v>262</v>
      </c>
      <c r="L456" t="s">
        <v>568</v>
      </c>
      <c r="M456" t="s">
        <v>58</v>
      </c>
      <c r="N456" t="s">
        <v>155</v>
      </c>
      <c r="O456" t="s">
        <v>67</v>
      </c>
      <c r="P456" t="s">
        <v>119</v>
      </c>
      <c r="Q456" t="s">
        <v>156</v>
      </c>
      <c r="R456">
        <v>2716.8</v>
      </c>
      <c r="S456">
        <v>4</v>
      </c>
      <c r="T456">
        <v>0.2</v>
      </c>
      <c r="U456" s="34" t="str">
        <f t="shared" si="46"/>
        <v>Medium</v>
      </c>
      <c r="V456">
        <v>-223.63</v>
      </c>
      <c r="W456" s="29">
        <f t="shared" si="47"/>
        <v>-0.0823137514723204</v>
      </c>
      <c r="X456">
        <v>20.95</v>
      </c>
      <c r="Y456" t="s">
        <v>121</v>
      </c>
      <c r="Z456" s="34" t="str">
        <f t="shared" si="48"/>
        <v>Large</v>
      </c>
    </row>
    <row r="457" spans="1:26">
      <c r="A457" t="s">
        <v>1211</v>
      </c>
      <c r="B457" s="44">
        <v>44551</v>
      </c>
      <c r="C457" s="34">
        <f t="shared" si="43"/>
        <v>2021</v>
      </c>
      <c r="D457" s="34">
        <f t="shared" si="44"/>
        <v>12</v>
      </c>
      <c r="E457" s="34" t="str">
        <f t="shared" si="45"/>
        <v>December</v>
      </c>
      <c r="F457" s="44">
        <v>44558</v>
      </c>
      <c r="G457" t="s">
        <v>418</v>
      </c>
      <c r="H457" t="s">
        <v>419</v>
      </c>
      <c r="I457" t="s">
        <v>42</v>
      </c>
      <c r="J457" t="s">
        <v>43</v>
      </c>
      <c r="K457" t="s">
        <v>100</v>
      </c>
      <c r="L457" t="s">
        <v>420</v>
      </c>
      <c r="M457" t="s">
        <v>33</v>
      </c>
      <c r="N457" t="s">
        <v>333</v>
      </c>
      <c r="O457" t="s">
        <v>48</v>
      </c>
      <c r="P457" t="s">
        <v>190</v>
      </c>
      <c r="Q457" t="s">
        <v>334</v>
      </c>
      <c r="R457">
        <v>756</v>
      </c>
      <c r="S457">
        <v>4</v>
      </c>
      <c r="T457">
        <v>0</v>
      </c>
      <c r="U457" s="34" t="str">
        <f t="shared" si="46"/>
        <v>No Discount</v>
      </c>
      <c r="V457">
        <v>176.51</v>
      </c>
      <c r="W457" s="29">
        <f t="shared" si="47"/>
        <v>0.233478835978836</v>
      </c>
      <c r="X457">
        <v>41.62</v>
      </c>
      <c r="Y457" t="s">
        <v>137</v>
      </c>
      <c r="Z457" s="34" t="str">
        <f t="shared" si="48"/>
        <v>Medium</v>
      </c>
    </row>
    <row r="458" spans="1:26">
      <c r="A458" t="s">
        <v>1212</v>
      </c>
      <c r="B458" s="44">
        <v>45287</v>
      </c>
      <c r="C458" s="34">
        <f t="shared" si="43"/>
        <v>2023</v>
      </c>
      <c r="D458" s="34">
        <f t="shared" si="44"/>
        <v>12</v>
      </c>
      <c r="E458" s="34" t="str">
        <f t="shared" si="45"/>
        <v>December</v>
      </c>
      <c r="F458" s="44">
        <v>45291</v>
      </c>
      <c r="G458" t="s">
        <v>483</v>
      </c>
      <c r="H458" t="s">
        <v>484</v>
      </c>
      <c r="I458" t="s">
        <v>42</v>
      </c>
      <c r="J458" t="s">
        <v>43</v>
      </c>
      <c r="K458" t="s">
        <v>108</v>
      </c>
      <c r="L458" t="s">
        <v>485</v>
      </c>
      <c r="M458" t="s">
        <v>58</v>
      </c>
      <c r="N458" t="s">
        <v>292</v>
      </c>
      <c r="O458" t="s">
        <v>35</v>
      </c>
      <c r="P458" t="s">
        <v>163</v>
      </c>
      <c r="Q458" t="s">
        <v>293</v>
      </c>
      <c r="R458">
        <v>1299</v>
      </c>
      <c r="S458">
        <v>1</v>
      </c>
      <c r="T458">
        <v>0</v>
      </c>
      <c r="U458" s="34" t="str">
        <f t="shared" si="46"/>
        <v>No Discount</v>
      </c>
      <c r="V458">
        <v>-117.16</v>
      </c>
      <c r="W458" s="29">
        <f t="shared" si="47"/>
        <v>-0.0901924557351809</v>
      </c>
      <c r="X458">
        <v>44.13</v>
      </c>
      <c r="Y458" t="s">
        <v>80</v>
      </c>
      <c r="Z458" s="34" t="str">
        <f t="shared" si="48"/>
        <v>Medium</v>
      </c>
    </row>
    <row r="459" spans="1:26">
      <c r="A459" t="s">
        <v>1213</v>
      </c>
      <c r="B459" s="44">
        <v>44545</v>
      </c>
      <c r="C459" s="34">
        <f t="shared" si="43"/>
        <v>2021</v>
      </c>
      <c r="D459" s="34">
        <f t="shared" si="44"/>
        <v>12</v>
      </c>
      <c r="E459" s="34" t="str">
        <f t="shared" si="45"/>
        <v>December</v>
      </c>
      <c r="F459" s="44">
        <v>44549</v>
      </c>
      <c r="G459" t="s">
        <v>1214</v>
      </c>
      <c r="H459" t="s">
        <v>1215</v>
      </c>
      <c r="I459" t="s">
        <v>42</v>
      </c>
      <c r="J459" t="s">
        <v>43</v>
      </c>
      <c r="K459" t="s">
        <v>233</v>
      </c>
      <c r="L459" t="s">
        <v>234</v>
      </c>
      <c r="M459" t="s">
        <v>46</v>
      </c>
      <c r="N459" t="s">
        <v>546</v>
      </c>
      <c r="O459" t="s">
        <v>35</v>
      </c>
      <c r="P459" t="s">
        <v>36</v>
      </c>
      <c r="Q459" t="s">
        <v>547</v>
      </c>
      <c r="R459">
        <v>5866</v>
      </c>
      <c r="S459">
        <v>4</v>
      </c>
      <c r="T459">
        <v>0.3</v>
      </c>
      <c r="U459" s="34" t="str">
        <f t="shared" si="46"/>
        <v>High</v>
      </c>
      <c r="V459">
        <v>572.95</v>
      </c>
      <c r="W459" s="29">
        <f t="shared" si="47"/>
        <v>0.097673031026253</v>
      </c>
      <c r="X459">
        <v>45.51</v>
      </c>
      <c r="Y459" t="s">
        <v>137</v>
      </c>
      <c r="Z459" s="34" t="str">
        <f t="shared" si="48"/>
        <v>Large</v>
      </c>
    </row>
    <row r="460" spans="1:26">
      <c r="A460" t="s">
        <v>1216</v>
      </c>
      <c r="B460" s="44">
        <v>45513</v>
      </c>
      <c r="C460" s="34">
        <f t="shared" si="43"/>
        <v>2024</v>
      </c>
      <c r="D460" s="34">
        <f t="shared" si="44"/>
        <v>8</v>
      </c>
      <c r="E460" s="34" t="str">
        <f t="shared" si="45"/>
        <v>August</v>
      </c>
      <c r="F460" s="44">
        <v>45515</v>
      </c>
      <c r="G460" t="s">
        <v>40</v>
      </c>
      <c r="H460" t="s">
        <v>41</v>
      </c>
      <c r="I460" t="s">
        <v>42</v>
      </c>
      <c r="J460" t="s">
        <v>43</v>
      </c>
      <c r="K460" t="s">
        <v>44</v>
      </c>
      <c r="L460" t="s">
        <v>45</v>
      </c>
      <c r="M460" t="s">
        <v>46</v>
      </c>
      <c r="N460" t="s">
        <v>155</v>
      </c>
      <c r="O460" t="s">
        <v>67</v>
      </c>
      <c r="P460" t="s">
        <v>119</v>
      </c>
      <c r="Q460" t="s">
        <v>156</v>
      </c>
      <c r="R460">
        <v>2716.8</v>
      </c>
      <c r="S460">
        <v>4</v>
      </c>
      <c r="T460">
        <v>0.2</v>
      </c>
      <c r="U460" s="34" t="str">
        <f t="shared" si="46"/>
        <v>Medium</v>
      </c>
      <c r="V460">
        <v>585.8</v>
      </c>
      <c r="W460" s="29">
        <f t="shared" si="47"/>
        <v>0.215621319199058</v>
      </c>
      <c r="X460">
        <v>39.67</v>
      </c>
      <c r="Y460" t="s">
        <v>62</v>
      </c>
      <c r="Z460" s="34" t="str">
        <f t="shared" si="48"/>
        <v>Large</v>
      </c>
    </row>
    <row r="461" spans="1:26">
      <c r="A461" t="s">
        <v>1217</v>
      </c>
      <c r="B461" s="44">
        <v>44903</v>
      </c>
      <c r="C461" s="34">
        <f t="shared" si="43"/>
        <v>2022</v>
      </c>
      <c r="D461" s="34">
        <f t="shared" si="44"/>
        <v>12</v>
      </c>
      <c r="E461" s="34" t="str">
        <f t="shared" si="45"/>
        <v>December</v>
      </c>
      <c r="F461" s="44">
        <v>44908</v>
      </c>
      <c r="G461" t="s">
        <v>1218</v>
      </c>
      <c r="H461" t="s">
        <v>1219</v>
      </c>
      <c r="I461" t="s">
        <v>55</v>
      </c>
      <c r="J461" t="s">
        <v>43</v>
      </c>
      <c r="K461" t="s">
        <v>146</v>
      </c>
      <c r="L461" t="s">
        <v>134</v>
      </c>
      <c r="M461" t="s">
        <v>33</v>
      </c>
      <c r="N461" t="s">
        <v>102</v>
      </c>
      <c r="O461" t="s">
        <v>67</v>
      </c>
      <c r="P461" t="s">
        <v>103</v>
      </c>
      <c r="Q461" t="s">
        <v>104</v>
      </c>
      <c r="R461">
        <v>399</v>
      </c>
      <c r="S461">
        <v>1</v>
      </c>
      <c r="T461">
        <v>0</v>
      </c>
      <c r="U461" s="34" t="str">
        <f t="shared" si="46"/>
        <v>No Discount</v>
      </c>
      <c r="V461">
        <v>70.21</v>
      </c>
      <c r="W461" s="29">
        <f t="shared" si="47"/>
        <v>0.175964912280702</v>
      </c>
      <c r="X461">
        <v>31.96</v>
      </c>
      <c r="Y461" t="s">
        <v>96</v>
      </c>
      <c r="Z461" s="34" t="str">
        <f t="shared" si="48"/>
        <v>Small</v>
      </c>
    </row>
    <row r="462" spans="1:26">
      <c r="A462" t="s">
        <v>1220</v>
      </c>
      <c r="B462" s="44">
        <v>45313</v>
      </c>
      <c r="C462" s="34">
        <f t="shared" si="43"/>
        <v>2024</v>
      </c>
      <c r="D462" s="34">
        <f t="shared" si="44"/>
        <v>1</v>
      </c>
      <c r="E462" s="34" t="str">
        <f t="shared" si="45"/>
        <v>January</v>
      </c>
      <c r="F462" s="44">
        <v>45320</v>
      </c>
      <c r="G462" t="s">
        <v>1221</v>
      </c>
      <c r="H462" t="s">
        <v>1222</v>
      </c>
      <c r="I462" t="s">
        <v>42</v>
      </c>
      <c r="J462" t="s">
        <v>43</v>
      </c>
      <c r="K462" t="s">
        <v>175</v>
      </c>
      <c r="L462" t="s">
        <v>176</v>
      </c>
      <c r="M462" t="s">
        <v>46</v>
      </c>
      <c r="N462" t="s">
        <v>66</v>
      </c>
      <c r="O462" t="s">
        <v>67</v>
      </c>
      <c r="P462" t="s">
        <v>68</v>
      </c>
      <c r="Q462" t="s">
        <v>69</v>
      </c>
      <c r="R462">
        <v>1677.9</v>
      </c>
      <c r="S462">
        <v>3</v>
      </c>
      <c r="T462">
        <v>0.3</v>
      </c>
      <c r="U462" s="34" t="str">
        <f t="shared" si="46"/>
        <v>High</v>
      </c>
      <c r="V462">
        <v>236.83</v>
      </c>
      <c r="W462" s="29">
        <f t="shared" si="47"/>
        <v>0.141146671434531</v>
      </c>
      <c r="X462">
        <v>49.53</v>
      </c>
      <c r="Y462" t="s">
        <v>96</v>
      </c>
      <c r="Z462" s="34" t="str">
        <f t="shared" si="48"/>
        <v>Medium</v>
      </c>
    </row>
    <row r="463" spans="1:26">
      <c r="A463" t="s">
        <v>1223</v>
      </c>
      <c r="B463" s="44">
        <v>44182</v>
      </c>
      <c r="C463" s="34">
        <f t="shared" si="43"/>
        <v>2020</v>
      </c>
      <c r="D463" s="34">
        <f t="shared" si="44"/>
        <v>12</v>
      </c>
      <c r="E463" s="34" t="str">
        <f t="shared" si="45"/>
        <v>December</v>
      </c>
      <c r="F463" s="44">
        <v>44185</v>
      </c>
      <c r="G463" t="s">
        <v>611</v>
      </c>
      <c r="H463" t="s">
        <v>612</v>
      </c>
      <c r="I463" t="s">
        <v>42</v>
      </c>
      <c r="J463" t="s">
        <v>30</v>
      </c>
      <c r="K463" t="s">
        <v>74</v>
      </c>
      <c r="L463" t="s">
        <v>613</v>
      </c>
      <c r="M463" t="s">
        <v>76</v>
      </c>
      <c r="N463" t="s">
        <v>141</v>
      </c>
      <c r="O463" t="s">
        <v>35</v>
      </c>
      <c r="P463" t="s">
        <v>111</v>
      </c>
      <c r="Q463" t="s">
        <v>142</v>
      </c>
      <c r="R463">
        <v>476.8</v>
      </c>
      <c r="S463">
        <v>4</v>
      </c>
      <c r="T463">
        <v>0.2</v>
      </c>
      <c r="U463" s="34" t="str">
        <f t="shared" si="46"/>
        <v>Medium</v>
      </c>
      <c r="V463">
        <v>82.2</v>
      </c>
      <c r="W463" s="29">
        <f t="shared" si="47"/>
        <v>0.17239932885906</v>
      </c>
      <c r="X463">
        <v>12.07</v>
      </c>
      <c r="Y463" t="s">
        <v>51</v>
      </c>
      <c r="Z463" s="34" t="str">
        <f t="shared" si="48"/>
        <v>Small</v>
      </c>
    </row>
    <row r="464" spans="1:26">
      <c r="A464" t="s">
        <v>1224</v>
      </c>
      <c r="B464" s="44">
        <v>45051</v>
      </c>
      <c r="C464" s="34">
        <f t="shared" si="43"/>
        <v>2023</v>
      </c>
      <c r="D464" s="34">
        <f t="shared" si="44"/>
        <v>5</v>
      </c>
      <c r="E464" s="34" t="str">
        <f t="shared" si="45"/>
        <v>May</v>
      </c>
      <c r="F464" s="44">
        <v>45052</v>
      </c>
      <c r="G464" t="s">
        <v>1225</v>
      </c>
      <c r="H464" t="s">
        <v>1226</v>
      </c>
      <c r="I464" t="s">
        <v>29</v>
      </c>
      <c r="J464" t="s">
        <v>43</v>
      </c>
      <c r="K464" t="s">
        <v>438</v>
      </c>
      <c r="L464" t="s">
        <v>1227</v>
      </c>
      <c r="M464" t="s">
        <v>76</v>
      </c>
      <c r="N464" t="s">
        <v>333</v>
      </c>
      <c r="O464" t="s">
        <v>48</v>
      </c>
      <c r="P464" t="s">
        <v>190</v>
      </c>
      <c r="Q464" t="s">
        <v>334</v>
      </c>
      <c r="R464">
        <v>945</v>
      </c>
      <c r="S464">
        <v>5</v>
      </c>
      <c r="T464">
        <v>0</v>
      </c>
      <c r="U464" s="34" t="str">
        <f t="shared" si="46"/>
        <v>No Discount</v>
      </c>
      <c r="V464">
        <v>221.34</v>
      </c>
      <c r="W464" s="29">
        <f t="shared" si="47"/>
        <v>0.234222222222222</v>
      </c>
      <c r="X464">
        <v>49.7</v>
      </c>
      <c r="Y464" t="s">
        <v>80</v>
      </c>
      <c r="Z464" s="34" t="str">
        <f t="shared" si="48"/>
        <v>Medium</v>
      </c>
    </row>
    <row r="465" spans="1:26">
      <c r="A465" t="s">
        <v>1228</v>
      </c>
      <c r="B465" s="44">
        <v>45111</v>
      </c>
      <c r="C465" s="34">
        <f t="shared" si="43"/>
        <v>2023</v>
      </c>
      <c r="D465" s="34">
        <f t="shared" si="44"/>
        <v>7</v>
      </c>
      <c r="E465" s="34" t="str">
        <f t="shared" si="45"/>
        <v>July</v>
      </c>
      <c r="F465" s="44">
        <v>45114</v>
      </c>
      <c r="G465" t="s">
        <v>1138</v>
      </c>
      <c r="H465" t="s">
        <v>1139</v>
      </c>
      <c r="I465" t="s">
        <v>55</v>
      </c>
      <c r="J465" t="s">
        <v>30</v>
      </c>
      <c r="K465" t="s">
        <v>284</v>
      </c>
      <c r="L465" t="s">
        <v>414</v>
      </c>
      <c r="M465" t="s">
        <v>76</v>
      </c>
      <c r="N465" t="s">
        <v>127</v>
      </c>
      <c r="O465" t="s">
        <v>48</v>
      </c>
      <c r="P465" t="s">
        <v>128</v>
      </c>
      <c r="Q465" t="s">
        <v>129</v>
      </c>
      <c r="R465">
        <v>91</v>
      </c>
      <c r="S465">
        <v>2</v>
      </c>
      <c r="T465">
        <v>0.3</v>
      </c>
      <c r="U465" s="34" t="str">
        <f t="shared" si="46"/>
        <v>High</v>
      </c>
      <c r="V465">
        <v>8.43</v>
      </c>
      <c r="W465" s="29">
        <f t="shared" si="47"/>
        <v>0.0926373626373626</v>
      </c>
      <c r="X465">
        <v>17.41</v>
      </c>
      <c r="Y465" t="s">
        <v>96</v>
      </c>
      <c r="Z465" s="34" t="str">
        <f t="shared" si="48"/>
        <v>Small</v>
      </c>
    </row>
    <row r="466" spans="1:26">
      <c r="A466" t="s">
        <v>1229</v>
      </c>
      <c r="B466" s="44">
        <v>45465</v>
      </c>
      <c r="C466" s="34">
        <f t="shared" si="43"/>
        <v>2024</v>
      </c>
      <c r="D466" s="34">
        <f t="shared" si="44"/>
        <v>6</v>
      </c>
      <c r="E466" s="34" t="str">
        <f t="shared" si="45"/>
        <v>June</v>
      </c>
      <c r="F466" s="44">
        <v>45466</v>
      </c>
      <c r="G466" t="s">
        <v>1230</v>
      </c>
      <c r="H466" t="s">
        <v>1231</v>
      </c>
      <c r="I466" t="s">
        <v>55</v>
      </c>
      <c r="J466" t="s">
        <v>43</v>
      </c>
      <c r="K466" t="s">
        <v>302</v>
      </c>
      <c r="L466" t="s">
        <v>1232</v>
      </c>
      <c r="M466" t="s">
        <v>76</v>
      </c>
      <c r="N466" t="s">
        <v>868</v>
      </c>
      <c r="O466" t="s">
        <v>48</v>
      </c>
      <c r="P466" t="s">
        <v>190</v>
      </c>
      <c r="Q466" t="s">
        <v>869</v>
      </c>
      <c r="R466">
        <v>558.75</v>
      </c>
      <c r="S466">
        <v>5</v>
      </c>
      <c r="T466">
        <v>0.25</v>
      </c>
      <c r="U466" s="34" t="str">
        <f t="shared" si="46"/>
        <v>High</v>
      </c>
      <c r="V466">
        <v>56.65</v>
      </c>
      <c r="W466" s="29">
        <f t="shared" si="47"/>
        <v>0.101387024608501</v>
      </c>
      <c r="X466">
        <v>34.66</v>
      </c>
      <c r="Y466" t="s">
        <v>62</v>
      </c>
      <c r="Z466" s="34" t="str">
        <f t="shared" si="48"/>
        <v>Medium</v>
      </c>
    </row>
    <row r="467" spans="1:26">
      <c r="A467" t="s">
        <v>1233</v>
      </c>
      <c r="B467" s="44">
        <v>44642</v>
      </c>
      <c r="C467" s="34">
        <f t="shared" si="43"/>
        <v>2022</v>
      </c>
      <c r="D467" s="34">
        <f t="shared" si="44"/>
        <v>3</v>
      </c>
      <c r="E467" s="34" t="str">
        <f t="shared" si="45"/>
        <v>March</v>
      </c>
      <c r="F467" s="44">
        <v>44646</v>
      </c>
      <c r="G467" t="s">
        <v>633</v>
      </c>
      <c r="H467" t="s">
        <v>634</v>
      </c>
      <c r="I467" t="s">
        <v>29</v>
      </c>
      <c r="J467" t="s">
        <v>43</v>
      </c>
      <c r="K467" t="s">
        <v>240</v>
      </c>
      <c r="L467" t="s">
        <v>635</v>
      </c>
      <c r="M467" t="s">
        <v>46</v>
      </c>
      <c r="N467" t="s">
        <v>409</v>
      </c>
      <c r="O467" t="s">
        <v>48</v>
      </c>
      <c r="P467" t="s">
        <v>60</v>
      </c>
      <c r="Q467" t="s">
        <v>410</v>
      </c>
      <c r="R467">
        <v>195</v>
      </c>
      <c r="S467">
        <v>5</v>
      </c>
      <c r="T467">
        <v>0</v>
      </c>
      <c r="U467" s="34" t="str">
        <f t="shared" si="46"/>
        <v>No Discount</v>
      </c>
      <c r="V467">
        <v>-18.71</v>
      </c>
      <c r="W467" s="29">
        <f t="shared" si="47"/>
        <v>-0.095948717948718</v>
      </c>
      <c r="X467">
        <v>10.36</v>
      </c>
      <c r="Y467" t="s">
        <v>38</v>
      </c>
      <c r="Z467" s="34" t="str">
        <f t="shared" si="48"/>
        <v>Small</v>
      </c>
    </row>
    <row r="468" spans="1:26">
      <c r="A468" t="s">
        <v>1234</v>
      </c>
      <c r="B468" s="44">
        <v>45408</v>
      </c>
      <c r="C468" s="34">
        <f t="shared" si="43"/>
        <v>2024</v>
      </c>
      <c r="D468" s="34">
        <f t="shared" si="44"/>
        <v>4</v>
      </c>
      <c r="E468" s="34" t="str">
        <f t="shared" si="45"/>
        <v>April</v>
      </c>
      <c r="F468" s="44">
        <v>45409</v>
      </c>
      <c r="G468" t="s">
        <v>1235</v>
      </c>
      <c r="H468" t="s">
        <v>1236</v>
      </c>
      <c r="I468" t="s">
        <v>29</v>
      </c>
      <c r="J468" t="s">
        <v>30</v>
      </c>
      <c r="K468" t="s">
        <v>133</v>
      </c>
      <c r="L468" t="s">
        <v>1237</v>
      </c>
      <c r="M468" t="s">
        <v>33</v>
      </c>
      <c r="N468" t="s">
        <v>670</v>
      </c>
      <c r="O468" t="s">
        <v>48</v>
      </c>
      <c r="P468" t="s">
        <v>49</v>
      </c>
      <c r="Q468" t="s">
        <v>671</v>
      </c>
      <c r="R468">
        <v>98</v>
      </c>
      <c r="S468">
        <v>1</v>
      </c>
      <c r="T468">
        <v>0</v>
      </c>
      <c r="U468" s="34" t="str">
        <f t="shared" si="46"/>
        <v>No Discount</v>
      </c>
      <c r="V468">
        <v>19.87</v>
      </c>
      <c r="W468" s="29">
        <f t="shared" si="47"/>
        <v>0.202755102040816</v>
      </c>
      <c r="X468">
        <v>5.62</v>
      </c>
      <c r="Y468" t="s">
        <v>80</v>
      </c>
      <c r="Z468" s="34" t="str">
        <f t="shared" si="48"/>
        <v>Small</v>
      </c>
    </row>
    <row r="469" spans="1:26">
      <c r="A469" t="s">
        <v>1238</v>
      </c>
      <c r="B469" s="44">
        <v>44759</v>
      </c>
      <c r="C469" s="34">
        <f t="shared" si="43"/>
        <v>2022</v>
      </c>
      <c r="D469" s="34">
        <f t="shared" si="44"/>
        <v>7</v>
      </c>
      <c r="E469" s="34" t="str">
        <f t="shared" si="45"/>
        <v>July</v>
      </c>
      <c r="F469" s="44">
        <v>44761</v>
      </c>
      <c r="G469" t="s">
        <v>488</v>
      </c>
      <c r="H469" t="s">
        <v>489</v>
      </c>
      <c r="I469" t="s">
        <v>55</v>
      </c>
      <c r="J469" t="s">
        <v>43</v>
      </c>
      <c r="K469" t="s">
        <v>380</v>
      </c>
      <c r="L469" t="s">
        <v>381</v>
      </c>
      <c r="M469" t="s">
        <v>58</v>
      </c>
      <c r="N469" t="s">
        <v>409</v>
      </c>
      <c r="O469" t="s">
        <v>48</v>
      </c>
      <c r="P469" t="s">
        <v>60</v>
      </c>
      <c r="Q469" t="s">
        <v>410</v>
      </c>
      <c r="R469">
        <v>156</v>
      </c>
      <c r="S469">
        <v>5</v>
      </c>
      <c r="T469">
        <v>0.2</v>
      </c>
      <c r="U469" s="34" t="str">
        <f t="shared" si="46"/>
        <v>Medium</v>
      </c>
      <c r="V469">
        <v>15.73</v>
      </c>
      <c r="W469" s="29">
        <f t="shared" si="47"/>
        <v>0.100833333333333</v>
      </c>
      <c r="X469">
        <v>25.56</v>
      </c>
      <c r="Y469" t="s">
        <v>62</v>
      </c>
      <c r="Z469" s="34" t="str">
        <f t="shared" si="48"/>
        <v>Small</v>
      </c>
    </row>
    <row r="470" spans="1:26">
      <c r="A470" t="s">
        <v>1239</v>
      </c>
      <c r="B470" s="44">
        <v>44307</v>
      </c>
      <c r="C470" s="34">
        <f t="shared" si="43"/>
        <v>2021</v>
      </c>
      <c r="D470" s="34">
        <f t="shared" si="44"/>
        <v>4</v>
      </c>
      <c r="E470" s="34" t="str">
        <f t="shared" si="45"/>
        <v>April</v>
      </c>
      <c r="F470" s="44">
        <v>44309</v>
      </c>
      <c r="G470" t="s">
        <v>1240</v>
      </c>
      <c r="H470" t="s">
        <v>1241</v>
      </c>
      <c r="I470" t="s">
        <v>42</v>
      </c>
      <c r="J470" t="s">
        <v>43</v>
      </c>
      <c r="K470" t="s">
        <v>125</v>
      </c>
      <c r="L470" t="s">
        <v>808</v>
      </c>
      <c r="M470" t="s">
        <v>58</v>
      </c>
      <c r="N470" t="s">
        <v>182</v>
      </c>
      <c r="O470" t="s">
        <v>48</v>
      </c>
      <c r="P470" t="s">
        <v>128</v>
      </c>
      <c r="Q470" t="s">
        <v>183</v>
      </c>
      <c r="R470">
        <v>75.05</v>
      </c>
      <c r="S470">
        <v>1</v>
      </c>
      <c r="T470">
        <v>0.05</v>
      </c>
      <c r="U470" s="34" t="str">
        <f t="shared" si="46"/>
        <v>Low</v>
      </c>
      <c r="V470">
        <v>8.39</v>
      </c>
      <c r="W470" s="29">
        <f t="shared" si="47"/>
        <v>0.111792138574284</v>
      </c>
      <c r="X470">
        <v>34.56</v>
      </c>
      <c r="Y470" t="s">
        <v>80</v>
      </c>
      <c r="Z470" s="34" t="str">
        <f t="shared" si="48"/>
        <v>Small</v>
      </c>
    </row>
    <row r="471" spans="1:26">
      <c r="A471" t="s">
        <v>1242</v>
      </c>
      <c r="B471" s="44">
        <v>45635</v>
      </c>
      <c r="C471" s="34">
        <f t="shared" si="43"/>
        <v>2024</v>
      </c>
      <c r="D471" s="34">
        <f t="shared" si="44"/>
        <v>12</v>
      </c>
      <c r="E471" s="34" t="str">
        <f t="shared" si="45"/>
        <v>December</v>
      </c>
      <c r="F471" s="44">
        <v>45640</v>
      </c>
      <c r="G471" t="s">
        <v>914</v>
      </c>
      <c r="H471" t="s">
        <v>915</v>
      </c>
      <c r="I471" t="s">
        <v>55</v>
      </c>
      <c r="J471" t="s">
        <v>43</v>
      </c>
      <c r="K471" t="s">
        <v>56</v>
      </c>
      <c r="L471" t="s">
        <v>493</v>
      </c>
      <c r="M471" t="s">
        <v>58</v>
      </c>
      <c r="N471" t="s">
        <v>110</v>
      </c>
      <c r="O471" t="s">
        <v>35</v>
      </c>
      <c r="P471" t="s">
        <v>111</v>
      </c>
      <c r="Q471" t="s">
        <v>112</v>
      </c>
      <c r="R471">
        <v>567.15</v>
      </c>
      <c r="S471">
        <v>3</v>
      </c>
      <c r="T471">
        <v>0.05</v>
      </c>
      <c r="U471" s="34" t="str">
        <f t="shared" si="46"/>
        <v>Low</v>
      </c>
      <c r="V471">
        <v>72.13</v>
      </c>
      <c r="W471" s="29">
        <f t="shared" si="47"/>
        <v>0.127179758441329</v>
      </c>
      <c r="X471">
        <v>43.15</v>
      </c>
      <c r="Y471" t="s">
        <v>96</v>
      </c>
      <c r="Z471" s="34" t="str">
        <f t="shared" si="48"/>
        <v>Medium</v>
      </c>
    </row>
    <row r="472" spans="1:26">
      <c r="A472" t="s">
        <v>1243</v>
      </c>
      <c r="B472" s="44">
        <v>44473</v>
      </c>
      <c r="C472" s="34">
        <f t="shared" si="43"/>
        <v>2021</v>
      </c>
      <c r="D472" s="34">
        <f t="shared" si="44"/>
        <v>10</v>
      </c>
      <c r="E472" s="34" t="str">
        <f t="shared" si="45"/>
        <v>October</v>
      </c>
      <c r="F472" s="44">
        <v>44476</v>
      </c>
      <c r="G472" t="s">
        <v>447</v>
      </c>
      <c r="H472" t="s">
        <v>448</v>
      </c>
      <c r="I472" t="s">
        <v>55</v>
      </c>
      <c r="J472" t="s">
        <v>43</v>
      </c>
      <c r="K472" t="s">
        <v>331</v>
      </c>
      <c r="L472" t="s">
        <v>332</v>
      </c>
      <c r="M472" t="s">
        <v>58</v>
      </c>
      <c r="N472" t="s">
        <v>430</v>
      </c>
      <c r="O472" t="s">
        <v>67</v>
      </c>
      <c r="P472" t="s">
        <v>87</v>
      </c>
      <c r="Q472" t="s">
        <v>431</v>
      </c>
      <c r="R472">
        <v>483.3</v>
      </c>
      <c r="S472">
        <v>3</v>
      </c>
      <c r="T472">
        <v>0.1</v>
      </c>
      <c r="U472" s="34" t="str">
        <f t="shared" si="46"/>
        <v>Low</v>
      </c>
      <c r="V472">
        <v>-48.34</v>
      </c>
      <c r="W472" s="29">
        <f t="shared" si="47"/>
        <v>-0.100020691082144</v>
      </c>
      <c r="X472">
        <v>32.24</v>
      </c>
      <c r="Y472" t="s">
        <v>96</v>
      </c>
      <c r="Z472" s="34" t="str">
        <f t="shared" si="48"/>
        <v>Small</v>
      </c>
    </row>
    <row r="473" spans="1:26">
      <c r="A473" t="s">
        <v>1244</v>
      </c>
      <c r="B473" s="44">
        <v>45497</v>
      </c>
      <c r="C473" s="34">
        <f t="shared" si="43"/>
        <v>2024</v>
      </c>
      <c r="D473" s="34">
        <f t="shared" si="44"/>
        <v>7</v>
      </c>
      <c r="E473" s="34" t="str">
        <f t="shared" si="45"/>
        <v>July</v>
      </c>
      <c r="F473" s="44">
        <v>45499</v>
      </c>
      <c r="G473" t="s">
        <v>1245</v>
      </c>
      <c r="H473" t="s">
        <v>1246</v>
      </c>
      <c r="I473" t="s">
        <v>42</v>
      </c>
      <c r="J473" t="s">
        <v>43</v>
      </c>
      <c r="K473" t="s">
        <v>31</v>
      </c>
      <c r="L473" t="s">
        <v>32</v>
      </c>
      <c r="M473" t="s">
        <v>33</v>
      </c>
      <c r="N473" t="s">
        <v>312</v>
      </c>
      <c r="O473" t="s">
        <v>48</v>
      </c>
      <c r="P473" t="s">
        <v>49</v>
      </c>
      <c r="Q473" t="s">
        <v>313</v>
      </c>
      <c r="R473">
        <v>33.15</v>
      </c>
      <c r="S473">
        <v>1</v>
      </c>
      <c r="T473">
        <v>0</v>
      </c>
      <c r="U473" s="34" t="str">
        <f t="shared" si="46"/>
        <v>No Discount</v>
      </c>
      <c r="V473">
        <v>-4.71</v>
      </c>
      <c r="W473" s="29">
        <f t="shared" si="47"/>
        <v>-0.142081447963801</v>
      </c>
      <c r="X473">
        <v>28.95</v>
      </c>
      <c r="Y473" t="s">
        <v>51</v>
      </c>
      <c r="Z473" s="34" t="str">
        <f t="shared" si="48"/>
        <v>Small</v>
      </c>
    </row>
    <row r="474" spans="1:26">
      <c r="A474" t="s">
        <v>1247</v>
      </c>
      <c r="B474" s="44">
        <v>44846</v>
      </c>
      <c r="C474" s="34">
        <f t="shared" si="43"/>
        <v>2022</v>
      </c>
      <c r="D474" s="34">
        <f t="shared" si="44"/>
        <v>10</v>
      </c>
      <c r="E474" s="34" t="str">
        <f t="shared" si="45"/>
        <v>October</v>
      </c>
      <c r="F474" s="44">
        <v>44853</v>
      </c>
      <c r="G474" t="s">
        <v>1248</v>
      </c>
      <c r="H474" t="s">
        <v>392</v>
      </c>
      <c r="I474" t="s">
        <v>42</v>
      </c>
      <c r="J474" t="s">
        <v>43</v>
      </c>
      <c r="K474" t="s">
        <v>133</v>
      </c>
      <c r="L474" t="s">
        <v>134</v>
      </c>
      <c r="M474" t="s">
        <v>33</v>
      </c>
      <c r="N474" t="s">
        <v>251</v>
      </c>
      <c r="O474" t="s">
        <v>67</v>
      </c>
      <c r="P474" t="s">
        <v>252</v>
      </c>
      <c r="Q474" t="s">
        <v>253</v>
      </c>
      <c r="R474">
        <v>2019.6</v>
      </c>
      <c r="S474">
        <v>3</v>
      </c>
      <c r="T474">
        <v>0.1</v>
      </c>
      <c r="U474" s="34" t="str">
        <f t="shared" si="46"/>
        <v>Low</v>
      </c>
      <c r="V474">
        <v>293.92</v>
      </c>
      <c r="W474" s="29">
        <f t="shared" si="47"/>
        <v>0.145533769063181</v>
      </c>
      <c r="X474">
        <v>30.07</v>
      </c>
      <c r="Y474" t="s">
        <v>137</v>
      </c>
      <c r="Z474" s="34" t="str">
        <f t="shared" si="48"/>
        <v>Large</v>
      </c>
    </row>
    <row r="475" spans="1:26">
      <c r="A475" t="s">
        <v>1249</v>
      </c>
      <c r="B475" s="44">
        <v>44285</v>
      </c>
      <c r="C475" s="34">
        <f t="shared" si="43"/>
        <v>2021</v>
      </c>
      <c r="D475" s="34">
        <f t="shared" si="44"/>
        <v>3</v>
      </c>
      <c r="E475" s="34" t="str">
        <f t="shared" si="45"/>
        <v>March</v>
      </c>
      <c r="F475" s="44">
        <v>44288</v>
      </c>
      <c r="G475" t="s">
        <v>856</v>
      </c>
      <c r="H475" t="s">
        <v>857</v>
      </c>
      <c r="I475" t="s">
        <v>29</v>
      </c>
      <c r="J475" t="s">
        <v>43</v>
      </c>
      <c r="K475" t="s">
        <v>245</v>
      </c>
      <c r="L475" t="s">
        <v>511</v>
      </c>
      <c r="M475" t="s">
        <v>76</v>
      </c>
      <c r="N475" t="s">
        <v>208</v>
      </c>
      <c r="O475" t="s">
        <v>48</v>
      </c>
      <c r="P475" t="s">
        <v>128</v>
      </c>
      <c r="Q475" t="s">
        <v>209</v>
      </c>
      <c r="R475">
        <v>105</v>
      </c>
      <c r="S475">
        <v>4</v>
      </c>
      <c r="T475">
        <v>0.25</v>
      </c>
      <c r="U475" s="34" t="str">
        <f t="shared" si="46"/>
        <v>High</v>
      </c>
      <c r="V475">
        <v>-10.73</v>
      </c>
      <c r="W475" s="29">
        <f t="shared" si="47"/>
        <v>-0.102190476190476</v>
      </c>
      <c r="X475">
        <v>7.76</v>
      </c>
      <c r="Y475" t="s">
        <v>80</v>
      </c>
      <c r="Z475" s="34" t="str">
        <f t="shared" si="48"/>
        <v>Small</v>
      </c>
    </row>
    <row r="476" spans="1:26">
      <c r="A476" t="s">
        <v>1250</v>
      </c>
      <c r="B476" s="44">
        <v>44640</v>
      </c>
      <c r="C476" s="34">
        <f t="shared" si="43"/>
        <v>2022</v>
      </c>
      <c r="D476" s="34">
        <f t="shared" si="44"/>
        <v>3</v>
      </c>
      <c r="E476" s="34" t="str">
        <f t="shared" si="45"/>
        <v>March</v>
      </c>
      <c r="F476" s="44">
        <v>44646</v>
      </c>
      <c r="G476" t="s">
        <v>1251</v>
      </c>
      <c r="H476" t="s">
        <v>1252</v>
      </c>
      <c r="I476" t="s">
        <v>55</v>
      </c>
      <c r="J476" t="s">
        <v>43</v>
      </c>
      <c r="K476" t="s">
        <v>349</v>
      </c>
      <c r="L476" t="s">
        <v>350</v>
      </c>
      <c r="M476" t="s">
        <v>33</v>
      </c>
      <c r="N476" t="s">
        <v>670</v>
      </c>
      <c r="O476" t="s">
        <v>48</v>
      </c>
      <c r="P476" t="s">
        <v>49</v>
      </c>
      <c r="Q476" t="s">
        <v>671</v>
      </c>
      <c r="R476">
        <v>465.5</v>
      </c>
      <c r="S476">
        <v>5</v>
      </c>
      <c r="T476">
        <v>0.05</v>
      </c>
      <c r="U476" s="34" t="str">
        <f t="shared" si="46"/>
        <v>Low</v>
      </c>
      <c r="V476">
        <v>46.78</v>
      </c>
      <c r="W476" s="29">
        <f t="shared" si="47"/>
        <v>0.100494092373792</v>
      </c>
      <c r="X476">
        <v>30.25</v>
      </c>
      <c r="Y476" t="s">
        <v>121</v>
      </c>
      <c r="Z476" s="34" t="str">
        <f t="shared" si="48"/>
        <v>Small</v>
      </c>
    </row>
    <row r="477" spans="1:26">
      <c r="A477" t="s">
        <v>1253</v>
      </c>
      <c r="B477" s="44">
        <v>44925</v>
      </c>
      <c r="C477" s="34">
        <f t="shared" si="43"/>
        <v>2022</v>
      </c>
      <c r="D477" s="34">
        <f t="shared" si="44"/>
        <v>12</v>
      </c>
      <c r="E477" s="34" t="str">
        <f t="shared" si="45"/>
        <v>December</v>
      </c>
      <c r="F477" s="44">
        <v>44930</v>
      </c>
      <c r="G477" t="s">
        <v>1110</v>
      </c>
      <c r="H477" t="s">
        <v>1111</v>
      </c>
      <c r="I477" t="s">
        <v>42</v>
      </c>
      <c r="J477" t="s">
        <v>43</v>
      </c>
      <c r="K477" t="s">
        <v>108</v>
      </c>
      <c r="L477" t="s">
        <v>1112</v>
      </c>
      <c r="M477" t="s">
        <v>58</v>
      </c>
      <c r="N477" t="s">
        <v>459</v>
      </c>
      <c r="O477" t="s">
        <v>48</v>
      </c>
      <c r="P477" t="s">
        <v>128</v>
      </c>
      <c r="Q477" t="s">
        <v>460</v>
      </c>
      <c r="R477">
        <v>87</v>
      </c>
      <c r="S477">
        <v>3</v>
      </c>
      <c r="T477">
        <v>0</v>
      </c>
      <c r="U477" s="34" t="str">
        <f t="shared" si="46"/>
        <v>No Discount</v>
      </c>
      <c r="V477">
        <v>8.77</v>
      </c>
      <c r="W477" s="29">
        <f t="shared" si="47"/>
        <v>0.100804597701149</v>
      </c>
      <c r="X477">
        <v>5.58</v>
      </c>
      <c r="Y477" t="s">
        <v>96</v>
      </c>
      <c r="Z477" s="34" t="str">
        <f t="shared" si="48"/>
        <v>Small</v>
      </c>
    </row>
    <row r="478" spans="1:26">
      <c r="A478" t="s">
        <v>1254</v>
      </c>
      <c r="B478" s="44">
        <v>44774</v>
      </c>
      <c r="C478" s="34">
        <f t="shared" si="43"/>
        <v>2022</v>
      </c>
      <c r="D478" s="34">
        <f t="shared" si="44"/>
        <v>8</v>
      </c>
      <c r="E478" s="34" t="str">
        <f t="shared" si="45"/>
        <v>August</v>
      </c>
      <c r="F478" s="44">
        <v>44780</v>
      </c>
      <c r="G478" t="s">
        <v>450</v>
      </c>
      <c r="H478" t="s">
        <v>451</v>
      </c>
      <c r="I478" t="s">
        <v>42</v>
      </c>
      <c r="J478" t="s">
        <v>43</v>
      </c>
      <c r="K478" t="s">
        <v>199</v>
      </c>
      <c r="L478" t="s">
        <v>396</v>
      </c>
      <c r="M478" t="s">
        <v>46</v>
      </c>
      <c r="N478" t="s">
        <v>66</v>
      </c>
      <c r="O478" t="s">
        <v>67</v>
      </c>
      <c r="P478" t="s">
        <v>68</v>
      </c>
      <c r="Q478" t="s">
        <v>69</v>
      </c>
      <c r="R478">
        <v>559.3</v>
      </c>
      <c r="S478">
        <v>1</v>
      </c>
      <c r="T478">
        <v>0.3</v>
      </c>
      <c r="U478" s="34" t="str">
        <f t="shared" si="46"/>
        <v>High</v>
      </c>
      <c r="V478">
        <v>112.55</v>
      </c>
      <c r="W478" s="29">
        <f t="shared" si="47"/>
        <v>0.201233684963347</v>
      </c>
      <c r="X478">
        <v>34.97</v>
      </c>
      <c r="Y478" t="s">
        <v>62</v>
      </c>
      <c r="Z478" s="34" t="str">
        <f t="shared" si="48"/>
        <v>Medium</v>
      </c>
    </row>
    <row r="479" spans="1:26">
      <c r="A479" t="s">
        <v>1255</v>
      </c>
      <c r="B479" s="44">
        <v>44048</v>
      </c>
      <c r="C479" s="34">
        <f t="shared" si="43"/>
        <v>2020</v>
      </c>
      <c r="D479" s="34">
        <f t="shared" si="44"/>
        <v>8</v>
      </c>
      <c r="E479" s="34" t="str">
        <f t="shared" si="45"/>
        <v>August</v>
      </c>
      <c r="F479" s="44">
        <v>44055</v>
      </c>
      <c r="G479" t="s">
        <v>988</v>
      </c>
      <c r="H479" t="s">
        <v>989</v>
      </c>
      <c r="I479" t="s">
        <v>29</v>
      </c>
      <c r="J479" t="s">
        <v>43</v>
      </c>
      <c r="K479" t="s">
        <v>297</v>
      </c>
      <c r="L479" t="s">
        <v>298</v>
      </c>
      <c r="M479" t="s">
        <v>46</v>
      </c>
      <c r="N479" t="s">
        <v>292</v>
      </c>
      <c r="O479" t="s">
        <v>35</v>
      </c>
      <c r="P479" t="s">
        <v>163</v>
      </c>
      <c r="Q479" t="s">
        <v>293</v>
      </c>
      <c r="R479">
        <v>3897</v>
      </c>
      <c r="S479">
        <v>3</v>
      </c>
      <c r="T479">
        <v>0</v>
      </c>
      <c r="U479" s="34" t="str">
        <f t="shared" si="46"/>
        <v>No Discount</v>
      </c>
      <c r="V479">
        <v>387.81</v>
      </c>
      <c r="W479" s="29">
        <f t="shared" si="47"/>
        <v>0.0995150115473441</v>
      </c>
      <c r="X479">
        <v>6.3</v>
      </c>
      <c r="Y479" t="s">
        <v>62</v>
      </c>
      <c r="Z479" s="34" t="str">
        <f t="shared" si="48"/>
        <v>Large</v>
      </c>
    </row>
    <row r="480" spans="1:26">
      <c r="A480" t="s">
        <v>1256</v>
      </c>
      <c r="B480" s="44">
        <v>44453</v>
      </c>
      <c r="C480" s="34">
        <f t="shared" si="43"/>
        <v>2021</v>
      </c>
      <c r="D480" s="34">
        <f t="shared" si="44"/>
        <v>9</v>
      </c>
      <c r="E480" s="34" t="str">
        <f t="shared" si="45"/>
        <v>September</v>
      </c>
      <c r="F480" s="44">
        <v>44458</v>
      </c>
      <c r="G480" t="s">
        <v>1257</v>
      </c>
      <c r="H480" t="s">
        <v>1258</v>
      </c>
      <c r="I480" t="s">
        <v>42</v>
      </c>
      <c r="J480" t="s">
        <v>30</v>
      </c>
      <c r="K480" t="s">
        <v>92</v>
      </c>
      <c r="L480" t="s">
        <v>93</v>
      </c>
      <c r="M480" t="s">
        <v>76</v>
      </c>
      <c r="N480" t="s">
        <v>148</v>
      </c>
      <c r="O480" t="s">
        <v>48</v>
      </c>
      <c r="P480" t="s">
        <v>60</v>
      </c>
      <c r="Q480" t="s">
        <v>149</v>
      </c>
      <c r="R480">
        <v>99</v>
      </c>
      <c r="S480">
        <v>2</v>
      </c>
      <c r="T480">
        <v>0.1</v>
      </c>
      <c r="U480" s="34" t="str">
        <f t="shared" si="46"/>
        <v>Low</v>
      </c>
      <c r="V480">
        <v>20.93</v>
      </c>
      <c r="W480" s="29">
        <f t="shared" si="47"/>
        <v>0.211414141414141</v>
      </c>
      <c r="X480">
        <v>12.73</v>
      </c>
      <c r="Y480" t="s">
        <v>121</v>
      </c>
      <c r="Z480" s="34" t="str">
        <f t="shared" si="48"/>
        <v>Small</v>
      </c>
    </row>
    <row r="481" spans="1:26">
      <c r="A481" t="s">
        <v>1259</v>
      </c>
      <c r="B481" s="44">
        <v>45221</v>
      </c>
      <c r="C481" s="34">
        <f t="shared" si="43"/>
        <v>2023</v>
      </c>
      <c r="D481" s="34">
        <f t="shared" si="44"/>
        <v>10</v>
      </c>
      <c r="E481" s="34" t="str">
        <f t="shared" si="45"/>
        <v>October</v>
      </c>
      <c r="F481" s="44">
        <v>45224</v>
      </c>
      <c r="G481" t="s">
        <v>530</v>
      </c>
      <c r="H481" t="s">
        <v>531</v>
      </c>
      <c r="I481" t="s">
        <v>55</v>
      </c>
      <c r="J481" t="s">
        <v>43</v>
      </c>
      <c r="K481" t="s">
        <v>187</v>
      </c>
      <c r="L481" t="s">
        <v>532</v>
      </c>
      <c r="M481" t="s">
        <v>33</v>
      </c>
      <c r="N481" t="s">
        <v>94</v>
      </c>
      <c r="O481" t="s">
        <v>35</v>
      </c>
      <c r="P481" t="s">
        <v>36</v>
      </c>
      <c r="Q481" t="s">
        <v>95</v>
      </c>
      <c r="R481">
        <v>3220.5</v>
      </c>
      <c r="S481">
        <v>2</v>
      </c>
      <c r="T481">
        <v>0.05</v>
      </c>
      <c r="U481" s="34" t="str">
        <f t="shared" si="46"/>
        <v>Low</v>
      </c>
      <c r="V481">
        <v>-269.16</v>
      </c>
      <c r="W481" s="29">
        <f t="shared" si="47"/>
        <v>-0.0835770843036796</v>
      </c>
      <c r="X481">
        <v>38.4</v>
      </c>
      <c r="Y481" t="s">
        <v>121</v>
      </c>
      <c r="Z481" s="34" t="str">
        <f t="shared" si="48"/>
        <v>Large</v>
      </c>
    </row>
    <row r="482" spans="1:26">
      <c r="A482" t="s">
        <v>1260</v>
      </c>
      <c r="B482" s="44">
        <v>44781</v>
      </c>
      <c r="C482" s="34">
        <f t="shared" si="43"/>
        <v>2022</v>
      </c>
      <c r="D482" s="34">
        <f t="shared" si="44"/>
        <v>8</v>
      </c>
      <c r="E482" s="34" t="str">
        <f t="shared" si="45"/>
        <v>August</v>
      </c>
      <c r="F482" s="44">
        <v>44782</v>
      </c>
      <c r="G482" t="s">
        <v>151</v>
      </c>
      <c r="H482" t="s">
        <v>152</v>
      </c>
      <c r="I482" t="s">
        <v>29</v>
      </c>
      <c r="J482" t="s">
        <v>43</v>
      </c>
      <c r="K482" t="s">
        <v>153</v>
      </c>
      <c r="L482" t="s">
        <v>154</v>
      </c>
      <c r="M482" t="s">
        <v>58</v>
      </c>
      <c r="N482" t="s">
        <v>872</v>
      </c>
      <c r="O482" t="s">
        <v>35</v>
      </c>
      <c r="P482" t="s">
        <v>163</v>
      </c>
      <c r="Q482" t="s">
        <v>873</v>
      </c>
      <c r="R482">
        <v>1499</v>
      </c>
      <c r="S482">
        <v>1</v>
      </c>
      <c r="T482">
        <v>0</v>
      </c>
      <c r="U482" s="34" t="str">
        <f t="shared" si="46"/>
        <v>No Discount</v>
      </c>
      <c r="V482">
        <v>361.45</v>
      </c>
      <c r="W482" s="29">
        <f t="shared" si="47"/>
        <v>0.241127418278853</v>
      </c>
      <c r="X482">
        <v>44.34</v>
      </c>
      <c r="Y482" t="s">
        <v>70</v>
      </c>
      <c r="Z482" s="34" t="str">
        <f t="shared" si="48"/>
        <v>Medium</v>
      </c>
    </row>
    <row r="483" spans="1:26">
      <c r="A483" t="s">
        <v>1261</v>
      </c>
      <c r="B483" s="44">
        <v>44539</v>
      </c>
      <c r="C483" s="34">
        <f t="shared" si="43"/>
        <v>2021</v>
      </c>
      <c r="D483" s="34">
        <f t="shared" si="44"/>
        <v>12</v>
      </c>
      <c r="E483" s="34" t="str">
        <f t="shared" si="45"/>
        <v>December</v>
      </c>
      <c r="F483" s="44">
        <v>44540</v>
      </c>
      <c r="G483" t="s">
        <v>1196</v>
      </c>
      <c r="H483" t="s">
        <v>1197</v>
      </c>
      <c r="I483" t="s">
        <v>42</v>
      </c>
      <c r="J483" t="s">
        <v>43</v>
      </c>
      <c r="K483" t="s">
        <v>153</v>
      </c>
      <c r="L483" t="s">
        <v>207</v>
      </c>
      <c r="M483" t="s">
        <v>58</v>
      </c>
      <c r="N483" t="s">
        <v>315</v>
      </c>
      <c r="O483" t="s">
        <v>67</v>
      </c>
      <c r="P483" t="s">
        <v>252</v>
      </c>
      <c r="Q483" t="s">
        <v>316</v>
      </c>
      <c r="R483">
        <v>2716</v>
      </c>
      <c r="S483">
        <v>4</v>
      </c>
      <c r="T483">
        <v>0</v>
      </c>
      <c r="U483" s="34" t="str">
        <f t="shared" si="46"/>
        <v>No Discount</v>
      </c>
      <c r="V483">
        <v>258.12</v>
      </c>
      <c r="W483" s="29">
        <f t="shared" si="47"/>
        <v>0.0950368188512518</v>
      </c>
      <c r="X483">
        <v>44.94</v>
      </c>
      <c r="Y483" t="s">
        <v>51</v>
      </c>
      <c r="Z483" s="34" t="str">
        <f t="shared" si="48"/>
        <v>Large</v>
      </c>
    </row>
    <row r="484" spans="1:26">
      <c r="A484" t="s">
        <v>1262</v>
      </c>
      <c r="B484" s="44">
        <v>44730</v>
      </c>
      <c r="C484" s="34">
        <f t="shared" si="43"/>
        <v>2022</v>
      </c>
      <c r="D484" s="34">
        <f t="shared" si="44"/>
        <v>6</v>
      </c>
      <c r="E484" s="34" t="str">
        <f t="shared" si="45"/>
        <v>June</v>
      </c>
      <c r="F484" s="44">
        <v>44737</v>
      </c>
      <c r="G484" t="s">
        <v>436</v>
      </c>
      <c r="H484" t="s">
        <v>437</v>
      </c>
      <c r="I484" t="s">
        <v>55</v>
      </c>
      <c r="J484" t="s">
        <v>43</v>
      </c>
      <c r="K484" t="s">
        <v>438</v>
      </c>
      <c r="L484" t="s">
        <v>439</v>
      </c>
      <c r="M484" t="s">
        <v>76</v>
      </c>
      <c r="N484" t="s">
        <v>357</v>
      </c>
      <c r="O484" t="s">
        <v>48</v>
      </c>
      <c r="P484" t="s">
        <v>49</v>
      </c>
      <c r="Q484" t="s">
        <v>358</v>
      </c>
      <c r="R484">
        <v>258.75</v>
      </c>
      <c r="S484">
        <v>5</v>
      </c>
      <c r="T484">
        <v>0.25</v>
      </c>
      <c r="U484" s="34" t="str">
        <f t="shared" si="46"/>
        <v>High</v>
      </c>
      <c r="V484">
        <v>-30.21</v>
      </c>
      <c r="W484" s="29">
        <f t="shared" si="47"/>
        <v>-0.116753623188406</v>
      </c>
      <c r="X484">
        <v>31.71</v>
      </c>
      <c r="Y484" t="s">
        <v>38</v>
      </c>
      <c r="Z484" s="34" t="str">
        <f t="shared" si="48"/>
        <v>Small</v>
      </c>
    </row>
    <row r="485" spans="1:26">
      <c r="A485" t="s">
        <v>1263</v>
      </c>
      <c r="B485" s="44">
        <v>45574</v>
      </c>
      <c r="C485" s="34">
        <f t="shared" si="43"/>
        <v>2024</v>
      </c>
      <c r="D485" s="34">
        <f t="shared" si="44"/>
        <v>10</v>
      </c>
      <c r="E485" s="34" t="str">
        <f t="shared" si="45"/>
        <v>October</v>
      </c>
      <c r="F485" s="44">
        <v>45581</v>
      </c>
      <c r="G485" t="s">
        <v>466</v>
      </c>
      <c r="H485" t="s">
        <v>467</v>
      </c>
      <c r="I485" t="s">
        <v>42</v>
      </c>
      <c r="J485" t="s">
        <v>43</v>
      </c>
      <c r="K485" t="s">
        <v>273</v>
      </c>
      <c r="L485" t="s">
        <v>468</v>
      </c>
      <c r="M485" t="s">
        <v>46</v>
      </c>
      <c r="N485" t="s">
        <v>77</v>
      </c>
      <c r="O485" t="s">
        <v>35</v>
      </c>
      <c r="P485" t="s">
        <v>78</v>
      </c>
      <c r="Q485" t="s">
        <v>79</v>
      </c>
      <c r="R485">
        <v>1395</v>
      </c>
      <c r="S485">
        <v>1</v>
      </c>
      <c r="T485">
        <v>0</v>
      </c>
      <c r="U485" s="34" t="str">
        <f t="shared" si="46"/>
        <v>No Discount</v>
      </c>
      <c r="V485">
        <v>266</v>
      </c>
      <c r="W485" s="29">
        <f t="shared" si="47"/>
        <v>0.190681003584229</v>
      </c>
      <c r="X485">
        <v>43.34</v>
      </c>
      <c r="Y485" t="s">
        <v>70</v>
      </c>
      <c r="Z485" s="34" t="str">
        <f t="shared" si="48"/>
        <v>Medium</v>
      </c>
    </row>
    <row r="486" spans="1:26">
      <c r="A486" t="s">
        <v>1264</v>
      </c>
      <c r="B486" s="44">
        <v>45143</v>
      </c>
      <c r="C486" s="34">
        <f t="shared" si="43"/>
        <v>2023</v>
      </c>
      <c r="D486" s="34">
        <f t="shared" si="44"/>
        <v>8</v>
      </c>
      <c r="E486" s="34" t="str">
        <f t="shared" si="45"/>
        <v>August</v>
      </c>
      <c r="F486" s="44">
        <v>45149</v>
      </c>
      <c r="G486" t="s">
        <v>1265</v>
      </c>
      <c r="H486" t="s">
        <v>1266</v>
      </c>
      <c r="I486" t="s">
        <v>42</v>
      </c>
      <c r="J486" t="s">
        <v>43</v>
      </c>
      <c r="K486" t="s">
        <v>273</v>
      </c>
      <c r="L486" t="s">
        <v>468</v>
      </c>
      <c r="M486" t="s">
        <v>46</v>
      </c>
      <c r="N486" t="s">
        <v>339</v>
      </c>
      <c r="O486" t="s">
        <v>35</v>
      </c>
      <c r="P486" t="s">
        <v>78</v>
      </c>
      <c r="Q486" t="s">
        <v>340</v>
      </c>
      <c r="R486">
        <v>194.65</v>
      </c>
      <c r="S486">
        <v>1</v>
      </c>
      <c r="T486">
        <v>0.15</v>
      </c>
      <c r="U486" s="34" t="str">
        <f t="shared" si="46"/>
        <v>Medium</v>
      </c>
      <c r="V486">
        <v>-22.91</v>
      </c>
      <c r="W486" s="29">
        <f t="shared" si="47"/>
        <v>-0.117698433085024</v>
      </c>
      <c r="X486">
        <v>24.46</v>
      </c>
      <c r="Y486" t="s">
        <v>96</v>
      </c>
      <c r="Z486" s="34" t="str">
        <f t="shared" si="48"/>
        <v>Small</v>
      </c>
    </row>
    <row r="487" spans="1:26">
      <c r="A487" t="s">
        <v>1267</v>
      </c>
      <c r="B487" s="44">
        <v>44323</v>
      </c>
      <c r="C487" s="34">
        <f t="shared" si="43"/>
        <v>2021</v>
      </c>
      <c r="D487" s="34">
        <f t="shared" si="44"/>
        <v>5</v>
      </c>
      <c r="E487" s="34" t="str">
        <f t="shared" si="45"/>
        <v>May</v>
      </c>
      <c r="F487" s="44">
        <v>44328</v>
      </c>
      <c r="G487" t="s">
        <v>1268</v>
      </c>
      <c r="H487" t="s">
        <v>518</v>
      </c>
      <c r="I487" t="s">
        <v>29</v>
      </c>
      <c r="J487" t="s">
        <v>43</v>
      </c>
      <c r="K487" t="s">
        <v>297</v>
      </c>
      <c r="L487" t="s">
        <v>887</v>
      </c>
      <c r="M487" t="s">
        <v>46</v>
      </c>
      <c r="N487" t="s">
        <v>670</v>
      </c>
      <c r="O487" t="s">
        <v>48</v>
      </c>
      <c r="P487" t="s">
        <v>49</v>
      </c>
      <c r="Q487" t="s">
        <v>671</v>
      </c>
      <c r="R487">
        <v>156.8</v>
      </c>
      <c r="S487">
        <v>2</v>
      </c>
      <c r="T487">
        <v>0.2</v>
      </c>
      <c r="U487" s="34" t="str">
        <f t="shared" si="46"/>
        <v>Medium</v>
      </c>
      <c r="V487">
        <v>-22.44</v>
      </c>
      <c r="W487" s="29">
        <f t="shared" si="47"/>
        <v>-0.143112244897959</v>
      </c>
      <c r="X487">
        <v>48.67</v>
      </c>
      <c r="Y487" t="s">
        <v>62</v>
      </c>
      <c r="Z487" s="34" t="str">
        <f t="shared" si="48"/>
        <v>Small</v>
      </c>
    </row>
    <row r="488" spans="1:26">
      <c r="A488" t="s">
        <v>1269</v>
      </c>
      <c r="B488" s="44">
        <v>45603</v>
      </c>
      <c r="C488" s="34">
        <f t="shared" si="43"/>
        <v>2024</v>
      </c>
      <c r="D488" s="34">
        <f t="shared" si="44"/>
        <v>11</v>
      </c>
      <c r="E488" s="34" t="str">
        <f t="shared" si="45"/>
        <v>November</v>
      </c>
      <c r="F488" s="44">
        <v>45604</v>
      </c>
      <c r="G488" t="s">
        <v>1270</v>
      </c>
      <c r="H488" t="s">
        <v>1271</v>
      </c>
      <c r="I488" t="s">
        <v>55</v>
      </c>
      <c r="J488" t="s">
        <v>43</v>
      </c>
      <c r="K488" t="s">
        <v>116</v>
      </c>
      <c r="L488" t="s">
        <v>1272</v>
      </c>
      <c r="M488" t="s">
        <v>33</v>
      </c>
      <c r="N488" t="s">
        <v>339</v>
      </c>
      <c r="O488" t="s">
        <v>35</v>
      </c>
      <c r="P488" t="s">
        <v>78</v>
      </c>
      <c r="Q488" t="s">
        <v>340</v>
      </c>
      <c r="R488">
        <v>435.1</v>
      </c>
      <c r="S488">
        <v>2</v>
      </c>
      <c r="T488">
        <v>0.05</v>
      </c>
      <c r="U488" s="34" t="str">
        <f t="shared" si="46"/>
        <v>Low</v>
      </c>
      <c r="V488">
        <v>-34.2</v>
      </c>
      <c r="W488" s="29">
        <f t="shared" si="47"/>
        <v>-0.0786026200873362</v>
      </c>
      <c r="X488">
        <v>41.48</v>
      </c>
      <c r="Y488" t="s">
        <v>38</v>
      </c>
      <c r="Z488" s="34" t="str">
        <f t="shared" si="48"/>
        <v>Small</v>
      </c>
    </row>
    <row r="489" spans="1:26">
      <c r="A489" t="s">
        <v>1273</v>
      </c>
      <c r="B489" s="44">
        <v>44034</v>
      </c>
      <c r="C489" s="34">
        <f t="shared" si="43"/>
        <v>2020</v>
      </c>
      <c r="D489" s="34">
        <f t="shared" si="44"/>
        <v>7</v>
      </c>
      <c r="E489" s="34" t="str">
        <f t="shared" si="45"/>
        <v>July</v>
      </c>
      <c r="F489" s="44">
        <v>44037</v>
      </c>
      <c r="G489" t="s">
        <v>1274</v>
      </c>
      <c r="H489" t="s">
        <v>1275</v>
      </c>
      <c r="I489" t="s">
        <v>42</v>
      </c>
      <c r="J489" t="s">
        <v>30</v>
      </c>
      <c r="K489" t="s">
        <v>180</v>
      </c>
      <c r="L489" t="s">
        <v>821</v>
      </c>
      <c r="M489" t="s">
        <v>46</v>
      </c>
      <c r="N489" t="s">
        <v>1074</v>
      </c>
      <c r="O489" t="s">
        <v>35</v>
      </c>
      <c r="P489" t="s">
        <v>111</v>
      </c>
      <c r="Q489" t="s">
        <v>1075</v>
      </c>
      <c r="R489">
        <v>867</v>
      </c>
      <c r="S489">
        <v>3</v>
      </c>
      <c r="T489">
        <v>0</v>
      </c>
      <c r="U489" s="34" t="str">
        <f t="shared" si="46"/>
        <v>No Discount</v>
      </c>
      <c r="V489">
        <v>213.65</v>
      </c>
      <c r="W489" s="29">
        <f t="shared" si="47"/>
        <v>0.246424452133795</v>
      </c>
      <c r="X489">
        <v>10.33</v>
      </c>
      <c r="Y489" t="s">
        <v>62</v>
      </c>
      <c r="Z489" s="34" t="str">
        <f t="shared" si="48"/>
        <v>Medium</v>
      </c>
    </row>
    <row r="490" spans="1:26">
      <c r="A490" t="s">
        <v>1276</v>
      </c>
      <c r="B490" s="44">
        <v>43904</v>
      </c>
      <c r="C490" s="34">
        <f t="shared" si="43"/>
        <v>2020</v>
      </c>
      <c r="D490" s="34">
        <f t="shared" si="44"/>
        <v>3</v>
      </c>
      <c r="E490" s="34" t="str">
        <f t="shared" si="45"/>
        <v>March</v>
      </c>
      <c r="F490" s="44">
        <v>43909</v>
      </c>
      <c r="G490" t="s">
        <v>527</v>
      </c>
      <c r="H490" t="s">
        <v>528</v>
      </c>
      <c r="I490" t="s">
        <v>55</v>
      </c>
      <c r="J490" t="s">
        <v>30</v>
      </c>
      <c r="K490" t="s">
        <v>273</v>
      </c>
      <c r="L490" t="s">
        <v>468</v>
      </c>
      <c r="M490" t="s">
        <v>46</v>
      </c>
      <c r="N490" t="s">
        <v>441</v>
      </c>
      <c r="O490" t="s">
        <v>67</v>
      </c>
      <c r="P490" t="s">
        <v>68</v>
      </c>
      <c r="Q490" t="s">
        <v>442</v>
      </c>
      <c r="R490">
        <v>2562.15</v>
      </c>
      <c r="S490">
        <v>3</v>
      </c>
      <c r="T490">
        <v>0.05</v>
      </c>
      <c r="U490" s="34" t="str">
        <f t="shared" si="46"/>
        <v>Low</v>
      </c>
      <c r="V490">
        <v>458.8</v>
      </c>
      <c r="W490" s="29">
        <f t="shared" si="47"/>
        <v>0.179068360556564</v>
      </c>
      <c r="X490">
        <v>7.96</v>
      </c>
      <c r="Y490" t="s">
        <v>96</v>
      </c>
      <c r="Z490" s="34" t="str">
        <f t="shared" si="48"/>
        <v>Large</v>
      </c>
    </row>
    <row r="491" spans="1:26">
      <c r="A491" t="s">
        <v>1277</v>
      </c>
      <c r="B491" s="44">
        <v>44957</v>
      </c>
      <c r="C491" s="34">
        <f t="shared" si="43"/>
        <v>2023</v>
      </c>
      <c r="D491" s="34">
        <f t="shared" si="44"/>
        <v>1</v>
      </c>
      <c r="E491" s="34" t="str">
        <f t="shared" si="45"/>
        <v>January</v>
      </c>
      <c r="F491" s="44">
        <v>44960</v>
      </c>
      <c r="G491" t="s">
        <v>924</v>
      </c>
      <c r="H491" t="s">
        <v>925</v>
      </c>
      <c r="I491" t="s">
        <v>42</v>
      </c>
      <c r="J491" t="s">
        <v>43</v>
      </c>
      <c r="K491" t="s">
        <v>438</v>
      </c>
      <c r="L491" t="s">
        <v>439</v>
      </c>
      <c r="M491" t="s">
        <v>76</v>
      </c>
      <c r="N491" t="s">
        <v>292</v>
      </c>
      <c r="O491" t="s">
        <v>35</v>
      </c>
      <c r="P491" t="s">
        <v>163</v>
      </c>
      <c r="Q491" t="s">
        <v>293</v>
      </c>
      <c r="R491">
        <v>1299</v>
      </c>
      <c r="S491">
        <v>1</v>
      </c>
      <c r="T491">
        <v>0</v>
      </c>
      <c r="U491" s="34" t="str">
        <f t="shared" si="46"/>
        <v>No Discount</v>
      </c>
      <c r="V491">
        <v>-75.71</v>
      </c>
      <c r="W491" s="29">
        <f t="shared" si="47"/>
        <v>-0.0582832948421863</v>
      </c>
      <c r="X491">
        <v>35.86</v>
      </c>
      <c r="Y491" t="s">
        <v>38</v>
      </c>
      <c r="Z491" s="34" t="str">
        <f t="shared" si="48"/>
        <v>Medium</v>
      </c>
    </row>
    <row r="492" spans="1:26">
      <c r="A492" t="s">
        <v>1278</v>
      </c>
      <c r="B492" s="44">
        <v>44783</v>
      </c>
      <c r="C492" s="34">
        <f t="shared" si="43"/>
        <v>2022</v>
      </c>
      <c r="D492" s="34">
        <f t="shared" si="44"/>
        <v>8</v>
      </c>
      <c r="E492" s="34" t="str">
        <f t="shared" si="45"/>
        <v>August</v>
      </c>
      <c r="F492" s="44">
        <v>44790</v>
      </c>
      <c r="G492" t="s">
        <v>649</v>
      </c>
      <c r="H492" t="s">
        <v>650</v>
      </c>
      <c r="I492" t="s">
        <v>42</v>
      </c>
      <c r="J492" t="s">
        <v>30</v>
      </c>
      <c r="K492" t="s">
        <v>74</v>
      </c>
      <c r="L492" t="s">
        <v>75</v>
      </c>
      <c r="M492" t="s">
        <v>76</v>
      </c>
      <c r="N492" t="s">
        <v>141</v>
      </c>
      <c r="O492" t="s">
        <v>35</v>
      </c>
      <c r="P492" t="s">
        <v>111</v>
      </c>
      <c r="Q492" t="s">
        <v>142</v>
      </c>
      <c r="R492">
        <v>126.65</v>
      </c>
      <c r="S492">
        <v>1</v>
      </c>
      <c r="T492">
        <v>0.15</v>
      </c>
      <c r="U492" s="34" t="str">
        <f t="shared" si="46"/>
        <v>Medium</v>
      </c>
      <c r="V492">
        <v>12.04</v>
      </c>
      <c r="W492" s="29">
        <f t="shared" si="47"/>
        <v>0.0950651401500197</v>
      </c>
      <c r="X492">
        <v>35.87</v>
      </c>
      <c r="Y492" t="s">
        <v>38</v>
      </c>
      <c r="Z492" s="34" t="str">
        <f t="shared" si="48"/>
        <v>Small</v>
      </c>
    </row>
    <row r="493" spans="1:26">
      <c r="A493" t="s">
        <v>1279</v>
      </c>
      <c r="B493" s="44">
        <v>44032</v>
      </c>
      <c r="C493" s="34">
        <f t="shared" si="43"/>
        <v>2020</v>
      </c>
      <c r="D493" s="34">
        <f t="shared" si="44"/>
        <v>7</v>
      </c>
      <c r="E493" s="34" t="str">
        <f t="shared" si="45"/>
        <v>July</v>
      </c>
      <c r="F493" s="44">
        <v>44035</v>
      </c>
      <c r="G493" t="s">
        <v>289</v>
      </c>
      <c r="H493" t="s">
        <v>290</v>
      </c>
      <c r="I493" t="s">
        <v>29</v>
      </c>
      <c r="J493" t="s">
        <v>43</v>
      </c>
      <c r="K493" t="s">
        <v>180</v>
      </c>
      <c r="L493" t="s">
        <v>291</v>
      </c>
      <c r="M493" t="s">
        <v>46</v>
      </c>
      <c r="N493" t="s">
        <v>77</v>
      </c>
      <c r="O493" t="s">
        <v>35</v>
      </c>
      <c r="P493" t="s">
        <v>78</v>
      </c>
      <c r="Q493" t="s">
        <v>79</v>
      </c>
      <c r="R493">
        <v>1953</v>
      </c>
      <c r="S493">
        <v>2</v>
      </c>
      <c r="T493">
        <v>0.3</v>
      </c>
      <c r="U493" s="34" t="str">
        <f t="shared" si="46"/>
        <v>High</v>
      </c>
      <c r="V493">
        <v>222.78</v>
      </c>
      <c r="W493" s="29">
        <f t="shared" si="47"/>
        <v>0.114070660522273</v>
      </c>
      <c r="X493">
        <v>38.61</v>
      </c>
      <c r="Y493" t="s">
        <v>121</v>
      </c>
      <c r="Z493" s="34" t="str">
        <f t="shared" si="48"/>
        <v>Medium</v>
      </c>
    </row>
    <row r="494" spans="1:26">
      <c r="A494" t="s">
        <v>1280</v>
      </c>
      <c r="B494" s="44">
        <v>44426</v>
      </c>
      <c r="C494" s="34">
        <f t="shared" si="43"/>
        <v>2021</v>
      </c>
      <c r="D494" s="34">
        <f t="shared" si="44"/>
        <v>8</v>
      </c>
      <c r="E494" s="34" t="str">
        <f t="shared" si="45"/>
        <v>August</v>
      </c>
      <c r="F494" s="44">
        <v>44430</v>
      </c>
      <c r="G494" t="s">
        <v>819</v>
      </c>
      <c r="H494" t="s">
        <v>820</v>
      </c>
      <c r="I494" t="s">
        <v>29</v>
      </c>
      <c r="J494" t="s">
        <v>43</v>
      </c>
      <c r="K494" t="s">
        <v>180</v>
      </c>
      <c r="L494" t="s">
        <v>821</v>
      </c>
      <c r="M494" t="s">
        <v>46</v>
      </c>
      <c r="N494" t="s">
        <v>189</v>
      </c>
      <c r="O494" t="s">
        <v>48</v>
      </c>
      <c r="P494" t="s">
        <v>190</v>
      </c>
      <c r="Q494" t="s">
        <v>191</v>
      </c>
      <c r="R494">
        <v>59.5</v>
      </c>
      <c r="S494">
        <v>2</v>
      </c>
      <c r="T494">
        <v>0.15</v>
      </c>
      <c r="U494" s="34" t="str">
        <f t="shared" si="46"/>
        <v>Medium</v>
      </c>
      <c r="V494">
        <v>6.83</v>
      </c>
      <c r="W494" s="29">
        <f t="shared" si="47"/>
        <v>0.114789915966387</v>
      </c>
      <c r="X494">
        <v>6.98</v>
      </c>
      <c r="Y494" t="s">
        <v>121</v>
      </c>
      <c r="Z494" s="34" t="str">
        <f t="shared" si="48"/>
        <v>Small</v>
      </c>
    </row>
    <row r="495" spans="1:26">
      <c r="A495" t="s">
        <v>1281</v>
      </c>
      <c r="B495" s="44">
        <v>44565</v>
      </c>
      <c r="C495" s="34">
        <f t="shared" si="43"/>
        <v>2022</v>
      </c>
      <c r="D495" s="34">
        <f t="shared" si="44"/>
        <v>1</v>
      </c>
      <c r="E495" s="34" t="str">
        <f t="shared" si="45"/>
        <v>January</v>
      </c>
      <c r="F495" s="44">
        <v>44572</v>
      </c>
      <c r="G495" t="s">
        <v>561</v>
      </c>
      <c r="H495" t="s">
        <v>562</v>
      </c>
      <c r="I495" t="s">
        <v>29</v>
      </c>
      <c r="J495" t="s">
        <v>30</v>
      </c>
      <c r="K495" t="s">
        <v>551</v>
      </c>
      <c r="L495" t="s">
        <v>552</v>
      </c>
      <c r="M495" t="s">
        <v>33</v>
      </c>
      <c r="N495" t="s">
        <v>315</v>
      </c>
      <c r="O495" t="s">
        <v>67</v>
      </c>
      <c r="P495" t="s">
        <v>252</v>
      </c>
      <c r="Q495" t="s">
        <v>316</v>
      </c>
      <c r="R495">
        <v>2716</v>
      </c>
      <c r="S495">
        <v>4</v>
      </c>
      <c r="T495">
        <v>0</v>
      </c>
      <c r="U495" s="34" t="str">
        <f t="shared" si="46"/>
        <v>No Discount</v>
      </c>
      <c r="V495">
        <v>316.1</v>
      </c>
      <c r="W495" s="29">
        <f t="shared" si="47"/>
        <v>0.116384388807069</v>
      </c>
      <c r="X495">
        <v>32.72</v>
      </c>
      <c r="Y495" t="s">
        <v>121</v>
      </c>
      <c r="Z495" s="34" t="str">
        <f t="shared" si="48"/>
        <v>Large</v>
      </c>
    </row>
    <row r="496" spans="1:26">
      <c r="A496" t="s">
        <v>1282</v>
      </c>
      <c r="B496" s="44">
        <v>45380</v>
      </c>
      <c r="C496" s="34">
        <f t="shared" si="43"/>
        <v>2024</v>
      </c>
      <c r="D496" s="34">
        <f t="shared" si="44"/>
        <v>3</v>
      </c>
      <c r="E496" s="34" t="str">
        <f t="shared" si="45"/>
        <v>March</v>
      </c>
      <c r="F496" s="44">
        <v>45383</v>
      </c>
      <c r="G496" t="s">
        <v>733</v>
      </c>
      <c r="H496" t="s">
        <v>734</v>
      </c>
      <c r="I496" t="s">
        <v>29</v>
      </c>
      <c r="J496" t="s">
        <v>30</v>
      </c>
      <c r="K496" t="s">
        <v>645</v>
      </c>
      <c r="L496" t="s">
        <v>311</v>
      </c>
      <c r="M496" t="s">
        <v>58</v>
      </c>
      <c r="N496" t="s">
        <v>315</v>
      </c>
      <c r="O496" t="s">
        <v>67</v>
      </c>
      <c r="P496" t="s">
        <v>252</v>
      </c>
      <c r="Q496" t="s">
        <v>316</v>
      </c>
      <c r="R496">
        <v>950.6</v>
      </c>
      <c r="S496">
        <v>2</v>
      </c>
      <c r="T496">
        <v>0.3</v>
      </c>
      <c r="U496" s="34" t="str">
        <f t="shared" si="46"/>
        <v>High</v>
      </c>
      <c r="V496">
        <v>138.37</v>
      </c>
      <c r="W496" s="29">
        <f t="shared" si="47"/>
        <v>0.145560698506207</v>
      </c>
      <c r="X496">
        <v>14.08</v>
      </c>
      <c r="Y496" t="s">
        <v>121</v>
      </c>
      <c r="Z496" s="34" t="str">
        <f t="shared" si="48"/>
        <v>Medium</v>
      </c>
    </row>
    <row r="497" spans="1:26">
      <c r="A497" t="s">
        <v>1283</v>
      </c>
      <c r="B497" s="44">
        <v>45116</v>
      </c>
      <c r="C497" s="34">
        <f t="shared" si="43"/>
        <v>2023</v>
      </c>
      <c r="D497" s="34">
        <f t="shared" si="44"/>
        <v>7</v>
      </c>
      <c r="E497" s="34" t="str">
        <f t="shared" si="45"/>
        <v>July</v>
      </c>
      <c r="F497" s="44">
        <v>45121</v>
      </c>
      <c r="G497" t="s">
        <v>775</v>
      </c>
      <c r="H497" t="s">
        <v>776</v>
      </c>
      <c r="I497" t="s">
        <v>55</v>
      </c>
      <c r="J497" t="s">
        <v>43</v>
      </c>
      <c r="K497" t="s">
        <v>180</v>
      </c>
      <c r="L497" t="s">
        <v>181</v>
      </c>
      <c r="M497" t="s">
        <v>46</v>
      </c>
      <c r="N497" t="s">
        <v>415</v>
      </c>
      <c r="O497" t="s">
        <v>67</v>
      </c>
      <c r="P497" t="s">
        <v>252</v>
      </c>
      <c r="Q497" t="s">
        <v>416</v>
      </c>
      <c r="R497">
        <v>399</v>
      </c>
      <c r="S497">
        <v>1</v>
      </c>
      <c r="T497">
        <v>0</v>
      </c>
      <c r="U497" s="34" t="str">
        <f t="shared" si="46"/>
        <v>No Discount</v>
      </c>
      <c r="V497">
        <v>59.18</v>
      </c>
      <c r="W497" s="29">
        <f t="shared" si="47"/>
        <v>0.148320802005013</v>
      </c>
      <c r="X497">
        <v>42.12</v>
      </c>
      <c r="Y497" t="s">
        <v>96</v>
      </c>
      <c r="Z497" s="34" t="str">
        <f t="shared" si="48"/>
        <v>Small</v>
      </c>
    </row>
    <row r="498" spans="1:26">
      <c r="A498" t="s">
        <v>1284</v>
      </c>
      <c r="B498" s="44">
        <v>44651</v>
      </c>
      <c r="C498" s="34">
        <f t="shared" si="43"/>
        <v>2022</v>
      </c>
      <c r="D498" s="34">
        <f t="shared" si="44"/>
        <v>3</v>
      </c>
      <c r="E498" s="34" t="str">
        <f t="shared" si="45"/>
        <v>March</v>
      </c>
      <c r="F498" s="44">
        <v>44656</v>
      </c>
      <c r="G498" t="s">
        <v>1285</v>
      </c>
      <c r="H498" t="s">
        <v>1286</v>
      </c>
      <c r="I498" t="s">
        <v>29</v>
      </c>
      <c r="J498" t="s">
        <v>43</v>
      </c>
      <c r="K498" t="s">
        <v>302</v>
      </c>
      <c r="L498" t="s">
        <v>1287</v>
      </c>
      <c r="M498" t="s">
        <v>76</v>
      </c>
      <c r="N498" t="s">
        <v>292</v>
      </c>
      <c r="O498" t="s">
        <v>35</v>
      </c>
      <c r="P498" t="s">
        <v>163</v>
      </c>
      <c r="Q498" t="s">
        <v>293</v>
      </c>
      <c r="R498">
        <v>1299</v>
      </c>
      <c r="S498">
        <v>1</v>
      </c>
      <c r="T498">
        <v>0</v>
      </c>
      <c r="U498" s="34" t="str">
        <f t="shared" si="46"/>
        <v>No Discount</v>
      </c>
      <c r="V498">
        <v>316.33</v>
      </c>
      <c r="W498" s="29">
        <f t="shared" si="47"/>
        <v>0.243518090839107</v>
      </c>
      <c r="X498">
        <v>28.05</v>
      </c>
      <c r="Y498" t="s">
        <v>121</v>
      </c>
      <c r="Z498" s="34" t="str">
        <f t="shared" si="48"/>
        <v>Medium</v>
      </c>
    </row>
    <row r="499" spans="1:26">
      <c r="A499" t="s">
        <v>1288</v>
      </c>
      <c r="B499" s="44">
        <v>44998</v>
      </c>
      <c r="C499" s="34">
        <f t="shared" si="43"/>
        <v>2023</v>
      </c>
      <c r="D499" s="34">
        <f t="shared" si="44"/>
        <v>3</v>
      </c>
      <c r="E499" s="34" t="str">
        <f t="shared" si="45"/>
        <v>March</v>
      </c>
      <c r="F499" s="44">
        <v>45005</v>
      </c>
      <c r="G499" t="s">
        <v>530</v>
      </c>
      <c r="H499" t="s">
        <v>531</v>
      </c>
      <c r="I499" t="s">
        <v>55</v>
      </c>
      <c r="J499" t="s">
        <v>43</v>
      </c>
      <c r="K499" t="s">
        <v>187</v>
      </c>
      <c r="L499" t="s">
        <v>532</v>
      </c>
      <c r="M499" t="s">
        <v>33</v>
      </c>
      <c r="N499" t="s">
        <v>86</v>
      </c>
      <c r="O499" t="s">
        <v>67</v>
      </c>
      <c r="P499" t="s">
        <v>87</v>
      </c>
      <c r="Q499" t="s">
        <v>88</v>
      </c>
      <c r="R499">
        <v>117.6</v>
      </c>
      <c r="S499">
        <v>3</v>
      </c>
      <c r="T499">
        <v>0.2</v>
      </c>
      <c r="U499" s="34" t="str">
        <f t="shared" si="46"/>
        <v>Medium</v>
      </c>
      <c r="V499">
        <v>-17.07</v>
      </c>
      <c r="W499" s="29">
        <f t="shared" si="47"/>
        <v>-0.14515306122449</v>
      </c>
      <c r="X499">
        <v>37.3</v>
      </c>
      <c r="Y499" t="s">
        <v>137</v>
      </c>
      <c r="Z499" s="34" t="str">
        <f t="shared" si="48"/>
        <v>Small</v>
      </c>
    </row>
    <row r="500" spans="1:26">
      <c r="A500" t="s">
        <v>1289</v>
      </c>
      <c r="B500" s="44">
        <v>44635</v>
      </c>
      <c r="C500" s="34">
        <f t="shared" si="43"/>
        <v>2022</v>
      </c>
      <c r="D500" s="34">
        <f t="shared" si="44"/>
        <v>3</v>
      </c>
      <c r="E500" s="34" t="str">
        <f t="shared" si="45"/>
        <v>March</v>
      </c>
      <c r="F500" s="44">
        <v>44640</v>
      </c>
      <c r="G500" t="s">
        <v>570</v>
      </c>
      <c r="H500" t="s">
        <v>571</v>
      </c>
      <c r="I500" t="s">
        <v>42</v>
      </c>
      <c r="J500" t="s">
        <v>43</v>
      </c>
      <c r="K500" t="s">
        <v>284</v>
      </c>
      <c r="L500" t="s">
        <v>414</v>
      </c>
      <c r="M500" t="s">
        <v>76</v>
      </c>
      <c r="N500" t="s">
        <v>155</v>
      </c>
      <c r="O500" t="s">
        <v>67</v>
      </c>
      <c r="P500" t="s">
        <v>119</v>
      </c>
      <c r="Q500" t="s">
        <v>156</v>
      </c>
      <c r="R500">
        <v>1613.1</v>
      </c>
      <c r="S500">
        <v>2</v>
      </c>
      <c r="T500">
        <v>0.05</v>
      </c>
      <c r="U500" s="34" t="str">
        <f t="shared" si="46"/>
        <v>Low</v>
      </c>
      <c r="V500">
        <v>229.19</v>
      </c>
      <c r="W500" s="29">
        <f t="shared" si="47"/>
        <v>0.142080466183126</v>
      </c>
      <c r="X500">
        <v>42.57</v>
      </c>
      <c r="Y500" t="s">
        <v>96</v>
      </c>
      <c r="Z500" s="34" t="str">
        <f t="shared" si="48"/>
        <v>Medium</v>
      </c>
    </row>
    <row r="501" spans="1:26">
      <c r="A501" t="s">
        <v>1290</v>
      </c>
      <c r="B501" s="44">
        <v>44436</v>
      </c>
      <c r="C501" s="34">
        <f t="shared" si="43"/>
        <v>2021</v>
      </c>
      <c r="D501" s="34">
        <f t="shared" si="44"/>
        <v>8</v>
      </c>
      <c r="E501" s="34" t="str">
        <f t="shared" si="45"/>
        <v>August</v>
      </c>
      <c r="F501" s="44">
        <v>44439</v>
      </c>
      <c r="G501" t="s">
        <v>1100</v>
      </c>
      <c r="H501" t="s">
        <v>261</v>
      </c>
      <c r="I501" t="s">
        <v>42</v>
      </c>
      <c r="J501" t="s">
        <v>43</v>
      </c>
      <c r="K501" t="s">
        <v>175</v>
      </c>
      <c r="L501" t="s">
        <v>176</v>
      </c>
      <c r="M501" t="s">
        <v>46</v>
      </c>
      <c r="N501" t="s">
        <v>388</v>
      </c>
      <c r="O501" t="s">
        <v>48</v>
      </c>
      <c r="P501" t="s">
        <v>190</v>
      </c>
      <c r="Q501" t="s">
        <v>389</v>
      </c>
      <c r="R501">
        <v>284.8</v>
      </c>
      <c r="S501">
        <v>4</v>
      </c>
      <c r="T501">
        <v>0.2</v>
      </c>
      <c r="U501" s="34" t="str">
        <f t="shared" si="46"/>
        <v>Medium</v>
      </c>
      <c r="V501">
        <v>35.98</v>
      </c>
      <c r="W501" s="29">
        <f t="shared" si="47"/>
        <v>0.126334269662921</v>
      </c>
      <c r="X501">
        <v>22.47</v>
      </c>
      <c r="Y501" t="s">
        <v>121</v>
      </c>
      <c r="Z501" s="34" t="str">
        <f t="shared" si="48"/>
        <v>Small</v>
      </c>
    </row>
    <row r="502" spans="1:26">
      <c r="A502" t="s">
        <v>1291</v>
      </c>
      <c r="B502" s="44">
        <v>44021</v>
      </c>
      <c r="C502" s="34">
        <f t="shared" si="43"/>
        <v>2020</v>
      </c>
      <c r="D502" s="34">
        <f t="shared" si="44"/>
        <v>7</v>
      </c>
      <c r="E502" s="34" t="str">
        <f t="shared" si="45"/>
        <v>July</v>
      </c>
      <c r="F502" s="44">
        <v>44022</v>
      </c>
      <c r="G502" t="s">
        <v>503</v>
      </c>
      <c r="H502" t="s">
        <v>1152</v>
      </c>
      <c r="I502" t="s">
        <v>29</v>
      </c>
      <c r="J502" t="s">
        <v>43</v>
      </c>
      <c r="K502" t="s">
        <v>74</v>
      </c>
      <c r="L502" t="s">
        <v>75</v>
      </c>
      <c r="M502" t="s">
        <v>76</v>
      </c>
      <c r="N502" t="s">
        <v>375</v>
      </c>
      <c r="O502" t="s">
        <v>35</v>
      </c>
      <c r="P502" t="s">
        <v>163</v>
      </c>
      <c r="Q502" t="s">
        <v>376</v>
      </c>
      <c r="R502">
        <v>2206.6</v>
      </c>
      <c r="S502">
        <v>4</v>
      </c>
      <c r="T502">
        <v>0.15</v>
      </c>
      <c r="U502" s="34" t="str">
        <f t="shared" si="46"/>
        <v>Medium</v>
      </c>
      <c r="V502">
        <v>471.63</v>
      </c>
      <c r="W502" s="29">
        <f t="shared" si="47"/>
        <v>0.213736064533672</v>
      </c>
      <c r="X502">
        <v>46.07</v>
      </c>
      <c r="Y502" t="s">
        <v>38</v>
      </c>
      <c r="Z502" s="34" t="str">
        <f t="shared" si="48"/>
        <v>Large</v>
      </c>
    </row>
    <row r="503" spans="1:26">
      <c r="A503" t="s">
        <v>1292</v>
      </c>
      <c r="B503" s="44">
        <v>44739</v>
      </c>
      <c r="C503" s="34">
        <f t="shared" si="43"/>
        <v>2022</v>
      </c>
      <c r="D503" s="34">
        <f t="shared" si="44"/>
        <v>6</v>
      </c>
      <c r="E503" s="34" t="str">
        <f t="shared" si="45"/>
        <v>June</v>
      </c>
      <c r="F503" s="44">
        <v>44745</v>
      </c>
      <c r="G503" t="s">
        <v>724</v>
      </c>
      <c r="H503" t="s">
        <v>725</v>
      </c>
      <c r="I503" t="s">
        <v>55</v>
      </c>
      <c r="J503" t="s">
        <v>43</v>
      </c>
      <c r="K503" t="s">
        <v>602</v>
      </c>
      <c r="L503" t="s">
        <v>726</v>
      </c>
      <c r="M503" t="s">
        <v>46</v>
      </c>
      <c r="N503" t="s">
        <v>208</v>
      </c>
      <c r="O503" t="s">
        <v>48</v>
      </c>
      <c r="P503" t="s">
        <v>128</v>
      </c>
      <c r="Q503" t="s">
        <v>209</v>
      </c>
      <c r="R503">
        <v>89.25</v>
      </c>
      <c r="S503">
        <v>3</v>
      </c>
      <c r="T503">
        <v>0.15</v>
      </c>
      <c r="U503" s="34" t="str">
        <f t="shared" si="46"/>
        <v>Medium</v>
      </c>
      <c r="V503">
        <v>10.28</v>
      </c>
      <c r="W503" s="29">
        <f t="shared" si="47"/>
        <v>0.115182072829132</v>
      </c>
      <c r="X503">
        <v>40.11</v>
      </c>
      <c r="Y503" t="s">
        <v>121</v>
      </c>
      <c r="Z503" s="34" t="str">
        <f t="shared" si="48"/>
        <v>Small</v>
      </c>
    </row>
    <row r="504" spans="1:26">
      <c r="A504" t="s">
        <v>1293</v>
      </c>
      <c r="B504" s="44">
        <v>44487</v>
      </c>
      <c r="C504" s="34">
        <f t="shared" si="43"/>
        <v>2021</v>
      </c>
      <c r="D504" s="34">
        <f t="shared" si="44"/>
        <v>10</v>
      </c>
      <c r="E504" s="34" t="str">
        <f t="shared" si="45"/>
        <v>October</v>
      </c>
      <c r="F504" s="44">
        <v>44490</v>
      </c>
      <c r="G504" t="s">
        <v>576</v>
      </c>
      <c r="H504" t="s">
        <v>577</v>
      </c>
      <c r="I504" t="s">
        <v>55</v>
      </c>
      <c r="J504" t="s">
        <v>43</v>
      </c>
      <c r="K504" t="s">
        <v>160</v>
      </c>
      <c r="L504" t="s">
        <v>578</v>
      </c>
      <c r="M504" t="s">
        <v>76</v>
      </c>
      <c r="N504" t="s">
        <v>312</v>
      </c>
      <c r="O504" t="s">
        <v>48</v>
      </c>
      <c r="P504" t="s">
        <v>49</v>
      </c>
      <c r="Q504" t="s">
        <v>313</v>
      </c>
      <c r="R504">
        <v>81.9</v>
      </c>
      <c r="S504">
        <v>3</v>
      </c>
      <c r="T504">
        <v>0.3</v>
      </c>
      <c r="U504" s="34" t="str">
        <f t="shared" si="46"/>
        <v>High</v>
      </c>
      <c r="V504">
        <v>9.79</v>
      </c>
      <c r="W504" s="29">
        <f t="shared" si="47"/>
        <v>0.11953601953602</v>
      </c>
      <c r="X504">
        <v>35.61</v>
      </c>
      <c r="Y504" t="s">
        <v>80</v>
      </c>
      <c r="Z504" s="34" t="str">
        <f t="shared" si="48"/>
        <v>Small</v>
      </c>
    </row>
    <row r="505" spans="1:26">
      <c r="A505" t="s">
        <v>1294</v>
      </c>
      <c r="B505" s="44">
        <v>44616</v>
      </c>
      <c r="C505" s="34">
        <f t="shared" si="43"/>
        <v>2022</v>
      </c>
      <c r="D505" s="34">
        <f t="shared" si="44"/>
        <v>2</v>
      </c>
      <c r="E505" s="34" t="str">
        <f t="shared" si="45"/>
        <v>February</v>
      </c>
      <c r="F505" s="44">
        <v>44620</v>
      </c>
      <c r="G505" t="s">
        <v>704</v>
      </c>
      <c r="H505" t="s">
        <v>571</v>
      </c>
      <c r="I505" t="s">
        <v>29</v>
      </c>
      <c r="J505" t="s">
        <v>43</v>
      </c>
      <c r="K505" t="s">
        <v>74</v>
      </c>
      <c r="L505" t="s">
        <v>387</v>
      </c>
      <c r="M505" t="s">
        <v>76</v>
      </c>
      <c r="N505" t="s">
        <v>47</v>
      </c>
      <c r="O505" t="s">
        <v>48</v>
      </c>
      <c r="P505" t="s">
        <v>49</v>
      </c>
      <c r="Q505" t="s">
        <v>50</v>
      </c>
      <c r="R505">
        <v>118.5</v>
      </c>
      <c r="S505">
        <v>2</v>
      </c>
      <c r="T505">
        <v>0.25</v>
      </c>
      <c r="U505" s="34" t="str">
        <f t="shared" si="46"/>
        <v>High</v>
      </c>
      <c r="V505">
        <v>13.62</v>
      </c>
      <c r="W505" s="29">
        <f t="shared" si="47"/>
        <v>0.114936708860759</v>
      </c>
      <c r="X505">
        <v>33.6</v>
      </c>
      <c r="Y505" t="s">
        <v>51</v>
      </c>
      <c r="Z505" s="34" t="str">
        <f t="shared" si="48"/>
        <v>Small</v>
      </c>
    </row>
    <row r="506" spans="1:26">
      <c r="A506" t="s">
        <v>1295</v>
      </c>
      <c r="B506" s="44">
        <v>45561</v>
      </c>
      <c r="C506" s="34">
        <f t="shared" si="43"/>
        <v>2024</v>
      </c>
      <c r="D506" s="34">
        <f t="shared" si="44"/>
        <v>9</v>
      </c>
      <c r="E506" s="34" t="str">
        <f t="shared" si="45"/>
        <v>September</v>
      </c>
      <c r="F506" s="44">
        <v>45564</v>
      </c>
      <c r="G506" t="s">
        <v>1296</v>
      </c>
      <c r="H506" t="s">
        <v>1297</v>
      </c>
      <c r="I506" t="s">
        <v>42</v>
      </c>
      <c r="J506" t="s">
        <v>30</v>
      </c>
      <c r="K506" t="s">
        <v>273</v>
      </c>
      <c r="L506" t="s">
        <v>468</v>
      </c>
      <c r="M506" t="s">
        <v>46</v>
      </c>
      <c r="N506" t="s">
        <v>1074</v>
      </c>
      <c r="O506" t="s">
        <v>35</v>
      </c>
      <c r="P506" t="s">
        <v>111</v>
      </c>
      <c r="Q506" t="s">
        <v>1075</v>
      </c>
      <c r="R506">
        <v>924.8</v>
      </c>
      <c r="S506">
        <v>4</v>
      </c>
      <c r="T506">
        <v>0.2</v>
      </c>
      <c r="U506" s="34" t="str">
        <f t="shared" si="46"/>
        <v>Medium</v>
      </c>
      <c r="V506">
        <v>-58.89</v>
      </c>
      <c r="W506" s="29">
        <f t="shared" si="47"/>
        <v>-0.0636786332179931</v>
      </c>
      <c r="X506">
        <v>42.18</v>
      </c>
      <c r="Y506" t="s">
        <v>121</v>
      </c>
      <c r="Z506" s="34" t="str">
        <f t="shared" si="48"/>
        <v>Medium</v>
      </c>
    </row>
    <row r="507" spans="1:26">
      <c r="A507" t="s">
        <v>1298</v>
      </c>
      <c r="B507" s="44">
        <v>44043</v>
      </c>
      <c r="C507" s="34">
        <f t="shared" si="43"/>
        <v>2020</v>
      </c>
      <c r="D507" s="34">
        <f t="shared" si="44"/>
        <v>7</v>
      </c>
      <c r="E507" s="34" t="str">
        <f t="shared" si="45"/>
        <v>July</v>
      </c>
      <c r="F507" s="44">
        <v>44047</v>
      </c>
      <c r="G507" t="s">
        <v>865</v>
      </c>
      <c r="H507" t="s">
        <v>866</v>
      </c>
      <c r="I507" t="s">
        <v>42</v>
      </c>
      <c r="J507" t="s">
        <v>43</v>
      </c>
      <c r="K507" t="s">
        <v>44</v>
      </c>
      <c r="L507" t="s">
        <v>45</v>
      </c>
      <c r="M507" t="s">
        <v>46</v>
      </c>
      <c r="N507" t="s">
        <v>189</v>
      </c>
      <c r="O507" t="s">
        <v>48</v>
      </c>
      <c r="P507" t="s">
        <v>190</v>
      </c>
      <c r="Q507" t="s">
        <v>191</v>
      </c>
      <c r="R507">
        <v>131.25</v>
      </c>
      <c r="S507">
        <v>5</v>
      </c>
      <c r="T507">
        <v>0.25</v>
      </c>
      <c r="U507" s="34" t="str">
        <f t="shared" si="46"/>
        <v>High</v>
      </c>
      <c r="V507">
        <v>0.79</v>
      </c>
      <c r="W507" s="29">
        <f t="shared" si="47"/>
        <v>0.00601904761904762</v>
      </c>
      <c r="X507">
        <v>41.1</v>
      </c>
      <c r="Y507" t="s">
        <v>51</v>
      </c>
      <c r="Z507" s="34" t="str">
        <f t="shared" si="48"/>
        <v>Small</v>
      </c>
    </row>
    <row r="508" spans="1:26">
      <c r="A508" t="s">
        <v>1299</v>
      </c>
      <c r="B508" s="44">
        <v>44004</v>
      </c>
      <c r="C508" s="34">
        <f t="shared" si="43"/>
        <v>2020</v>
      </c>
      <c r="D508" s="34">
        <f t="shared" si="44"/>
        <v>6</v>
      </c>
      <c r="E508" s="34" t="str">
        <f t="shared" si="45"/>
        <v>June</v>
      </c>
      <c r="F508" s="44">
        <v>44006</v>
      </c>
      <c r="G508" t="s">
        <v>795</v>
      </c>
      <c r="H508" t="s">
        <v>796</v>
      </c>
      <c r="I508" t="s">
        <v>42</v>
      </c>
      <c r="J508" t="s">
        <v>43</v>
      </c>
      <c r="K508" t="s">
        <v>551</v>
      </c>
      <c r="L508" t="s">
        <v>718</v>
      </c>
      <c r="M508" t="s">
        <v>33</v>
      </c>
      <c r="N508" t="s">
        <v>223</v>
      </c>
      <c r="O508" t="s">
        <v>48</v>
      </c>
      <c r="P508" t="s">
        <v>60</v>
      </c>
      <c r="Q508" t="s">
        <v>224</v>
      </c>
      <c r="R508">
        <v>267</v>
      </c>
      <c r="S508">
        <v>4</v>
      </c>
      <c r="T508">
        <v>0.25</v>
      </c>
      <c r="U508" s="34" t="str">
        <f t="shared" si="46"/>
        <v>High</v>
      </c>
      <c r="V508">
        <v>-34.92</v>
      </c>
      <c r="W508" s="29">
        <f t="shared" si="47"/>
        <v>-0.130786516853933</v>
      </c>
      <c r="X508">
        <v>45.21</v>
      </c>
      <c r="Y508" t="s">
        <v>51</v>
      </c>
      <c r="Z508" s="34" t="str">
        <f t="shared" si="48"/>
        <v>Small</v>
      </c>
    </row>
    <row r="509" spans="1:26">
      <c r="A509" t="s">
        <v>1300</v>
      </c>
      <c r="B509" s="44">
        <v>45576</v>
      </c>
      <c r="C509" s="34">
        <f t="shared" si="43"/>
        <v>2024</v>
      </c>
      <c r="D509" s="34">
        <f t="shared" si="44"/>
        <v>10</v>
      </c>
      <c r="E509" s="34" t="str">
        <f t="shared" si="45"/>
        <v>October</v>
      </c>
      <c r="F509" s="44">
        <v>45577</v>
      </c>
      <c r="G509" t="s">
        <v>1301</v>
      </c>
      <c r="H509" t="s">
        <v>1302</v>
      </c>
      <c r="I509" t="s">
        <v>42</v>
      </c>
      <c r="J509" t="s">
        <v>43</v>
      </c>
      <c r="K509" t="s">
        <v>240</v>
      </c>
      <c r="L509" t="s">
        <v>635</v>
      </c>
      <c r="M509" t="s">
        <v>46</v>
      </c>
      <c r="N509" t="s">
        <v>155</v>
      </c>
      <c r="O509" t="s">
        <v>67</v>
      </c>
      <c r="P509" t="s">
        <v>119</v>
      </c>
      <c r="Q509" t="s">
        <v>156</v>
      </c>
      <c r="R509">
        <v>3183.75</v>
      </c>
      <c r="S509">
        <v>5</v>
      </c>
      <c r="T509">
        <v>0.25</v>
      </c>
      <c r="U509" s="34" t="str">
        <f t="shared" si="46"/>
        <v>High</v>
      </c>
      <c r="V509">
        <v>562.87</v>
      </c>
      <c r="W509" s="29">
        <f t="shared" si="47"/>
        <v>0.176794660384766</v>
      </c>
      <c r="X509">
        <v>34.01</v>
      </c>
      <c r="Y509" t="s">
        <v>96</v>
      </c>
      <c r="Z509" s="34" t="str">
        <f t="shared" si="48"/>
        <v>Large</v>
      </c>
    </row>
    <row r="510" spans="1:26">
      <c r="A510" t="s">
        <v>1303</v>
      </c>
      <c r="B510" s="44">
        <v>45290</v>
      </c>
      <c r="C510" s="34">
        <f t="shared" si="43"/>
        <v>2023</v>
      </c>
      <c r="D510" s="34">
        <f t="shared" si="44"/>
        <v>12</v>
      </c>
      <c r="E510" s="34" t="str">
        <f t="shared" si="45"/>
        <v>December</v>
      </c>
      <c r="F510" s="44">
        <v>45296</v>
      </c>
      <c r="G510" t="s">
        <v>1214</v>
      </c>
      <c r="H510" t="s">
        <v>1215</v>
      </c>
      <c r="I510" t="s">
        <v>42</v>
      </c>
      <c r="J510" t="s">
        <v>43</v>
      </c>
      <c r="K510" t="s">
        <v>233</v>
      </c>
      <c r="L510" t="s">
        <v>234</v>
      </c>
      <c r="M510" t="s">
        <v>46</v>
      </c>
      <c r="N510" t="s">
        <v>1074</v>
      </c>
      <c r="O510" t="s">
        <v>35</v>
      </c>
      <c r="P510" t="s">
        <v>111</v>
      </c>
      <c r="Q510" t="s">
        <v>1075</v>
      </c>
      <c r="R510">
        <v>693.6</v>
      </c>
      <c r="S510">
        <v>3</v>
      </c>
      <c r="T510">
        <v>0.2</v>
      </c>
      <c r="U510" s="34" t="str">
        <f t="shared" si="46"/>
        <v>Medium</v>
      </c>
      <c r="V510">
        <v>-48.27</v>
      </c>
      <c r="W510" s="29">
        <f t="shared" si="47"/>
        <v>-0.0695934256055363</v>
      </c>
      <c r="X510">
        <v>45.3</v>
      </c>
      <c r="Y510" t="s">
        <v>62</v>
      </c>
      <c r="Z510" s="34" t="str">
        <f t="shared" si="48"/>
        <v>Medium</v>
      </c>
    </row>
    <row r="511" spans="1:26">
      <c r="A511" t="s">
        <v>1304</v>
      </c>
      <c r="B511" s="44">
        <v>44848</v>
      </c>
      <c r="C511" s="34">
        <f t="shared" si="43"/>
        <v>2022</v>
      </c>
      <c r="D511" s="34">
        <f t="shared" si="44"/>
        <v>10</v>
      </c>
      <c r="E511" s="34" t="str">
        <f t="shared" si="45"/>
        <v>October</v>
      </c>
      <c r="F511" s="44">
        <v>44853</v>
      </c>
      <c r="G511" t="s">
        <v>1305</v>
      </c>
      <c r="H511" t="s">
        <v>1306</v>
      </c>
      <c r="I511" t="s">
        <v>42</v>
      </c>
      <c r="J511" t="s">
        <v>43</v>
      </c>
      <c r="K511" t="s">
        <v>168</v>
      </c>
      <c r="L511" t="s">
        <v>362</v>
      </c>
      <c r="M511" t="s">
        <v>76</v>
      </c>
      <c r="N511" t="s">
        <v>170</v>
      </c>
      <c r="O511" t="s">
        <v>48</v>
      </c>
      <c r="P511" t="s">
        <v>49</v>
      </c>
      <c r="Q511" t="s">
        <v>171</v>
      </c>
      <c r="R511">
        <v>447</v>
      </c>
      <c r="S511">
        <v>3</v>
      </c>
      <c r="T511">
        <v>0</v>
      </c>
      <c r="U511" s="34" t="str">
        <f t="shared" si="46"/>
        <v>No Discount</v>
      </c>
      <c r="V511">
        <v>-32.15</v>
      </c>
      <c r="W511" s="29">
        <f t="shared" si="47"/>
        <v>-0.071923937360179</v>
      </c>
      <c r="X511">
        <v>32.67</v>
      </c>
      <c r="Y511" t="s">
        <v>38</v>
      </c>
      <c r="Z511" s="34" t="str">
        <f t="shared" si="48"/>
        <v>Small</v>
      </c>
    </row>
    <row r="512" spans="1:26">
      <c r="A512" t="s">
        <v>1307</v>
      </c>
      <c r="B512" s="44">
        <v>44175</v>
      </c>
      <c r="C512" s="34">
        <f t="shared" si="43"/>
        <v>2020</v>
      </c>
      <c r="D512" s="34">
        <f t="shared" si="44"/>
        <v>12</v>
      </c>
      <c r="E512" s="34" t="str">
        <f t="shared" si="45"/>
        <v>December</v>
      </c>
      <c r="F512" s="44">
        <v>44180</v>
      </c>
      <c r="G512" t="s">
        <v>988</v>
      </c>
      <c r="H512" t="s">
        <v>989</v>
      </c>
      <c r="I512" t="s">
        <v>29</v>
      </c>
      <c r="J512" t="s">
        <v>43</v>
      </c>
      <c r="K512" t="s">
        <v>297</v>
      </c>
      <c r="L512" t="s">
        <v>298</v>
      </c>
      <c r="M512" t="s">
        <v>46</v>
      </c>
      <c r="N512" t="s">
        <v>275</v>
      </c>
      <c r="O512" t="s">
        <v>67</v>
      </c>
      <c r="P512" t="s">
        <v>103</v>
      </c>
      <c r="Q512" t="s">
        <v>276</v>
      </c>
      <c r="R512">
        <v>2396.8</v>
      </c>
      <c r="S512">
        <v>4</v>
      </c>
      <c r="T512">
        <v>0.2</v>
      </c>
      <c r="U512" s="34" t="str">
        <f t="shared" si="46"/>
        <v>Medium</v>
      </c>
      <c r="V512">
        <v>-199.94</v>
      </c>
      <c r="W512" s="29">
        <f t="shared" si="47"/>
        <v>-0.0834195594125501</v>
      </c>
      <c r="X512">
        <v>27.33</v>
      </c>
      <c r="Y512" t="s">
        <v>38</v>
      </c>
      <c r="Z512" s="34" t="str">
        <f t="shared" si="48"/>
        <v>Large</v>
      </c>
    </row>
    <row r="513" spans="1:26">
      <c r="A513" t="s">
        <v>1308</v>
      </c>
      <c r="B513" s="44">
        <v>44762</v>
      </c>
      <c r="C513" s="34">
        <f t="shared" si="43"/>
        <v>2022</v>
      </c>
      <c r="D513" s="34">
        <f t="shared" si="44"/>
        <v>7</v>
      </c>
      <c r="E513" s="34" t="str">
        <f t="shared" si="45"/>
        <v>July</v>
      </c>
      <c r="F513" s="44">
        <v>44765</v>
      </c>
      <c r="G513" t="s">
        <v>980</v>
      </c>
      <c r="H513" t="s">
        <v>981</v>
      </c>
      <c r="I513" t="s">
        <v>29</v>
      </c>
      <c r="J513" t="s">
        <v>43</v>
      </c>
      <c r="K513" t="s">
        <v>257</v>
      </c>
      <c r="L513" t="s">
        <v>258</v>
      </c>
      <c r="M513" t="s">
        <v>76</v>
      </c>
      <c r="N513" t="s">
        <v>275</v>
      </c>
      <c r="O513" t="s">
        <v>67</v>
      </c>
      <c r="P513" t="s">
        <v>103</v>
      </c>
      <c r="Q513" t="s">
        <v>276</v>
      </c>
      <c r="R513">
        <v>1348.2</v>
      </c>
      <c r="S513">
        <v>2</v>
      </c>
      <c r="T513">
        <v>0.1</v>
      </c>
      <c r="U513" s="34" t="str">
        <f t="shared" si="46"/>
        <v>Low</v>
      </c>
      <c r="V513">
        <v>333.37</v>
      </c>
      <c r="W513" s="29">
        <f t="shared" si="47"/>
        <v>0.247270434653612</v>
      </c>
      <c r="X513">
        <v>12.27</v>
      </c>
      <c r="Y513" t="s">
        <v>70</v>
      </c>
      <c r="Z513" s="34" t="str">
        <f t="shared" si="48"/>
        <v>Medium</v>
      </c>
    </row>
    <row r="514" spans="1:26">
      <c r="A514" t="s">
        <v>1309</v>
      </c>
      <c r="B514" s="44">
        <v>45143</v>
      </c>
      <c r="C514" s="34">
        <f t="shared" ref="C514:C577" si="49">YEAR(B514)</f>
        <v>2023</v>
      </c>
      <c r="D514" s="34">
        <f t="shared" ref="D514:D577" si="50">MONTH(B514)</f>
        <v>8</v>
      </c>
      <c r="E514" s="34" t="str">
        <f t="shared" ref="E514:E577" si="51">TEXT(B514,"mmmm")</f>
        <v>August</v>
      </c>
      <c r="F514" s="44">
        <v>45149</v>
      </c>
      <c r="G514" t="s">
        <v>450</v>
      </c>
      <c r="H514" t="s">
        <v>451</v>
      </c>
      <c r="I514" t="s">
        <v>42</v>
      </c>
      <c r="J514" t="s">
        <v>43</v>
      </c>
      <c r="K514" t="s">
        <v>199</v>
      </c>
      <c r="L514" t="s">
        <v>396</v>
      </c>
      <c r="M514" t="s">
        <v>46</v>
      </c>
      <c r="N514" t="s">
        <v>868</v>
      </c>
      <c r="O514" t="s">
        <v>48</v>
      </c>
      <c r="P514" t="s">
        <v>190</v>
      </c>
      <c r="Q514" t="s">
        <v>869</v>
      </c>
      <c r="R514">
        <v>119.2</v>
      </c>
      <c r="S514">
        <v>1</v>
      </c>
      <c r="T514">
        <v>0.2</v>
      </c>
      <c r="U514" s="34" t="str">
        <f t="shared" ref="U514:U577" si="52">IF(T514=0,"No Discount",IF(T514&lt;=0.1,"Low",IF(T514&lt;=0.2,"Medium","High")))</f>
        <v>Medium</v>
      </c>
      <c r="V514">
        <v>1.1</v>
      </c>
      <c r="W514" s="29">
        <f t="shared" ref="W514:W577" si="53">V514/R514</f>
        <v>0.00922818791946309</v>
      </c>
      <c r="X514">
        <v>36.07</v>
      </c>
      <c r="Y514" t="s">
        <v>80</v>
      </c>
      <c r="Z514" s="34" t="str">
        <f t="shared" ref="Z514:Z577" si="54">IF(R514&lt;500,"Small",IF(R514&lt;=2000,"Medium","Large"))</f>
        <v>Small</v>
      </c>
    </row>
    <row r="515" spans="1:26">
      <c r="A515" t="s">
        <v>1310</v>
      </c>
      <c r="B515" s="44">
        <v>43951</v>
      </c>
      <c r="C515" s="34">
        <f t="shared" si="49"/>
        <v>2020</v>
      </c>
      <c r="D515" s="34">
        <f t="shared" si="50"/>
        <v>4</v>
      </c>
      <c r="E515" s="34" t="str">
        <f t="shared" si="51"/>
        <v>April</v>
      </c>
      <c r="F515" s="44">
        <v>43956</v>
      </c>
      <c r="G515" t="s">
        <v>309</v>
      </c>
      <c r="H515" t="s">
        <v>310</v>
      </c>
      <c r="I515" t="s">
        <v>29</v>
      </c>
      <c r="J515" t="s">
        <v>43</v>
      </c>
      <c r="K515" t="s">
        <v>175</v>
      </c>
      <c r="L515" t="s">
        <v>311</v>
      </c>
      <c r="M515" t="s">
        <v>46</v>
      </c>
      <c r="N515" t="s">
        <v>698</v>
      </c>
      <c r="O515" t="s">
        <v>35</v>
      </c>
      <c r="P515" t="s">
        <v>36</v>
      </c>
      <c r="Q515" t="s">
        <v>699</v>
      </c>
      <c r="R515">
        <v>1785</v>
      </c>
      <c r="S515">
        <v>3</v>
      </c>
      <c r="T515">
        <v>0</v>
      </c>
      <c r="U515" s="34" t="str">
        <f t="shared" si="52"/>
        <v>No Discount</v>
      </c>
      <c r="V515">
        <v>265.88</v>
      </c>
      <c r="W515" s="29">
        <f t="shared" si="53"/>
        <v>0.148952380952381</v>
      </c>
      <c r="X515">
        <v>6.22</v>
      </c>
      <c r="Y515" t="s">
        <v>96</v>
      </c>
      <c r="Z515" s="34" t="str">
        <f t="shared" si="54"/>
        <v>Medium</v>
      </c>
    </row>
    <row r="516" spans="1:26">
      <c r="A516" t="s">
        <v>1311</v>
      </c>
      <c r="B516" s="44">
        <v>44586</v>
      </c>
      <c r="C516" s="34">
        <f t="shared" si="49"/>
        <v>2022</v>
      </c>
      <c r="D516" s="34">
        <f t="shared" si="50"/>
        <v>1</v>
      </c>
      <c r="E516" s="34" t="str">
        <f t="shared" si="51"/>
        <v>January</v>
      </c>
      <c r="F516" s="44">
        <v>44587</v>
      </c>
      <c r="G516" t="s">
        <v>226</v>
      </c>
      <c r="H516" t="s">
        <v>227</v>
      </c>
      <c r="I516" t="s">
        <v>42</v>
      </c>
      <c r="J516" t="s">
        <v>43</v>
      </c>
      <c r="K516" t="s">
        <v>44</v>
      </c>
      <c r="L516" t="s">
        <v>195</v>
      </c>
      <c r="M516" t="s">
        <v>46</v>
      </c>
      <c r="N516" t="s">
        <v>264</v>
      </c>
      <c r="O516" t="s">
        <v>67</v>
      </c>
      <c r="P516" t="s">
        <v>87</v>
      </c>
      <c r="Q516" t="s">
        <v>265</v>
      </c>
      <c r="R516">
        <v>265.05</v>
      </c>
      <c r="S516">
        <v>1</v>
      </c>
      <c r="T516">
        <v>0.05</v>
      </c>
      <c r="U516" s="34" t="str">
        <f t="shared" si="52"/>
        <v>Low</v>
      </c>
      <c r="V516">
        <v>19.46</v>
      </c>
      <c r="W516" s="29">
        <f t="shared" si="53"/>
        <v>0.0734201094133182</v>
      </c>
      <c r="X516">
        <v>23.5</v>
      </c>
      <c r="Y516" t="s">
        <v>137</v>
      </c>
      <c r="Z516" s="34" t="str">
        <f t="shared" si="54"/>
        <v>Small</v>
      </c>
    </row>
    <row r="517" spans="1:26">
      <c r="A517" t="s">
        <v>1312</v>
      </c>
      <c r="B517" s="44">
        <v>45160</v>
      </c>
      <c r="C517" s="34">
        <f t="shared" si="49"/>
        <v>2023</v>
      </c>
      <c r="D517" s="34">
        <f t="shared" si="50"/>
        <v>8</v>
      </c>
      <c r="E517" s="34" t="str">
        <f t="shared" si="51"/>
        <v>August</v>
      </c>
      <c r="F517" s="44">
        <v>45163</v>
      </c>
      <c r="G517" t="s">
        <v>1103</v>
      </c>
      <c r="H517" t="s">
        <v>1104</v>
      </c>
      <c r="I517" t="s">
        <v>29</v>
      </c>
      <c r="J517" t="s">
        <v>43</v>
      </c>
      <c r="K517" t="s">
        <v>297</v>
      </c>
      <c r="L517" t="s">
        <v>298</v>
      </c>
      <c r="M517" t="s">
        <v>46</v>
      </c>
      <c r="N517" t="s">
        <v>148</v>
      </c>
      <c r="O517" t="s">
        <v>48</v>
      </c>
      <c r="P517" t="s">
        <v>60</v>
      </c>
      <c r="Q517" t="s">
        <v>149</v>
      </c>
      <c r="R517">
        <v>77</v>
      </c>
      <c r="S517">
        <v>2</v>
      </c>
      <c r="T517">
        <v>0.3</v>
      </c>
      <c r="U517" s="34" t="str">
        <f t="shared" si="52"/>
        <v>High</v>
      </c>
      <c r="V517">
        <v>-14.71</v>
      </c>
      <c r="W517" s="29">
        <f t="shared" si="53"/>
        <v>-0.191038961038961</v>
      </c>
      <c r="X517">
        <v>36.21</v>
      </c>
      <c r="Y517" t="s">
        <v>121</v>
      </c>
      <c r="Z517" s="34" t="str">
        <f t="shared" si="54"/>
        <v>Small</v>
      </c>
    </row>
    <row r="518" spans="1:26">
      <c r="A518" t="s">
        <v>1313</v>
      </c>
      <c r="B518" s="44">
        <v>44657</v>
      </c>
      <c r="C518" s="34">
        <f t="shared" si="49"/>
        <v>2022</v>
      </c>
      <c r="D518" s="34">
        <f t="shared" si="50"/>
        <v>4</v>
      </c>
      <c r="E518" s="34" t="str">
        <f t="shared" si="51"/>
        <v>April</v>
      </c>
      <c r="F518" s="44">
        <v>44661</v>
      </c>
      <c r="G518" t="s">
        <v>347</v>
      </c>
      <c r="H518" t="s">
        <v>348</v>
      </c>
      <c r="I518" t="s">
        <v>55</v>
      </c>
      <c r="J518" t="s">
        <v>43</v>
      </c>
      <c r="K518" t="s">
        <v>349</v>
      </c>
      <c r="L518" t="s">
        <v>350</v>
      </c>
      <c r="M518" t="s">
        <v>33</v>
      </c>
      <c r="N518" t="s">
        <v>77</v>
      </c>
      <c r="O518" t="s">
        <v>35</v>
      </c>
      <c r="P518" t="s">
        <v>78</v>
      </c>
      <c r="Q518" t="s">
        <v>79</v>
      </c>
      <c r="R518">
        <v>976.5</v>
      </c>
      <c r="S518">
        <v>1</v>
      </c>
      <c r="T518">
        <v>0.3</v>
      </c>
      <c r="U518" s="34" t="str">
        <f t="shared" si="52"/>
        <v>High</v>
      </c>
      <c r="V518">
        <v>166.86</v>
      </c>
      <c r="W518" s="29">
        <f t="shared" si="53"/>
        <v>0.170875576036866</v>
      </c>
      <c r="X518">
        <v>29.71</v>
      </c>
      <c r="Y518" t="s">
        <v>96</v>
      </c>
      <c r="Z518" s="34" t="str">
        <f t="shared" si="54"/>
        <v>Medium</v>
      </c>
    </row>
    <row r="519" spans="1:26">
      <c r="A519" t="s">
        <v>1314</v>
      </c>
      <c r="B519" s="44">
        <v>44793</v>
      </c>
      <c r="C519" s="34">
        <f t="shared" si="49"/>
        <v>2022</v>
      </c>
      <c r="D519" s="34">
        <f t="shared" si="50"/>
        <v>8</v>
      </c>
      <c r="E519" s="34" t="str">
        <f t="shared" si="51"/>
        <v>August</v>
      </c>
      <c r="F519" s="44">
        <v>44794</v>
      </c>
      <c r="G519" t="s">
        <v>919</v>
      </c>
      <c r="H519" t="s">
        <v>857</v>
      </c>
      <c r="I519" t="s">
        <v>29</v>
      </c>
      <c r="J519" t="s">
        <v>43</v>
      </c>
      <c r="K519" t="s">
        <v>100</v>
      </c>
      <c r="L519" t="s">
        <v>590</v>
      </c>
      <c r="M519" t="s">
        <v>33</v>
      </c>
      <c r="N519" t="s">
        <v>321</v>
      </c>
      <c r="O519" t="s">
        <v>48</v>
      </c>
      <c r="P519" t="s">
        <v>190</v>
      </c>
      <c r="Q519" t="s">
        <v>322</v>
      </c>
      <c r="R519">
        <v>212.4</v>
      </c>
      <c r="S519">
        <v>4</v>
      </c>
      <c r="T519">
        <v>0.1</v>
      </c>
      <c r="U519" s="34" t="str">
        <f t="shared" si="52"/>
        <v>Low</v>
      </c>
      <c r="V519">
        <v>-15.83</v>
      </c>
      <c r="W519" s="29">
        <f t="shared" si="53"/>
        <v>-0.0745291902071563</v>
      </c>
      <c r="X519">
        <v>17.36</v>
      </c>
      <c r="Y519" t="s">
        <v>38</v>
      </c>
      <c r="Z519" s="34" t="str">
        <f t="shared" si="54"/>
        <v>Small</v>
      </c>
    </row>
    <row r="520" spans="1:26">
      <c r="A520" t="s">
        <v>1315</v>
      </c>
      <c r="B520" s="44">
        <v>43832</v>
      </c>
      <c r="C520" s="34">
        <f t="shared" si="49"/>
        <v>2020</v>
      </c>
      <c r="D520" s="34">
        <f t="shared" si="50"/>
        <v>1</v>
      </c>
      <c r="E520" s="34" t="str">
        <f t="shared" si="51"/>
        <v>January</v>
      </c>
      <c r="F520" s="44">
        <v>43838</v>
      </c>
      <c r="G520" t="s">
        <v>282</v>
      </c>
      <c r="H520" t="s">
        <v>974</v>
      </c>
      <c r="I520" t="s">
        <v>55</v>
      </c>
      <c r="J520" t="s">
        <v>43</v>
      </c>
      <c r="K520" t="s">
        <v>284</v>
      </c>
      <c r="L520" t="s">
        <v>285</v>
      </c>
      <c r="M520" t="s">
        <v>76</v>
      </c>
      <c r="N520" t="s">
        <v>278</v>
      </c>
      <c r="O520" t="s">
        <v>35</v>
      </c>
      <c r="P520" t="s">
        <v>202</v>
      </c>
      <c r="Q520" t="s">
        <v>279</v>
      </c>
      <c r="R520">
        <v>1708.1</v>
      </c>
      <c r="S520">
        <v>2</v>
      </c>
      <c r="T520">
        <v>0.05</v>
      </c>
      <c r="U520" s="34" t="str">
        <f t="shared" si="52"/>
        <v>Low</v>
      </c>
      <c r="V520">
        <v>413.61</v>
      </c>
      <c r="W520" s="29">
        <f t="shared" si="53"/>
        <v>0.242146244365084</v>
      </c>
      <c r="X520">
        <v>44.73</v>
      </c>
      <c r="Y520" t="s">
        <v>96</v>
      </c>
      <c r="Z520" s="34" t="str">
        <f t="shared" si="54"/>
        <v>Medium</v>
      </c>
    </row>
    <row r="521" spans="1:26">
      <c r="A521" t="s">
        <v>1316</v>
      </c>
      <c r="B521" s="44">
        <v>45231</v>
      </c>
      <c r="C521" s="34">
        <f t="shared" si="49"/>
        <v>2023</v>
      </c>
      <c r="D521" s="34">
        <f t="shared" si="50"/>
        <v>11</v>
      </c>
      <c r="E521" s="34" t="str">
        <f t="shared" si="51"/>
        <v>November</v>
      </c>
      <c r="F521" s="44">
        <v>45238</v>
      </c>
      <c r="G521" t="s">
        <v>1317</v>
      </c>
      <c r="H521" t="s">
        <v>1318</v>
      </c>
      <c r="I521" t="s">
        <v>55</v>
      </c>
      <c r="J521" t="s">
        <v>43</v>
      </c>
      <c r="K521" t="s">
        <v>302</v>
      </c>
      <c r="L521" t="s">
        <v>1232</v>
      </c>
      <c r="M521" t="s">
        <v>76</v>
      </c>
      <c r="N521" t="s">
        <v>533</v>
      </c>
      <c r="O521" t="s">
        <v>67</v>
      </c>
      <c r="P521" t="s">
        <v>119</v>
      </c>
      <c r="Q521" t="s">
        <v>534</v>
      </c>
      <c r="R521">
        <v>1099</v>
      </c>
      <c r="S521">
        <v>1</v>
      </c>
      <c r="T521">
        <v>0</v>
      </c>
      <c r="U521" s="34" t="str">
        <f t="shared" si="52"/>
        <v>No Discount</v>
      </c>
      <c r="V521">
        <v>-90.68</v>
      </c>
      <c r="W521" s="29">
        <f t="shared" si="53"/>
        <v>-0.0825113739763421</v>
      </c>
      <c r="X521">
        <v>9.21</v>
      </c>
      <c r="Y521" t="s">
        <v>38</v>
      </c>
      <c r="Z521" s="34" t="str">
        <f t="shared" si="54"/>
        <v>Medium</v>
      </c>
    </row>
    <row r="522" spans="1:26">
      <c r="A522" t="s">
        <v>1319</v>
      </c>
      <c r="B522" s="44">
        <v>44058</v>
      </c>
      <c r="C522" s="34">
        <f t="shared" si="49"/>
        <v>2020</v>
      </c>
      <c r="D522" s="34">
        <f t="shared" si="50"/>
        <v>8</v>
      </c>
      <c r="E522" s="34" t="str">
        <f t="shared" si="51"/>
        <v>August</v>
      </c>
      <c r="F522" s="44">
        <v>44064</v>
      </c>
      <c r="G522" t="s">
        <v>655</v>
      </c>
      <c r="H522" t="s">
        <v>656</v>
      </c>
      <c r="I522" t="s">
        <v>42</v>
      </c>
      <c r="J522" t="s">
        <v>43</v>
      </c>
      <c r="K522" t="s">
        <v>153</v>
      </c>
      <c r="L522" t="s">
        <v>338</v>
      </c>
      <c r="M522" t="s">
        <v>58</v>
      </c>
      <c r="N522" t="s">
        <v>110</v>
      </c>
      <c r="O522" t="s">
        <v>35</v>
      </c>
      <c r="P522" t="s">
        <v>111</v>
      </c>
      <c r="Q522" t="s">
        <v>112</v>
      </c>
      <c r="R522">
        <v>358.2</v>
      </c>
      <c r="S522">
        <v>2</v>
      </c>
      <c r="T522">
        <v>0.1</v>
      </c>
      <c r="U522" s="34" t="str">
        <f t="shared" si="52"/>
        <v>Low</v>
      </c>
      <c r="V522">
        <v>59</v>
      </c>
      <c r="W522" s="29">
        <f t="shared" si="53"/>
        <v>0.164712451144612</v>
      </c>
      <c r="X522">
        <v>18.26</v>
      </c>
      <c r="Y522" t="s">
        <v>62</v>
      </c>
      <c r="Z522" s="34" t="str">
        <f t="shared" si="54"/>
        <v>Small</v>
      </c>
    </row>
    <row r="523" spans="1:26">
      <c r="A523" t="s">
        <v>1320</v>
      </c>
      <c r="B523" s="44">
        <v>43903</v>
      </c>
      <c r="C523" s="34">
        <f t="shared" si="49"/>
        <v>2020</v>
      </c>
      <c r="D523" s="34">
        <f t="shared" si="50"/>
        <v>3</v>
      </c>
      <c r="E523" s="34" t="str">
        <f t="shared" si="51"/>
        <v>March</v>
      </c>
      <c r="F523" s="44">
        <v>43907</v>
      </c>
      <c r="G523" t="s">
        <v>1110</v>
      </c>
      <c r="H523" t="s">
        <v>1111</v>
      </c>
      <c r="I523" t="s">
        <v>42</v>
      </c>
      <c r="J523" t="s">
        <v>43</v>
      </c>
      <c r="K523" t="s">
        <v>108</v>
      </c>
      <c r="L523" t="s">
        <v>1112</v>
      </c>
      <c r="M523" t="s">
        <v>58</v>
      </c>
      <c r="N523" t="s">
        <v>321</v>
      </c>
      <c r="O523" t="s">
        <v>48</v>
      </c>
      <c r="P523" t="s">
        <v>190</v>
      </c>
      <c r="Q523" t="s">
        <v>322</v>
      </c>
      <c r="R523">
        <v>280.25</v>
      </c>
      <c r="S523">
        <v>5</v>
      </c>
      <c r="T523">
        <v>0.05</v>
      </c>
      <c r="U523" s="34" t="str">
        <f t="shared" si="52"/>
        <v>Low</v>
      </c>
      <c r="V523">
        <v>-32.7</v>
      </c>
      <c r="W523" s="29">
        <f t="shared" si="53"/>
        <v>-0.116681534344335</v>
      </c>
      <c r="X523">
        <v>34.27</v>
      </c>
      <c r="Y523" t="s">
        <v>62</v>
      </c>
      <c r="Z523" s="34" t="str">
        <f t="shared" si="54"/>
        <v>Small</v>
      </c>
    </row>
    <row r="524" spans="1:26">
      <c r="A524" t="s">
        <v>1321</v>
      </c>
      <c r="B524" s="44">
        <v>45207</v>
      </c>
      <c r="C524" s="34">
        <f t="shared" si="49"/>
        <v>2023</v>
      </c>
      <c r="D524" s="34">
        <f t="shared" si="50"/>
        <v>10</v>
      </c>
      <c r="E524" s="34" t="str">
        <f t="shared" si="51"/>
        <v>October</v>
      </c>
      <c r="F524" s="44">
        <v>45213</v>
      </c>
      <c r="G524" t="s">
        <v>444</v>
      </c>
      <c r="H524" t="s">
        <v>445</v>
      </c>
      <c r="I524" t="s">
        <v>42</v>
      </c>
      <c r="J524" t="s">
        <v>43</v>
      </c>
      <c r="K524" t="s">
        <v>213</v>
      </c>
      <c r="L524" t="s">
        <v>356</v>
      </c>
      <c r="M524" t="s">
        <v>33</v>
      </c>
      <c r="N524" t="s">
        <v>47</v>
      </c>
      <c r="O524" t="s">
        <v>48</v>
      </c>
      <c r="P524" t="s">
        <v>49</v>
      </c>
      <c r="Q524" t="s">
        <v>50</v>
      </c>
      <c r="R524">
        <v>395</v>
      </c>
      <c r="S524">
        <v>5</v>
      </c>
      <c r="T524">
        <v>0</v>
      </c>
      <c r="U524" s="34" t="str">
        <f t="shared" si="52"/>
        <v>No Discount</v>
      </c>
      <c r="V524">
        <v>76.62</v>
      </c>
      <c r="W524" s="29">
        <f t="shared" si="53"/>
        <v>0.193974683544304</v>
      </c>
      <c r="X524">
        <v>7.94</v>
      </c>
      <c r="Y524" t="s">
        <v>137</v>
      </c>
      <c r="Z524" s="34" t="str">
        <f t="shared" si="54"/>
        <v>Small</v>
      </c>
    </row>
    <row r="525" spans="1:26">
      <c r="A525" t="s">
        <v>1322</v>
      </c>
      <c r="B525" s="44">
        <v>45314</v>
      </c>
      <c r="C525" s="34">
        <f t="shared" si="49"/>
        <v>2024</v>
      </c>
      <c r="D525" s="34">
        <f t="shared" si="50"/>
        <v>1</v>
      </c>
      <c r="E525" s="34" t="str">
        <f t="shared" si="51"/>
        <v>January</v>
      </c>
      <c r="F525" s="44">
        <v>45315</v>
      </c>
      <c r="G525" t="s">
        <v>185</v>
      </c>
      <c r="H525" t="s">
        <v>186</v>
      </c>
      <c r="I525" t="s">
        <v>42</v>
      </c>
      <c r="J525" t="s">
        <v>43</v>
      </c>
      <c r="K525" t="s">
        <v>187</v>
      </c>
      <c r="L525" t="s">
        <v>188</v>
      </c>
      <c r="M525" t="s">
        <v>33</v>
      </c>
      <c r="N525" t="s">
        <v>312</v>
      </c>
      <c r="O525" t="s">
        <v>48</v>
      </c>
      <c r="P525" t="s">
        <v>49</v>
      </c>
      <c r="Q525" t="s">
        <v>313</v>
      </c>
      <c r="R525">
        <v>124.8</v>
      </c>
      <c r="S525">
        <v>4</v>
      </c>
      <c r="T525">
        <v>0.2</v>
      </c>
      <c r="U525" s="34" t="str">
        <f t="shared" si="52"/>
        <v>Medium</v>
      </c>
      <c r="V525">
        <v>3.84</v>
      </c>
      <c r="W525" s="29">
        <f t="shared" si="53"/>
        <v>0.0307692307692308</v>
      </c>
      <c r="X525">
        <v>37.12</v>
      </c>
      <c r="Y525" t="s">
        <v>137</v>
      </c>
      <c r="Z525" s="34" t="str">
        <f t="shared" si="54"/>
        <v>Small</v>
      </c>
    </row>
    <row r="526" spans="1:26">
      <c r="A526" t="s">
        <v>1323</v>
      </c>
      <c r="B526" s="44">
        <v>43982</v>
      </c>
      <c r="C526" s="34">
        <f t="shared" si="49"/>
        <v>2020</v>
      </c>
      <c r="D526" s="34">
        <f t="shared" si="50"/>
        <v>5</v>
      </c>
      <c r="E526" s="34" t="str">
        <f t="shared" si="51"/>
        <v>May</v>
      </c>
      <c r="F526" s="44">
        <v>43986</v>
      </c>
      <c r="G526" t="s">
        <v>803</v>
      </c>
      <c r="H526" t="s">
        <v>804</v>
      </c>
      <c r="I526" t="s">
        <v>55</v>
      </c>
      <c r="J526" t="s">
        <v>43</v>
      </c>
      <c r="K526" t="s">
        <v>551</v>
      </c>
      <c r="L526" t="s">
        <v>718</v>
      </c>
      <c r="M526" t="s">
        <v>33</v>
      </c>
      <c r="N526" t="s">
        <v>868</v>
      </c>
      <c r="O526" t="s">
        <v>48</v>
      </c>
      <c r="P526" t="s">
        <v>190</v>
      </c>
      <c r="Q526" t="s">
        <v>869</v>
      </c>
      <c r="R526">
        <v>745</v>
      </c>
      <c r="S526">
        <v>5</v>
      </c>
      <c r="T526">
        <v>0</v>
      </c>
      <c r="U526" s="34" t="str">
        <f t="shared" si="52"/>
        <v>No Discount</v>
      </c>
      <c r="V526">
        <v>-39.16</v>
      </c>
      <c r="W526" s="29">
        <f t="shared" si="53"/>
        <v>-0.0525637583892617</v>
      </c>
      <c r="X526">
        <v>6.36</v>
      </c>
      <c r="Y526" t="s">
        <v>51</v>
      </c>
      <c r="Z526" s="34" t="str">
        <f t="shared" si="54"/>
        <v>Medium</v>
      </c>
    </row>
    <row r="527" spans="1:26">
      <c r="A527" t="s">
        <v>1324</v>
      </c>
      <c r="B527" s="44">
        <v>44678</v>
      </c>
      <c r="C527" s="34">
        <f t="shared" si="49"/>
        <v>2022</v>
      </c>
      <c r="D527" s="34">
        <f t="shared" si="50"/>
        <v>4</v>
      </c>
      <c r="E527" s="34" t="str">
        <f t="shared" si="51"/>
        <v>April</v>
      </c>
      <c r="F527" s="44">
        <v>44680</v>
      </c>
      <c r="G527" t="s">
        <v>329</v>
      </c>
      <c r="H527" t="s">
        <v>330</v>
      </c>
      <c r="I527" t="s">
        <v>29</v>
      </c>
      <c r="J527" t="s">
        <v>43</v>
      </c>
      <c r="K527" t="s">
        <v>331</v>
      </c>
      <c r="L527" t="s">
        <v>332</v>
      </c>
      <c r="M527" t="s">
        <v>58</v>
      </c>
      <c r="N527" t="s">
        <v>837</v>
      </c>
      <c r="O527" t="s">
        <v>35</v>
      </c>
      <c r="P527" t="s">
        <v>111</v>
      </c>
      <c r="Q527" t="s">
        <v>838</v>
      </c>
      <c r="R527">
        <v>358</v>
      </c>
      <c r="S527">
        <v>2</v>
      </c>
      <c r="T527">
        <v>0</v>
      </c>
      <c r="U527" s="34" t="str">
        <f t="shared" si="52"/>
        <v>No Discount</v>
      </c>
      <c r="V527">
        <v>75.57</v>
      </c>
      <c r="W527" s="29">
        <f t="shared" si="53"/>
        <v>0.21108938547486</v>
      </c>
      <c r="X527">
        <v>10.63</v>
      </c>
      <c r="Y527" t="s">
        <v>96</v>
      </c>
      <c r="Z527" s="34" t="str">
        <f t="shared" si="54"/>
        <v>Small</v>
      </c>
    </row>
    <row r="528" spans="1:26">
      <c r="A528" t="s">
        <v>1325</v>
      </c>
      <c r="B528" s="44">
        <v>45516</v>
      </c>
      <c r="C528" s="34">
        <f t="shared" si="49"/>
        <v>2024</v>
      </c>
      <c r="D528" s="34">
        <f t="shared" si="50"/>
        <v>8</v>
      </c>
      <c r="E528" s="34" t="str">
        <f t="shared" si="51"/>
        <v>August</v>
      </c>
      <c r="F528" s="44">
        <v>45517</v>
      </c>
      <c r="G528" t="s">
        <v>549</v>
      </c>
      <c r="H528" t="s">
        <v>550</v>
      </c>
      <c r="I528" t="s">
        <v>55</v>
      </c>
      <c r="J528" t="s">
        <v>43</v>
      </c>
      <c r="K528" t="s">
        <v>551</v>
      </c>
      <c r="L528" t="s">
        <v>552</v>
      </c>
      <c r="M528" t="s">
        <v>33</v>
      </c>
      <c r="N528" t="s">
        <v>292</v>
      </c>
      <c r="O528" t="s">
        <v>35</v>
      </c>
      <c r="P528" t="s">
        <v>163</v>
      </c>
      <c r="Q528" t="s">
        <v>293</v>
      </c>
      <c r="R528">
        <v>5196</v>
      </c>
      <c r="S528">
        <v>5</v>
      </c>
      <c r="T528">
        <v>0.2</v>
      </c>
      <c r="U528" s="34" t="str">
        <f t="shared" si="52"/>
        <v>Medium</v>
      </c>
      <c r="V528">
        <v>1129.27</v>
      </c>
      <c r="W528" s="29">
        <f t="shared" si="53"/>
        <v>0.217334488067744</v>
      </c>
      <c r="X528">
        <v>46.16</v>
      </c>
      <c r="Y528" t="s">
        <v>51</v>
      </c>
      <c r="Z528" s="34" t="str">
        <f t="shared" si="54"/>
        <v>Large</v>
      </c>
    </row>
    <row r="529" spans="1:26">
      <c r="A529" t="s">
        <v>1326</v>
      </c>
      <c r="B529" s="44">
        <v>43959</v>
      </c>
      <c r="C529" s="34">
        <f t="shared" si="49"/>
        <v>2020</v>
      </c>
      <c r="D529" s="34">
        <f t="shared" si="50"/>
        <v>5</v>
      </c>
      <c r="E529" s="34" t="str">
        <f t="shared" si="51"/>
        <v>May</v>
      </c>
      <c r="F529" s="44">
        <v>43961</v>
      </c>
      <c r="G529" t="s">
        <v>570</v>
      </c>
      <c r="H529" t="s">
        <v>571</v>
      </c>
      <c r="I529" t="s">
        <v>42</v>
      </c>
      <c r="J529" t="s">
        <v>43</v>
      </c>
      <c r="K529" t="s">
        <v>284</v>
      </c>
      <c r="L529" t="s">
        <v>414</v>
      </c>
      <c r="M529" t="s">
        <v>76</v>
      </c>
      <c r="N529" t="s">
        <v>59</v>
      </c>
      <c r="O529" t="s">
        <v>48</v>
      </c>
      <c r="P529" t="s">
        <v>60</v>
      </c>
      <c r="Q529" t="s">
        <v>61</v>
      </c>
      <c r="R529">
        <v>295.8</v>
      </c>
      <c r="S529">
        <v>2</v>
      </c>
      <c r="T529">
        <v>0.15</v>
      </c>
      <c r="U529" s="34" t="str">
        <f t="shared" si="52"/>
        <v>Medium</v>
      </c>
      <c r="V529">
        <v>-25.15</v>
      </c>
      <c r="W529" s="29">
        <f t="shared" si="53"/>
        <v>-0.0850236646382691</v>
      </c>
      <c r="X529">
        <v>34.52</v>
      </c>
      <c r="Y529" t="s">
        <v>62</v>
      </c>
      <c r="Z529" s="34" t="str">
        <f t="shared" si="54"/>
        <v>Small</v>
      </c>
    </row>
    <row r="530" spans="1:26">
      <c r="A530" t="s">
        <v>1327</v>
      </c>
      <c r="B530" s="44">
        <v>45115</v>
      </c>
      <c r="C530" s="34">
        <f t="shared" si="49"/>
        <v>2023</v>
      </c>
      <c r="D530" s="34">
        <f t="shared" si="50"/>
        <v>7</v>
      </c>
      <c r="E530" s="34" t="str">
        <f t="shared" si="51"/>
        <v>July</v>
      </c>
      <c r="F530" s="44">
        <v>45120</v>
      </c>
      <c r="G530" t="s">
        <v>1328</v>
      </c>
      <c r="H530" t="s">
        <v>1329</v>
      </c>
      <c r="I530" t="s">
        <v>29</v>
      </c>
      <c r="J530" t="s">
        <v>43</v>
      </c>
      <c r="K530" t="s">
        <v>133</v>
      </c>
      <c r="L530" t="s">
        <v>753</v>
      </c>
      <c r="M530" t="s">
        <v>33</v>
      </c>
      <c r="N530" t="s">
        <v>430</v>
      </c>
      <c r="O530" t="s">
        <v>67</v>
      </c>
      <c r="P530" t="s">
        <v>87</v>
      </c>
      <c r="Q530" t="s">
        <v>431</v>
      </c>
      <c r="R530">
        <v>179</v>
      </c>
      <c r="S530">
        <v>1</v>
      </c>
      <c r="T530">
        <v>0</v>
      </c>
      <c r="U530" s="34" t="str">
        <f t="shared" si="52"/>
        <v>No Discount</v>
      </c>
      <c r="V530">
        <v>17.79</v>
      </c>
      <c r="W530" s="29">
        <f t="shared" si="53"/>
        <v>0.0993854748603352</v>
      </c>
      <c r="X530">
        <v>48.09</v>
      </c>
      <c r="Y530" t="s">
        <v>70</v>
      </c>
      <c r="Z530" s="34" t="str">
        <f t="shared" si="54"/>
        <v>Small</v>
      </c>
    </row>
    <row r="531" spans="1:26">
      <c r="A531" t="s">
        <v>1330</v>
      </c>
      <c r="B531" s="44">
        <v>44768</v>
      </c>
      <c r="C531" s="34">
        <f t="shared" si="49"/>
        <v>2022</v>
      </c>
      <c r="D531" s="34">
        <f t="shared" si="50"/>
        <v>7</v>
      </c>
      <c r="E531" s="34" t="str">
        <f t="shared" si="51"/>
        <v>July</v>
      </c>
      <c r="F531" s="44">
        <v>44772</v>
      </c>
      <c r="G531" t="s">
        <v>1328</v>
      </c>
      <c r="H531" t="s">
        <v>1329</v>
      </c>
      <c r="I531" t="s">
        <v>29</v>
      </c>
      <c r="J531" t="s">
        <v>43</v>
      </c>
      <c r="K531" t="s">
        <v>133</v>
      </c>
      <c r="L531" t="s">
        <v>753</v>
      </c>
      <c r="M531" t="s">
        <v>33</v>
      </c>
      <c r="N531" t="s">
        <v>421</v>
      </c>
      <c r="O531" t="s">
        <v>67</v>
      </c>
      <c r="P531" t="s">
        <v>252</v>
      </c>
      <c r="Q531" t="s">
        <v>422</v>
      </c>
      <c r="R531">
        <v>1712</v>
      </c>
      <c r="S531">
        <v>2</v>
      </c>
      <c r="T531">
        <v>0</v>
      </c>
      <c r="U531" s="34" t="str">
        <f t="shared" si="52"/>
        <v>No Discount</v>
      </c>
      <c r="V531">
        <v>249.99</v>
      </c>
      <c r="W531" s="29">
        <f t="shared" si="53"/>
        <v>0.146022196261682</v>
      </c>
      <c r="X531">
        <v>22.71</v>
      </c>
      <c r="Y531" t="s">
        <v>121</v>
      </c>
      <c r="Z531" s="34" t="str">
        <f t="shared" si="54"/>
        <v>Medium</v>
      </c>
    </row>
    <row r="532" spans="1:26">
      <c r="A532" t="s">
        <v>1331</v>
      </c>
      <c r="B532" s="44">
        <v>44372</v>
      </c>
      <c r="C532" s="34">
        <f t="shared" si="49"/>
        <v>2021</v>
      </c>
      <c r="D532" s="34">
        <f t="shared" si="50"/>
        <v>6</v>
      </c>
      <c r="E532" s="34" t="str">
        <f t="shared" si="51"/>
        <v>June</v>
      </c>
      <c r="F532" s="44">
        <v>44374</v>
      </c>
      <c r="G532" t="s">
        <v>906</v>
      </c>
      <c r="H532" t="s">
        <v>907</v>
      </c>
      <c r="I532" t="s">
        <v>55</v>
      </c>
      <c r="J532" t="s">
        <v>43</v>
      </c>
      <c r="K532" t="s">
        <v>472</v>
      </c>
      <c r="L532" t="s">
        <v>473</v>
      </c>
      <c r="M532" t="s">
        <v>58</v>
      </c>
      <c r="N532" t="s">
        <v>292</v>
      </c>
      <c r="O532" t="s">
        <v>35</v>
      </c>
      <c r="P532" t="s">
        <v>163</v>
      </c>
      <c r="Q532" t="s">
        <v>293</v>
      </c>
      <c r="R532">
        <v>2338.2</v>
      </c>
      <c r="S532">
        <v>2</v>
      </c>
      <c r="T532">
        <v>0.1</v>
      </c>
      <c r="U532" s="34" t="str">
        <f t="shared" si="52"/>
        <v>Low</v>
      </c>
      <c r="V532">
        <v>232.25</v>
      </c>
      <c r="W532" s="29">
        <f t="shared" si="53"/>
        <v>0.0993285433239244</v>
      </c>
      <c r="X532">
        <v>5.25</v>
      </c>
      <c r="Y532" t="s">
        <v>51</v>
      </c>
      <c r="Z532" s="34" t="str">
        <f t="shared" si="54"/>
        <v>Large</v>
      </c>
    </row>
    <row r="533" spans="1:26">
      <c r="A533" t="s">
        <v>1332</v>
      </c>
      <c r="B533" s="44">
        <v>44206</v>
      </c>
      <c r="C533" s="34">
        <f t="shared" si="49"/>
        <v>2021</v>
      </c>
      <c r="D533" s="34">
        <f t="shared" si="50"/>
        <v>1</v>
      </c>
      <c r="E533" s="34" t="str">
        <f t="shared" si="51"/>
        <v>January</v>
      </c>
      <c r="F533" s="44">
        <v>44207</v>
      </c>
      <c r="G533" t="s">
        <v>114</v>
      </c>
      <c r="H533" t="s">
        <v>115</v>
      </c>
      <c r="I533" t="s">
        <v>55</v>
      </c>
      <c r="J533" t="s">
        <v>43</v>
      </c>
      <c r="K533" t="s">
        <v>116</v>
      </c>
      <c r="L533" t="s">
        <v>117</v>
      </c>
      <c r="M533" t="s">
        <v>33</v>
      </c>
      <c r="N533" t="s">
        <v>66</v>
      </c>
      <c r="O533" t="s">
        <v>67</v>
      </c>
      <c r="P533" t="s">
        <v>68</v>
      </c>
      <c r="Q533" t="s">
        <v>69</v>
      </c>
      <c r="R533">
        <v>2876.4</v>
      </c>
      <c r="S533">
        <v>4</v>
      </c>
      <c r="T533">
        <v>0.1</v>
      </c>
      <c r="U533" s="34" t="str">
        <f t="shared" si="52"/>
        <v>Low</v>
      </c>
      <c r="V533">
        <v>283.93</v>
      </c>
      <c r="W533" s="29">
        <f t="shared" si="53"/>
        <v>0.098710193297177</v>
      </c>
      <c r="X533">
        <v>12.36</v>
      </c>
      <c r="Y533" t="s">
        <v>38</v>
      </c>
      <c r="Z533" s="34" t="str">
        <f t="shared" si="54"/>
        <v>Large</v>
      </c>
    </row>
    <row r="534" spans="1:26">
      <c r="A534" t="s">
        <v>1333</v>
      </c>
      <c r="B534" s="44">
        <v>44384</v>
      </c>
      <c r="C534" s="34">
        <f t="shared" si="49"/>
        <v>2021</v>
      </c>
      <c r="D534" s="34">
        <f t="shared" si="50"/>
        <v>7</v>
      </c>
      <c r="E534" s="34" t="str">
        <f t="shared" si="51"/>
        <v>July</v>
      </c>
      <c r="F534" s="44">
        <v>44387</v>
      </c>
      <c r="G534" t="s">
        <v>1334</v>
      </c>
      <c r="H534" t="s">
        <v>1335</v>
      </c>
      <c r="I534" t="s">
        <v>29</v>
      </c>
      <c r="J534" t="s">
        <v>43</v>
      </c>
      <c r="K534" t="s">
        <v>380</v>
      </c>
      <c r="L534" t="s">
        <v>381</v>
      </c>
      <c r="M534" t="s">
        <v>58</v>
      </c>
      <c r="N534" t="s">
        <v>127</v>
      </c>
      <c r="O534" t="s">
        <v>48</v>
      </c>
      <c r="P534" t="s">
        <v>128</v>
      </c>
      <c r="Q534" t="s">
        <v>129</v>
      </c>
      <c r="R534">
        <v>58.5</v>
      </c>
      <c r="S534">
        <v>1</v>
      </c>
      <c r="T534">
        <v>0.1</v>
      </c>
      <c r="U534" s="34" t="str">
        <f t="shared" si="52"/>
        <v>Low</v>
      </c>
      <c r="V534">
        <v>-15.02</v>
      </c>
      <c r="W534" s="29">
        <f t="shared" si="53"/>
        <v>-0.256752136752137</v>
      </c>
      <c r="X534">
        <v>34.45</v>
      </c>
      <c r="Y534" t="s">
        <v>62</v>
      </c>
      <c r="Z534" s="34" t="str">
        <f t="shared" si="54"/>
        <v>Small</v>
      </c>
    </row>
    <row r="535" spans="1:26">
      <c r="A535" t="s">
        <v>1336</v>
      </c>
      <c r="B535" s="44">
        <v>44757</v>
      </c>
      <c r="C535" s="34">
        <f t="shared" si="49"/>
        <v>2022</v>
      </c>
      <c r="D535" s="34">
        <f t="shared" si="50"/>
        <v>7</v>
      </c>
      <c r="E535" s="34" t="str">
        <f t="shared" si="51"/>
        <v>July</v>
      </c>
      <c r="F535" s="44">
        <v>44759</v>
      </c>
      <c r="G535" t="s">
        <v>761</v>
      </c>
      <c r="H535" t="s">
        <v>762</v>
      </c>
      <c r="I535" t="s">
        <v>55</v>
      </c>
      <c r="J535" t="s">
        <v>43</v>
      </c>
      <c r="K535" t="s">
        <v>645</v>
      </c>
      <c r="L535" t="s">
        <v>646</v>
      </c>
      <c r="M535" t="s">
        <v>58</v>
      </c>
      <c r="N535" t="s">
        <v>141</v>
      </c>
      <c r="O535" t="s">
        <v>35</v>
      </c>
      <c r="P535" t="s">
        <v>111</v>
      </c>
      <c r="Q535" t="s">
        <v>142</v>
      </c>
      <c r="R535">
        <v>745</v>
      </c>
      <c r="S535">
        <v>5</v>
      </c>
      <c r="T535">
        <v>0</v>
      </c>
      <c r="U535" s="34" t="str">
        <f t="shared" si="52"/>
        <v>No Discount</v>
      </c>
      <c r="V535">
        <v>157.04</v>
      </c>
      <c r="W535" s="29">
        <f t="shared" si="53"/>
        <v>0.210791946308725</v>
      </c>
      <c r="X535">
        <v>22.88</v>
      </c>
      <c r="Y535" t="s">
        <v>62</v>
      </c>
      <c r="Z535" s="34" t="str">
        <f t="shared" si="54"/>
        <v>Medium</v>
      </c>
    </row>
    <row r="536" spans="1:26">
      <c r="A536" t="s">
        <v>1337</v>
      </c>
      <c r="B536" s="44">
        <v>45043</v>
      </c>
      <c r="C536" s="34">
        <f t="shared" si="49"/>
        <v>2023</v>
      </c>
      <c r="D536" s="34">
        <f t="shared" si="50"/>
        <v>4</v>
      </c>
      <c r="E536" s="34" t="str">
        <f t="shared" si="51"/>
        <v>April</v>
      </c>
      <c r="F536" s="44">
        <v>45048</v>
      </c>
      <c r="G536" t="s">
        <v>1338</v>
      </c>
      <c r="H536" t="s">
        <v>1339</v>
      </c>
      <c r="I536" t="s">
        <v>29</v>
      </c>
      <c r="J536" t="s">
        <v>30</v>
      </c>
      <c r="K536" t="s">
        <v>125</v>
      </c>
      <c r="L536" t="s">
        <v>808</v>
      </c>
      <c r="M536" t="s">
        <v>58</v>
      </c>
      <c r="N536" t="s">
        <v>251</v>
      </c>
      <c r="O536" t="s">
        <v>67</v>
      </c>
      <c r="P536" t="s">
        <v>252</v>
      </c>
      <c r="Q536" t="s">
        <v>253</v>
      </c>
      <c r="R536">
        <v>1047.2</v>
      </c>
      <c r="S536">
        <v>2</v>
      </c>
      <c r="T536">
        <v>0.3</v>
      </c>
      <c r="U536" s="34" t="str">
        <f t="shared" si="52"/>
        <v>High</v>
      </c>
      <c r="V536">
        <v>102.86</v>
      </c>
      <c r="W536" s="29">
        <f t="shared" si="53"/>
        <v>0.0982238349885409</v>
      </c>
      <c r="X536">
        <v>6.21</v>
      </c>
      <c r="Y536" t="s">
        <v>121</v>
      </c>
      <c r="Z536" s="34" t="str">
        <f t="shared" si="54"/>
        <v>Medium</v>
      </c>
    </row>
    <row r="537" spans="1:26">
      <c r="A537" t="s">
        <v>1340</v>
      </c>
      <c r="B537" s="44">
        <v>45159</v>
      </c>
      <c r="C537" s="34">
        <f t="shared" si="49"/>
        <v>2023</v>
      </c>
      <c r="D537" s="34">
        <f t="shared" si="50"/>
        <v>8</v>
      </c>
      <c r="E537" s="34" t="str">
        <f t="shared" si="51"/>
        <v>August</v>
      </c>
      <c r="F537" s="44">
        <v>45162</v>
      </c>
      <c r="G537" t="s">
        <v>1341</v>
      </c>
      <c r="H537" t="s">
        <v>1342</v>
      </c>
      <c r="I537" t="s">
        <v>29</v>
      </c>
      <c r="J537" t="s">
        <v>43</v>
      </c>
      <c r="K537" t="s">
        <v>297</v>
      </c>
      <c r="L537" t="s">
        <v>1343</v>
      </c>
      <c r="M537" t="s">
        <v>46</v>
      </c>
      <c r="N537" t="s">
        <v>77</v>
      </c>
      <c r="O537" t="s">
        <v>35</v>
      </c>
      <c r="P537" t="s">
        <v>78</v>
      </c>
      <c r="Q537" t="s">
        <v>79</v>
      </c>
      <c r="R537">
        <v>976.5</v>
      </c>
      <c r="S537">
        <v>1</v>
      </c>
      <c r="T537">
        <v>0.3</v>
      </c>
      <c r="U537" s="34" t="str">
        <f t="shared" si="52"/>
        <v>High</v>
      </c>
      <c r="V537">
        <v>234.07</v>
      </c>
      <c r="W537" s="29">
        <f t="shared" si="53"/>
        <v>0.239703020993344</v>
      </c>
      <c r="X537">
        <v>33.51</v>
      </c>
      <c r="Y537" t="s">
        <v>96</v>
      </c>
      <c r="Z537" s="34" t="str">
        <f t="shared" si="54"/>
        <v>Medium</v>
      </c>
    </row>
    <row r="538" spans="1:26">
      <c r="A538" t="s">
        <v>1344</v>
      </c>
      <c r="B538" s="44">
        <v>44708</v>
      </c>
      <c r="C538" s="34">
        <f t="shared" si="49"/>
        <v>2022</v>
      </c>
      <c r="D538" s="34">
        <f t="shared" si="50"/>
        <v>5</v>
      </c>
      <c r="E538" s="34" t="str">
        <f t="shared" si="51"/>
        <v>May</v>
      </c>
      <c r="F538" s="44">
        <v>44710</v>
      </c>
      <c r="G538" t="s">
        <v>1317</v>
      </c>
      <c r="H538" t="s">
        <v>1318</v>
      </c>
      <c r="I538" t="s">
        <v>55</v>
      </c>
      <c r="J538" t="s">
        <v>43</v>
      </c>
      <c r="K538" t="s">
        <v>302</v>
      </c>
      <c r="L538" t="s">
        <v>1232</v>
      </c>
      <c r="M538" t="s">
        <v>76</v>
      </c>
      <c r="N538" t="s">
        <v>127</v>
      </c>
      <c r="O538" t="s">
        <v>48</v>
      </c>
      <c r="P538" t="s">
        <v>128</v>
      </c>
      <c r="Q538" t="s">
        <v>129</v>
      </c>
      <c r="R538">
        <v>55.25</v>
      </c>
      <c r="S538">
        <v>1</v>
      </c>
      <c r="T538">
        <v>0.15</v>
      </c>
      <c r="U538" s="34" t="str">
        <f t="shared" si="52"/>
        <v>Medium</v>
      </c>
      <c r="V538">
        <v>7.33</v>
      </c>
      <c r="W538" s="29">
        <f t="shared" si="53"/>
        <v>0.132669683257919</v>
      </c>
      <c r="X538">
        <v>16.08</v>
      </c>
      <c r="Y538" t="s">
        <v>38</v>
      </c>
      <c r="Z538" s="34" t="str">
        <f t="shared" si="54"/>
        <v>Small</v>
      </c>
    </row>
    <row r="539" spans="1:26">
      <c r="A539" t="s">
        <v>1345</v>
      </c>
      <c r="B539" s="44">
        <v>43942</v>
      </c>
      <c r="C539" s="34">
        <f t="shared" si="49"/>
        <v>2020</v>
      </c>
      <c r="D539" s="34">
        <f t="shared" si="50"/>
        <v>4</v>
      </c>
      <c r="E539" s="34" t="str">
        <f t="shared" si="51"/>
        <v>April</v>
      </c>
      <c r="F539" s="44">
        <v>43948</v>
      </c>
      <c r="G539" t="s">
        <v>901</v>
      </c>
      <c r="H539" t="s">
        <v>902</v>
      </c>
      <c r="I539" t="s">
        <v>42</v>
      </c>
      <c r="J539" t="s">
        <v>43</v>
      </c>
      <c r="K539" t="s">
        <v>262</v>
      </c>
      <c r="L539" t="s">
        <v>568</v>
      </c>
      <c r="M539" t="s">
        <v>58</v>
      </c>
      <c r="N539" t="s">
        <v>415</v>
      </c>
      <c r="O539" t="s">
        <v>67</v>
      </c>
      <c r="P539" t="s">
        <v>252</v>
      </c>
      <c r="Q539" t="s">
        <v>416</v>
      </c>
      <c r="R539">
        <v>1197</v>
      </c>
      <c r="S539">
        <v>3</v>
      </c>
      <c r="T539">
        <v>0</v>
      </c>
      <c r="U539" s="34" t="str">
        <f t="shared" si="52"/>
        <v>No Discount</v>
      </c>
      <c r="V539">
        <v>117.49</v>
      </c>
      <c r="W539" s="29">
        <f t="shared" si="53"/>
        <v>0.0981537176274018</v>
      </c>
      <c r="X539">
        <v>7.36</v>
      </c>
      <c r="Y539" t="s">
        <v>38</v>
      </c>
      <c r="Z539" s="34" t="str">
        <f t="shared" si="54"/>
        <v>Medium</v>
      </c>
    </row>
    <row r="540" spans="1:26">
      <c r="A540" t="s">
        <v>1346</v>
      </c>
      <c r="B540" s="44">
        <v>43936</v>
      </c>
      <c r="C540" s="34">
        <f t="shared" si="49"/>
        <v>2020</v>
      </c>
      <c r="D540" s="34">
        <f t="shared" si="50"/>
        <v>4</v>
      </c>
      <c r="E540" s="34" t="str">
        <f t="shared" si="51"/>
        <v>April</v>
      </c>
      <c r="F540" s="44">
        <v>43941</v>
      </c>
      <c r="G540" t="s">
        <v>1305</v>
      </c>
      <c r="H540" t="s">
        <v>1306</v>
      </c>
      <c r="I540" t="s">
        <v>42</v>
      </c>
      <c r="J540" t="s">
        <v>43</v>
      </c>
      <c r="K540" t="s">
        <v>168</v>
      </c>
      <c r="L540" t="s">
        <v>362</v>
      </c>
      <c r="M540" t="s">
        <v>76</v>
      </c>
      <c r="N540" t="s">
        <v>424</v>
      </c>
      <c r="O540" t="s">
        <v>67</v>
      </c>
      <c r="P540" t="s">
        <v>103</v>
      </c>
      <c r="Q540" t="s">
        <v>425</v>
      </c>
      <c r="R540">
        <v>2758.25</v>
      </c>
      <c r="S540">
        <v>5</v>
      </c>
      <c r="T540">
        <v>0.15</v>
      </c>
      <c r="U540" s="34" t="str">
        <f t="shared" si="52"/>
        <v>Medium</v>
      </c>
      <c r="V540">
        <v>687.76</v>
      </c>
      <c r="W540" s="29">
        <f t="shared" si="53"/>
        <v>0.249346505936735</v>
      </c>
      <c r="X540">
        <v>6.01</v>
      </c>
      <c r="Y540" t="s">
        <v>96</v>
      </c>
      <c r="Z540" s="34" t="str">
        <f t="shared" si="54"/>
        <v>Large</v>
      </c>
    </row>
    <row r="541" spans="1:26">
      <c r="A541" t="s">
        <v>1347</v>
      </c>
      <c r="B541" s="44">
        <v>44701</v>
      </c>
      <c r="C541" s="34">
        <f t="shared" si="49"/>
        <v>2022</v>
      </c>
      <c r="D541" s="34">
        <f t="shared" si="50"/>
        <v>5</v>
      </c>
      <c r="E541" s="34" t="str">
        <f t="shared" si="51"/>
        <v>May</v>
      </c>
      <c r="F541" s="44">
        <v>44702</v>
      </c>
      <c r="G541" t="s">
        <v>554</v>
      </c>
      <c r="H541" t="s">
        <v>555</v>
      </c>
      <c r="I541" t="s">
        <v>55</v>
      </c>
      <c r="J541" t="s">
        <v>43</v>
      </c>
      <c r="K541" t="s">
        <v>284</v>
      </c>
      <c r="L541" t="s">
        <v>414</v>
      </c>
      <c r="M541" t="s">
        <v>76</v>
      </c>
      <c r="N541" t="s">
        <v>424</v>
      </c>
      <c r="O541" t="s">
        <v>67</v>
      </c>
      <c r="P541" t="s">
        <v>103</v>
      </c>
      <c r="Q541" t="s">
        <v>425</v>
      </c>
      <c r="R541">
        <v>1168.2</v>
      </c>
      <c r="S541">
        <v>2</v>
      </c>
      <c r="T541">
        <v>0.1</v>
      </c>
      <c r="U541" s="34" t="str">
        <f t="shared" si="52"/>
        <v>Low</v>
      </c>
      <c r="V541">
        <v>161.92</v>
      </c>
      <c r="W541" s="29">
        <f t="shared" si="53"/>
        <v>0.138606403013183</v>
      </c>
      <c r="X541">
        <v>44.37</v>
      </c>
      <c r="Y541" t="s">
        <v>62</v>
      </c>
      <c r="Z541" s="34" t="str">
        <f t="shared" si="54"/>
        <v>Medium</v>
      </c>
    </row>
    <row r="542" spans="1:26">
      <c r="A542" t="s">
        <v>1348</v>
      </c>
      <c r="B542" s="44">
        <v>45216</v>
      </c>
      <c r="C542" s="34">
        <f t="shared" si="49"/>
        <v>2023</v>
      </c>
      <c r="D542" s="34">
        <f t="shared" si="50"/>
        <v>10</v>
      </c>
      <c r="E542" s="34" t="str">
        <f t="shared" si="51"/>
        <v>October</v>
      </c>
      <c r="F542" s="44">
        <v>45218</v>
      </c>
      <c r="G542" t="s">
        <v>906</v>
      </c>
      <c r="H542" t="s">
        <v>907</v>
      </c>
      <c r="I542" t="s">
        <v>55</v>
      </c>
      <c r="J542" t="s">
        <v>43</v>
      </c>
      <c r="K542" t="s">
        <v>472</v>
      </c>
      <c r="L542" t="s">
        <v>473</v>
      </c>
      <c r="M542" t="s">
        <v>58</v>
      </c>
      <c r="N542" t="s">
        <v>397</v>
      </c>
      <c r="O542" t="s">
        <v>48</v>
      </c>
      <c r="P542" t="s">
        <v>128</v>
      </c>
      <c r="Q542" t="s">
        <v>398</v>
      </c>
      <c r="R542">
        <v>37.5</v>
      </c>
      <c r="S542">
        <v>2</v>
      </c>
      <c r="T542">
        <v>0.25</v>
      </c>
      <c r="U542" s="34" t="str">
        <f t="shared" si="52"/>
        <v>High</v>
      </c>
      <c r="V542">
        <v>-4.12</v>
      </c>
      <c r="W542" s="29">
        <f t="shared" si="53"/>
        <v>-0.109866666666667</v>
      </c>
      <c r="X542">
        <v>28.73</v>
      </c>
      <c r="Y542" t="s">
        <v>137</v>
      </c>
      <c r="Z542" s="34" t="str">
        <f t="shared" si="54"/>
        <v>Small</v>
      </c>
    </row>
    <row r="543" spans="1:26">
      <c r="A543" t="s">
        <v>1349</v>
      </c>
      <c r="B543" s="44">
        <v>45172</v>
      </c>
      <c r="C543" s="34">
        <f t="shared" si="49"/>
        <v>2023</v>
      </c>
      <c r="D543" s="34">
        <f t="shared" si="50"/>
        <v>9</v>
      </c>
      <c r="E543" s="34" t="str">
        <f t="shared" si="51"/>
        <v>September</v>
      </c>
      <c r="F543" s="44">
        <v>45175</v>
      </c>
      <c r="G543" t="s">
        <v>593</v>
      </c>
      <c r="H543" t="s">
        <v>594</v>
      </c>
      <c r="I543" t="s">
        <v>29</v>
      </c>
      <c r="J543" t="s">
        <v>43</v>
      </c>
      <c r="K543" t="s">
        <v>146</v>
      </c>
      <c r="L543" t="s">
        <v>595</v>
      </c>
      <c r="M543" t="s">
        <v>33</v>
      </c>
      <c r="N543" t="s">
        <v>135</v>
      </c>
      <c r="O543" t="s">
        <v>67</v>
      </c>
      <c r="P543" t="s">
        <v>68</v>
      </c>
      <c r="Q543" t="s">
        <v>136</v>
      </c>
      <c r="R543">
        <v>454.3</v>
      </c>
      <c r="S543">
        <v>1</v>
      </c>
      <c r="T543">
        <v>0.3</v>
      </c>
      <c r="U543" s="34" t="str">
        <f t="shared" si="52"/>
        <v>High</v>
      </c>
      <c r="V543">
        <v>88.08</v>
      </c>
      <c r="W543" s="29">
        <f t="shared" si="53"/>
        <v>0.193880695575611</v>
      </c>
      <c r="X543">
        <v>39.54</v>
      </c>
      <c r="Y543" t="s">
        <v>70</v>
      </c>
      <c r="Z543" s="34" t="str">
        <f t="shared" si="54"/>
        <v>Small</v>
      </c>
    </row>
    <row r="544" spans="1:26">
      <c r="A544" t="s">
        <v>1350</v>
      </c>
      <c r="B544" s="44">
        <v>44486</v>
      </c>
      <c r="C544" s="34">
        <f t="shared" si="49"/>
        <v>2021</v>
      </c>
      <c r="D544" s="34">
        <f t="shared" si="50"/>
        <v>10</v>
      </c>
      <c r="E544" s="34" t="str">
        <f t="shared" si="51"/>
        <v>October</v>
      </c>
      <c r="F544" s="44">
        <v>44489</v>
      </c>
      <c r="G544" t="s">
        <v>811</v>
      </c>
      <c r="H544" t="s">
        <v>812</v>
      </c>
      <c r="I544" t="s">
        <v>42</v>
      </c>
      <c r="J544" t="s">
        <v>43</v>
      </c>
      <c r="K544" t="s">
        <v>331</v>
      </c>
      <c r="L544" t="s">
        <v>813</v>
      </c>
      <c r="M544" t="s">
        <v>58</v>
      </c>
      <c r="N544" t="s">
        <v>500</v>
      </c>
      <c r="O544" t="s">
        <v>67</v>
      </c>
      <c r="P544" t="s">
        <v>68</v>
      </c>
      <c r="Q544" t="s">
        <v>501</v>
      </c>
      <c r="R544">
        <v>2745</v>
      </c>
      <c r="S544">
        <v>5</v>
      </c>
      <c r="T544">
        <v>0</v>
      </c>
      <c r="U544" s="34" t="str">
        <f t="shared" si="52"/>
        <v>No Discount</v>
      </c>
      <c r="V544">
        <v>269.31</v>
      </c>
      <c r="W544" s="29">
        <f t="shared" si="53"/>
        <v>0.0981092896174863</v>
      </c>
      <c r="X544">
        <v>17.31</v>
      </c>
      <c r="Y544" t="s">
        <v>121</v>
      </c>
      <c r="Z544" s="34" t="str">
        <f t="shared" si="54"/>
        <v>Large</v>
      </c>
    </row>
    <row r="545" spans="1:26">
      <c r="A545" t="s">
        <v>1351</v>
      </c>
      <c r="B545" s="44">
        <v>44589</v>
      </c>
      <c r="C545" s="34">
        <f t="shared" si="49"/>
        <v>2022</v>
      </c>
      <c r="D545" s="34">
        <f t="shared" si="50"/>
        <v>1</v>
      </c>
      <c r="E545" s="34" t="str">
        <f t="shared" si="51"/>
        <v>January</v>
      </c>
      <c r="F545" s="44">
        <v>44594</v>
      </c>
      <c r="G545" t="s">
        <v>248</v>
      </c>
      <c r="H545" t="s">
        <v>249</v>
      </c>
      <c r="I545" t="s">
        <v>55</v>
      </c>
      <c r="J545" t="s">
        <v>30</v>
      </c>
      <c r="K545" t="s">
        <v>31</v>
      </c>
      <c r="L545" t="s">
        <v>250</v>
      </c>
      <c r="M545" t="s">
        <v>33</v>
      </c>
      <c r="N545" t="s">
        <v>223</v>
      </c>
      <c r="O545" t="s">
        <v>48</v>
      </c>
      <c r="P545" t="s">
        <v>60</v>
      </c>
      <c r="Q545" t="s">
        <v>224</v>
      </c>
      <c r="R545">
        <v>333.75</v>
      </c>
      <c r="S545">
        <v>5</v>
      </c>
      <c r="T545">
        <v>0.25</v>
      </c>
      <c r="U545" s="34" t="str">
        <f t="shared" si="52"/>
        <v>High</v>
      </c>
      <c r="V545">
        <v>78.51</v>
      </c>
      <c r="W545" s="29">
        <f t="shared" si="53"/>
        <v>0.23523595505618</v>
      </c>
      <c r="X545">
        <v>16.42</v>
      </c>
      <c r="Y545" t="s">
        <v>70</v>
      </c>
      <c r="Z545" s="34" t="str">
        <f t="shared" si="54"/>
        <v>Small</v>
      </c>
    </row>
    <row r="546" spans="1:26">
      <c r="A546" t="s">
        <v>1352</v>
      </c>
      <c r="B546" s="44">
        <v>44759</v>
      </c>
      <c r="C546" s="34">
        <f t="shared" si="49"/>
        <v>2022</v>
      </c>
      <c r="D546" s="34">
        <f t="shared" si="50"/>
        <v>7</v>
      </c>
      <c r="E546" s="34" t="str">
        <f t="shared" si="51"/>
        <v>July</v>
      </c>
      <c r="F546" s="44">
        <v>44762</v>
      </c>
      <c r="G546" t="s">
        <v>1353</v>
      </c>
      <c r="H546" t="s">
        <v>1354</v>
      </c>
      <c r="I546" t="s">
        <v>42</v>
      </c>
      <c r="J546" t="s">
        <v>43</v>
      </c>
      <c r="K546" t="s">
        <v>44</v>
      </c>
      <c r="L546" t="s">
        <v>195</v>
      </c>
      <c r="M546" t="s">
        <v>46</v>
      </c>
      <c r="N546" t="s">
        <v>34</v>
      </c>
      <c r="O546" t="s">
        <v>35</v>
      </c>
      <c r="P546" t="s">
        <v>36</v>
      </c>
      <c r="Q546" t="s">
        <v>37</v>
      </c>
      <c r="R546">
        <v>1257.2</v>
      </c>
      <c r="S546">
        <v>4</v>
      </c>
      <c r="T546">
        <v>0.3</v>
      </c>
      <c r="U546" s="34" t="str">
        <f t="shared" si="52"/>
        <v>High</v>
      </c>
      <c r="V546">
        <v>216.61</v>
      </c>
      <c r="W546" s="29">
        <f t="shared" si="53"/>
        <v>0.172295577473751</v>
      </c>
      <c r="X546">
        <v>32.27</v>
      </c>
      <c r="Y546" t="s">
        <v>70</v>
      </c>
      <c r="Z546" s="34" t="str">
        <f t="shared" si="54"/>
        <v>Medium</v>
      </c>
    </row>
    <row r="547" spans="1:26">
      <c r="A547" t="s">
        <v>1355</v>
      </c>
      <c r="B547" s="44">
        <v>45191</v>
      </c>
      <c r="C547" s="34">
        <f t="shared" si="49"/>
        <v>2023</v>
      </c>
      <c r="D547" s="34">
        <f t="shared" si="50"/>
        <v>9</v>
      </c>
      <c r="E547" s="34" t="str">
        <f t="shared" si="51"/>
        <v>September</v>
      </c>
      <c r="F547" s="44">
        <v>45198</v>
      </c>
      <c r="G547" t="s">
        <v>1071</v>
      </c>
      <c r="H547" t="s">
        <v>1072</v>
      </c>
      <c r="I547" t="s">
        <v>55</v>
      </c>
      <c r="J547" t="s">
        <v>43</v>
      </c>
      <c r="K547" t="s">
        <v>349</v>
      </c>
      <c r="L547" t="s">
        <v>714</v>
      </c>
      <c r="M547" t="s">
        <v>33</v>
      </c>
      <c r="N547" t="s">
        <v>868</v>
      </c>
      <c r="O547" t="s">
        <v>48</v>
      </c>
      <c r="P547" t="s">
        <v>190</v>
      </c>
      <c r="Q547" t="s">
        <v>869</v>
      </c>
      <c r="R547">
        <v>521.5</v>
      </c>
      <c r="S547">
        <v>5</v>
      </c>
      <c r="T547">
        <v>0.3</v>
      </c>
      <c r="U547" s="34" t="str">
        <f t="shared" si="52"/>
        <v>High</v>
      </c>
      <c r="V547">
        <v>88.97</v>
      </c>
      <c r="W547" s="29">
        <f t="shared" si="53"/>
        <v>0.170604026845638</v>
      </c>
      <c r="X547">
        <v>16.33</v>
      </c>
      <c r="Y547" t="s">
        <v>121</v>
      </c>
      <c r="Z547" s="34" t="str">
        <f t="shared" si="54"/>
        <v>Medium</v>
      </c>
    </row>
    <row r="548" spans="1:26">
      <c r="A548" t="s">
        <v>1356</v>
      </c>
      <c r="B548" s="44">
        <v>45340</v>
      </c>
      <c r="C548" s="34">
        <f t="shared" si="49"/>
        <v>2024</v>
      </c>
      <c r="D548" s="34">
        <f t="shared" si="50"/>
        <v>2</v>
      </c>
      <c r="E548" s="34" t="str">
        <f t="shared" si="51"/>
        <v>February</v>
      </c>
      <c r="F548" s="44">
        <v>45342</v>
      </c>
      <c r="G548" t="s">
        <v>1357</v>
      </c>
      <c r="H548" t="s">
        <v>1358</v>
      </c>
      <c r="I548" t="s">
        <v>55</v>
      </c>
      <c r="J548" t="s">
        <v>43</v>
      </c>
      <c r="K548" t="s">
        <v>262</v>
      </c>
      <c r="L548" t="s">
        <v>263</v>
      </c>
      <c r="M548" t="s">
        <v>58</v>
      </c>
      <c r="N548" t="s">
        <v>670</v>
      </c>
      <c r="O548" t="s">
        <v>48</v>
      </c>
      <c r="P548" t="s">
        <v>49</v>
      </c>
      <c r="Q548" t="s">
        <v>671</v>
      </c>
      <c r="R548">
        <v>186.2</v>
      </c>
      <c r="S548">
        <v>2</v>
      </c>
      <c r="T548">
        <v>0.05</v>
      </c>
      <c r="U548" s="34" t="str">
        <f t="shared" si="52"/>
        <v>Low</v>
      </c>
      <c r="V548">
        <v>27.68</v>
      </c>
      <c r="W548" s="29">
        <f t="shared" si="53"/>
        <v>0.148657357679914</v>
      </c>
      <c r="X548">
        <v>44.27</v>
      </c>
      <c r="Y548" t="s">
        <v>121</v>
      </c>
      <c r="Z548" s="34" t="str">
        <f t="shared" si="54"/>
        <v>Small</v>
      </c>
    </row>
    <row r="549" spans="1:26">
      <c r="A549" t="s">
        <v>1359</v>
      </c>
      <c r="B549" s="44">
        <v>44863</v>
      </c>
      <c r="C549" s="34">
        <f t="shared" si="49"/>
        <v>2022</v>
      </c>
      <c r="D549" s="34">
        <f t="shared" si="50"/>
        <v>10</v>
      </c>
      <c r="E549" s="34" t="str">
        <f t="shared" si="51"/>
        <v>October</v>
      </c>
      <c r="F549" s="44">
        <v>44865</v>
      </c>
      <c r="G549" t="s">
        <v>1360</v>
      </c>
      <c r="H549" t="s">
        <v>413</v>
      </c>
      <c r="I549" t="s">
        <v>29</v>
      </c>
      <c r="J549" t="s">
        <v>30</v>
      </c>
      <c r="K549" t="s">
        <v>472</v>
      </c>
      <c r="L549" t="s">
        <v>1361</v>
      </c>
      <c r="M549" t="s">
        <v>58</v>
      </c>
      <c r="N549" t="s">
        <v>215</v>
      </c>
      <c r="O549" t="s">
        <v>35</v>
      </c>
      <c r="P549" t="s">
        <v>36</v>
      </c>
      <c r="Q549" t="s">
        <v>216</v>
      </c>
      <c r="R549">
        <v>5196</v>
      </c>
      <c r="S549">
        <v>4</v>
      </c>
      <c r="T549">
        <v>0</v>
      </c>
      <c r="U549" s="34" t="str">
        <f t="shared" si="52"/>
        <v>No Discount</v>
      </c>
      <c r="V549">
        <v>770.74</v>
      </c>
      <c r="W549" s="29">
        <f t="shared" si="53"/>
        <v>0.148333333333333</v>
      </c>
      <c r="X549">
        <v>28.87</v>
      </c>
      <c r="Y549" t="s">
        <v>689</v>
      </c>
      <c r="Z549" s="34" t="str">
        <f t="shared" si="54"/>
        <v>Large</v>
      </c>
    </row>
    <row r="550" spans="1:26">
      <c r="A550" t="s">
        <v>1362</v>
      </c>
      <c r="B550" s="44">
        <v>44761</v>
      </c>
      <c r="C550" s="34">
        <f t="shared" si="49"/>
        <v>2022</v>
      </c>
      <c r="D550" s="34">
        <f t="shared" si="50"/>
        <v>7</v>
      </c>
      <c r="E550" s="34" t="str">
        <f t="shared" si="51"/>
        <v>July</v>
      </c>
      <c r="F550" s="44">
        <v>44762</v>
      </c>
      <c r="G550" t="s">
        <v>185</v>
      </c>
      <c r="H550" t="s">
        <v>186</v>
      </c>
      <c r="I550" t="s">
        <v>42</v>
      </c>
      <c r="J550" t="s">
        <v>43</v>
      </c>
      <c r="K550" t="s">
        <v>187</v>
      </c>
      <c r="L550" t="s">
        <v>188</v>
      </c>
      <c r="M550" t="s">
        <v>33</v>
      </c>
      <c r="N550" t="s">
        <v>170</v>
      </c>
      <c r="O550" t="s">
        <v>48</v>
      </c>
      <c r="P550" t="s">
        <v>49</v>
      </c>
      <c r="Q550" t="s">
        <v>171</v>
      </c>
      <c r="R550">
        <v>238.4</v>
      </c>
      <c r="S550">
        <v>2</v>
      </c>
      <c r="T550">
        <v>0.2</v>
      </c>
      <c r="U550" s="34" t="str">
        <f t="shared" si="52"/>
        <v>Medium</v>
      </c>
      <c r="V550">
        <v>30.23</v>
      </c>
      <c r="W550" s="29">
        <f t="shared" si="53"/>
        <v>0.126803691275168</v>
      </c>
      <c r="X550">
        <v>42.28</v>
      </c>
      <c r="Y550" t="s">
        <v>137</v>
      </c>
      <c r="Z550" s="34" t="str">
        <f t="shared" si="54"/>
        <v>Small</v>
      </c>
    </row>
    <row r="551" spans="1:26">
      <c r="A551" t="s">
        <v>1363</v>
      </c>
      <c r="B551" s="44">
        <v>45397</v>
      </c>
      <c r="C551" s="34">
        <f t="shared" si="49"/>
        <v>2024</v>
      </c>
      <c r="D551" s="34">
        <f t="shared" si="50"/>
        <v>4</v>
      </c>
      <c r="E551" s="34" t="str">
        <f t="shared" si="51"/>
        <v>April</v>
      </c>
      <c r="F551" s="44">
        <v>45403</v>
      </c>
      <c r="G551" t="s">
        <v>934</v>
      </c>
      <c r="H551" t="s">
        <v>935</v>
      </c>
      <c r="I551" t="s">
        <v>42</v>
      </c>
      <c r="J551" t="s">
        <v>43</v>
      </c>
      <c r="K551" t="s">
        <v>133</v>
      </c>
      <c r="L551" t="s">
        <v>134</v>
      </c>
      <c r="M551" t="s">
        <v>33</v>
      </c>
      <c r="N551" t="s">
        <v>34</v>
      </c>
      <c r="O551" t="s">
        <v>35</v>
      </c>
      <c r="P551" t="s">
        <v>36</v>
      </c>
      <c r="Q551" t="s">
        <v>37</v>
      </c>
      <c r="R551">
        <v>2020.5</v>
      </c>
      <c r="S551">
        <v>5</v>
      </c>
      <c r="T551">
        <v>0.1</v>
      </c>
      <c r="U551" s="34" t="str">
        <f t="shared" si="52"/>
        <v>Low</v>
      </c>
      <c r="V551">
        <v>-173.35</v>
      </c>
      <c r="W551" s="29">
        <f t="shared" si="53"/>
        <v>-0.0857955951497154</v>
      </c>
      <c r="X551">
        <v>39.03</v>
      </c>
      <c r="Y551" t="s">
        <v>70</v>
      </c>
      <c r="Z551" s="34" t="str">
        <f t="shared" si="54"/>
        <v>Large</v>
      </c>
    </row>
    <row r="552" spans="1:26">
      <c r="A552" t="s">
        <v>1364</v>
      </c>
      <c r="B552" s="44">
        <v>45095</v>
      </c>
      <c r="C552" s="34">
        <f t="shared" si="49"/>
        <v>2023</v>
      </c>
      <c r="D552" s="34">
        <f t="shared" si="50"/>
        <v>6</v>
      </c>
      <c r="E552" s="34" t="str">
        <f t="shared" si="51"/>
        <v>June</v>
      </c>
      <c r="F552" s="44">
        <v>45102</v>
      </c>
      <c r="G552" t="s">
        <v>106</v>
      </c>
      <c r="H552" t="s">
        <v>107</v>
      </c>
      <c r="I552" t="s">
        <v>29</v>
      </c>
      <c r="J552" t="s">
        <v>30</v>
      </c>
      <c r="K552" t="s">
        <v>108</v>
      </c>
      <c r="L552" t="s">
        <v>109</v>
      </c>
      <c r="M552" t="s">
        <v>58</v>
      </c>
      <c r="N552" t="s">
        <v>546</v>
      </c>
      <c r="O552" t="s">
        <v>35</v>
      </c>
      <c r="P552" t="s">
        <v>36</v>
      </c>
      <c r="Q552" t="s">
        <v>547</v>
      </c>
      <c r="R552">
        <v>7961</v>
      </c>
      <c r="S552">
        <v>4</v>
      </c>
      <c r="T552">
        <v>0.05</v>
      </c>
      <c r="U552" s="34" t="str">
        <f t="shared" si="52"/>
        <v>Low</v>
      </c>
      <c r="V552">
        <v>1180.98</v>
      </c>
      <c r="W552" s="29">
        <f t="shared" si="53"/>
        <v>0.148345685215425</v>
      </c>
      <c r="X552">
        <v>43.91</v>
      </c>
      <c r="Y552" t="s">
        <v>62</v>
      </c>
      <c r="Z552" s="34" t="str">
        <f t="shared" si="54"/>
        <v>Large</v>
      </c>
    </row>
    <row r="553" spans="1:26">
      <c r="A553" t="s">
        <v>1365</v>
      </c>
      <c r="B553" s="44">
        <v>44514</v>
      </c>
      <c r="C553" s="34">
        <f t="shared" si="49"/>
        <v>2021</v>
      </c>
      <c r="D553" s="34">
        <f t="shared" si="50"/>
        <v>11</v>
      </c>
      <c r="E553" s="34" t="str">
        <f t="shared" si="51"/>
        <v>November</v>
      </c>
      <c r="F553" s="44">
        <v>44521</v>
      </c>
      <c r="G553" t="s">
        <v>733</v>
      </c>
      <c r="H553" t="s">
        <v>734</v>
      </c>
      <c r="I553" t="s">
        <v>29</v>
      </c>
      <c r="J553" t="s">
        <v>30</v>
      </c>
      <c r="K553" t="s">
        <v>645</v>
      </c>
      <c r="L553" t="s">
        <v>311</v>
      </c>
      <c r="M553" t="s">
        <v>58</v>
      </c>
      <c r="N553" t="s">
        <v>582</v>
      </c>
      <c r="O553" t="s">
        <v>35</v>
      </c>
      <c r="P553" t="s">
        <v>78</v>
      </c>
      <c r="Q553" t="s">
        <v>583</v>
      </c>
      <c r="R553">
        <v>1497</v>
      </c>
      <c r="S553">
        <v>3</v>
      </c>
      <c r="T553">
        <v>0</v>
      </c>
      <c r="U553" s="34" t="str">
        <f t="shared" si="52"/>
        <v>No Discount</v>
      </c>
      <c r="V553">
        <v>316.11</v>
      </c>
      <c r="W553" s="29">
        <f t="shared" si="53"/>
        <v>0.211162324649299</v>
      </c>
      <c r="X553">
        <v>44.1</v>
      </c>
      <c r="Y553" t="s">
        <v>96</v>
      </c>
      <c r="Z553" s="34" t="str">
        <f t="shared" si="54"/>
        <v>Medium</v>
      </c>
    </row>
    <row r="554" spans="1:26">
      <c r="A554" t="s">
        <v>1366</v>
      </c>
      <c r="B554" s="44">
        <v>45000</v>
      </c>
      <c r="C554" s="34">
        <f t="shared" si="49"/>
        <v>2023</v>
      </c>
      <c r="D554" s="34">
        <f t="shared" si="50"/>
        <v>3</v>
      </c>
      <c r="E554" s="34" t="str">
        <f t="shared" si="51"/>
        <v>March</v>
      </c>
      <c r="F554" s="44">
        <v>45004</v>
      </c>
      <c r="G554" t="s">
        <v>1367</v>
      </c>
      <c r="H554" t="s">
        <v>1368</v>
      </c>
      <c r="I554" t="s">
        <v>29</v>
      </c>
      <c r="J554" t="s">
        <v>43</v>
      </c>
      <c r="K554" t="s">
        <v>44</v>
      </c>
      <c r="L554" t="s">
        <v>195</v>
      </c>
      <c r="M554" t="s">
        <v>46</v>
      </c>
      <c r="N554" t="s">
        <v>286</v>
      </c>
      <c r="O554" t="s">
        <v>35</v>
      </c>
      <c r="P554" t="s">
        <v>202</v>
      </c>
      <c r="Q554" t="s">
        <v>287</v>
      </c>
      <c r="R554">
        <v>417.2</v>
      </c>
      <c r="S554">
        <v>4</v>
      </c>
      <c r="T554">
        <v>0.3</v>
      </c>
      <c r="U554" s="34" t="str">
        <f t="shared" si="52"/>
        <v>High</v>
      </c>
      <c r="V554">
        <v>38.52</v>
      </c>
      <c r="W554" s="29">
        <f t="shared" si="53"/>
        <v>0.0923298178331736</v>
      </c>
      <c r="X554">
        <v>10.68</v>
      </c>
      <c r="Y554" t="s">
        <v>96</v>
      </c>
      <c r="Z554" s="34" t="str">
        <f t="shared" si="54"/>
        <v>Small</v>
      </c>
    </row>
    <row r="555" spans="1:26">
      <c r="A555" t="s">
        <v>1369</v>
      </c>
      <c r="B555" s="44">
        <v>44322</v>
      </c>
      <c r="C555" s="34">
        <f t="shared" si="49"/>
        <v>2021</v>
      </c>
      <c r="D555" s="34">
        <f t="shared" si="50"/>
        <v>5</v>
      </c>
      <c r="E555" s="34" t="str">
        <f t="shared" si="51"/>
        <v>May</v>
      </c>
      <c r="F555" s="44">
        <v>44329</v>
      </c>
      <c r="G555" t="s">
        <v>879</v>
      </c>
      <c r="H555" t="s">
        <v>880</v>
      </c>
      <c r="I555" t="s">
        <v>42</v>
      </c>
      <c r="J555" t="s">
        <v>30</v>
      </c>
      <c r="K555" t="s">
        <v>44</v>
      </c>
      <c r="L555" t="s">
        <v>195</v>
      </c>
      <c r="M555" t="s">
        <v>46</v>
      </c>
      <c r="N555" t="s">
        <v>375</v>
      </c>
      <c r="O555" t="s">
        <v>35</v>
      </c>
      <c r="P555" t="s">
        <v>163</v>
      </c>
      <c r="Q555" t="s">
        <v>376</v>
      </c>
      <c r="R555">
        <v>2596</v>
      </c>
      <c r="S555">
        <v>4</v>
      </c>
      <c r="T555">
        <v>0</v>
      </c>
      <c r="U555" s="34" t="str">
        <f t="shared" si="52"/>
        <v>No Discount</v>
      </c>
      <c r="V555">
        <v>569.34</v>
      </c>
      <c r="W555" s="29">
        <f t="shared" si="53"/>
        <v>0.219314329738059</v>
      </c>
      <c r="X555">
        <v>5.92</v>
      </c>
      <c r="Y555" t="s">
        <v>51</v>
      </c>
      <c r="Z555" s="34" t="str">
        <f t="shared" si="54"/>
        <v>Large</v>
      </c>
    </row>
    <row r="556" spans="1:26">
      <c r="A556" t="s">
        <v>1370</v>
      </c>
      <c r="B556" s="44">
        <v>44147</v>
      </c>
      <c r="C556" s="34">
        <f t="shared" si="49"/>
        <v>2020</v>
      </c>
      <c r="D556" s="34">
        <f t="shared" si="50"/>
        <v>11</v>
      </c>
      <c r="E556" s="34" t="str">
        <f t="shared" si="51"/>
        <v>November</v>
      </c>
      <c r="F556" s="44">
        <v>44149</v>
      </c>
      <c r="G556" t="s">
        <v>403</v>
      </c>
      <c r="H556" t="s">
        <v>404</v>
      </c>
      <c r="I556" t="s">
        <v>29</v>
      </c>
      <c r="J556" t="s">
        <v>43</v>
      </c>
      <c r="K556" t="s">
        <v>187</v>
      </c>
      <c r="L556" t="s">
        <v>188</v>
      </c>
      <c r="M556" t="s">
        <v>33</v>
      </c>
      <c r="N556" t="s">
        <v>223</v>
      </c>
      <c r="O556" t="s">
        <v>48</v>
      </c>
      <c r="P556" t="s">
        <v>60</v>
      </c>
      <c r="Q556" t="s">
        <v>224</v>
      </c>
      <c r="R556">
        <v>89</v>
      </c>
      <c r="S556">
        <v>1</v>
      </c>
      <c r="T556">
        <v>0</v>
      </c>
      <c r="U556" s="34" t="str">
        <f t="shared" si="52"/>
        <v>No Discount</v>
      </c>
      <c r="V556">
        <v>-17.58</v>
      </c>
      <c r="W556" s="29">
        <f t="shared" si="53"/>
        <v>-0.19752808988764</v>
      </c>
      <c r="X556">
        <v>43.77</v>
      </c>
      <c r="Y556" t="s">
        <v>62</v>
      </c>
      <c r="Z556" s="34" t="str">
        <f t="shared" si="54"/>
        <v>Small</v>
      </c>
    </row>
    <row r="557" spans="1:26">
      <c r="A557" t="s">
        <v>1371</v>
      </c>
      <c r="B557" s="44">
        <v>45349</v>
      </c>
      <c r="C557" s="34">
        <f t="shared" si="49"/>
        <v>2024</v>
      </c>
      <c r="D557" s="34">
        <f t="shared" si="50"/>
        <v>2</v>
      </c>
      <c r="E557" s="34" t="str">
        <f t="shared" si="51"/>
        <v>February</v>
      </c>
      <c r="F557" s="44">
        <v>45350</v>
      </c>
      <c r="G557" t="s">
        <v>477</v>
      </c>
      <c r="H557" t="s">
        <v>478</v>
      </c>
      <c r="I557" t="s">
        <v>55</v>
      </c>
      <c r="J557" t="s">
        <v>43</v>
      </c>
      <c r="K557" t="s">
        <v>84</v>
      </c>
      <c r="L557" t="s">
        <v>366</v>
      </c>
      <c r="M557" t="s">
        <v>33</v>
      </c>
      <c r="N557" t="s">
        <v>118</v>
      </c>
      <c r="O557" t="s">
        <v>67</v>
      </c>
      <c r="P557" t="s">
        <v>119</v>
      </c>
      <c r="Q557" t="s">
        <v>120</v>
      </c>
      <c r="R557">
        <v>4556.2</v>
      </c>
      <c r="S557">
        <v>4</v>
      </c>
      <c r="T557">
        <v>0.05</v>
      </c>
      <c r="U557" s="34" t="str">
        <f t="shared" si="52"/>
        <v>Low</v>
      </c>
      <c r="V557">
        <v>991.47</v>
      </c>
      <c r="W557" s="29">
        <f t="shared" si="53"/>
        <v>0.217608972389272</v>
      </c>
      <c r="X557">
        <v>36.3</v>
      </c>
      <c r="Y557" t="s">
        <v>38</v>
      </c>
      <c r="Z557" s="34" t="str">
        <f t="shared" si="54"/>
        <v>Large</v>
      </c>
    </row>
    <row r="558" spans="1:26">
      <c r="A558" t="s">
        <v>1372</v>
      </c>
      <c r="B558" s="44">
        <v>45046</v>
      </c>
      <c r="C558" s="34">
        <f t="shared" si="49"/>
        <v>2023</v>
      </c>
      <c r="D558" s="34">
        <f t="shared" si="50"/>
        <v>4</v>
      </c>
      <c r="E558" s="34" t="str">
        <f t="shared" si="51"/>
        <v>April</v>
      </c>
      <c r="F558" s="44">
        <v>45051</v>
      </c>
      <c r="G558" t="s">
        <v>597</v>
      </c>
      <c r="H558" t="s">
        <v>598</v>
      </c>
      <c r="I558" t="s">
        <v>29</v>
      </c>
      <c r="J558" t="s">
        <v>30</v>
      </c>
      <c r="K558" t="s">
        <v>199</v>
      </c>
      <c r="L558" t="s">
        <v>396</v>
      </c>
      <c r="M558" t="s">
        <v>46</v>
      </c>
      <c r="N558" t="s">
        <v>505</v>
      </c>
      <c r="O558" t="s">
        <v>67</v>
      </c>
      <c r="P558" t="s">
        <v>119</v>
      </c>
      <c r="Q558" t="s">
        <v>506</v>
      </c>
      <c r="R558">
        <v>2922.75</v>
      </c>
      <c r="S558">
        <v>3</v>
      </c>
      <c r="T558">
        <v>0.25</v>
      </c>
      <c r="U558" s="34" t="str">
        <f t="shared" si="52"/>
        <v>High</v>
      </c>
      <c r="V558">
        <v>285.65</v>
      </c>
      <c r="W558" s="29">
        <f t="shared" si="53"/>
        <v>0.0977332991189804</v>
      </c>
      <c r="X558">
        <v>22.07</v>
      </c>
      <c r="Y558" t="s">
        <v>51</v>
      </c>
      <c r="Z558" s="34" t="str">
        <f t="shared" si="54"/>
        <v>Large</v>
      </c>
    </row>
    <row r="559" spans="1:26">
      <c r="A559" t="s">
        <v>1373</v>
      </c>
      <c r="B559" s="44">
        <v>44481</v>
      </c>
      <c r="C559" s="34">
        <f t="shared" si="49"/>
        <v>2021</v>
      </c>
      <c r="D559" s="34">
        <f t="shared" si="50"/>
        <v>10</v>
      </c>
      <c r="E559" s="34" t="str">
        <f t="shared" si="51"/>
        <v>October</v>
      </c>
      <c r="F559" s="44">
        <v>44485</v>
      </c>
      <c r="G559" t="s">
        <v>811</v>
      </c>
      <c r="H559" t="s">
        <v>812</v>
      </c>
      <c r="I559" t="s">
        <v>42</v>
      </c>
      <c r="J559" t="s">
        <v>43</v>
      </c>
      <c r="K559" t="s">
        <v>331</v>
      </c>
      <c r="L559" t="s">
        <v>813</v>
      </c>
      <c r="M559" t="s">
        <v>58</v>
      </c>
      <c r="N559" t="s">
        <v>189</v>
      </c>
      <c r="O559" t="s">
        <v>48</v>
      </c>
      <c r="P559" t="s">
        <v>190</v>
      </c>
      <c r="Q559" t="s">
        <v>191</v>
      </c>
      <c r="R559">
        <v>119</v>
      </c>
      <c r="S559">
        <v>4</v>
      </c>
      <c r="T559">
        <v>0.15</v>
      </c>
      <c r="U559" s="34" t="str">
        <f t="shared" si="52"/>
        <v>Medium</v>
      </c>
      <c r="V559">
        <v>19.93</v>
      </c>
      <c r="W559" s="29">
        <f t="shared" si="53"/>
        <v>0.167478991596639</v>
      </c>
      <c r="X559">
        <v>32.74</v>
      </c>
      <c r="Y559" t="s">
        <v>51</v>
      </c>
      <c r="Z559" s="34" t="str">
        <f t="shared" si="54"/>
        <v>Small</v>
      </c>
    </row>
    <row r="560" spans="1:26">
      <c r="A560" t="s">
        <v>1374</v>
      </c>
      <c r="B560" s="44">
        <v>44880</v>
      </c>
      <c r="C560" s="34">
        <f t="shared" si="49"/>
        <v>2022</v>
      </c>
      <c r="D560" s="34">
        <f t="shared" si="50"/>
        <v>11</v>
      </c>
      <c r="E560" s="34" t="str">
        <f t="shared" si="51"/>
        <v>November</v>
      </c>
      <c r="F560" s="44">
        <v>44882</v>
      </c>
      <c r="G560" t="s">
        <v>1166</v>
      </c>
      <c r="H560" t="s">
        <v>1167</v>
      </c>
      <c r="I560" t="s">
        <v>29</v>
      </c>
      <c r="J560" t="s">
        <v>43</v>
      </c>
      <c r="K560" t="s">
        <v>284</v>
      </c>
      <c r="L560" t="s">
        <v>414</v>
      </c>
      <c r="M560" t="s">
        <v>76</v>
      </c>
      <c r="N560" t="s">
        <v>333</v>
      </c>
      <c r="O560" t="s">
        <v>48</v>
      </c>
      <c r="P560" t="s">
        <v>190</v>
      </c>
      <c r="Q560" t="s">
        <v>334</v>
      </c>
      <c r="R560">
        <v>567</v>
      </c>
      <c r="S560">
        <v>4</v>
      </c>
      <c r="T560">
        <v>0.25</v>
      </c>
      <c r="U560" s="34" t="str">
        <f t="shared" si="52"/>
        <v>High</v>
      </c>
      <c r="V560">
        <v>43.25</v>
      </c>
      <c r="W560" s="29">
        <f t="shared" si="53"/>
        <v>0.0762786596119929</v>
      </c>
      <c r="X560">
        <v>44.84</v>
      </c>
      <c r="Y560" t="s">
        <v>96</v>
      </c>
      <c r="Z560" s="34" t="str">
        <f t="shared" si="54"/>
        <v>Medium</v>
      </c>
    </row>
    <row r="561" spans="1:26">
      <c r="A561" t="s">
        <v>1375</v>
      </c>
      <c r="B561" s="44">
        <v>44954</v>
      </c>
      <c r="C561" s="34">
        <f t="shared" si="49"/>
        <v>2023</v>
      </c>
      <c r="D561" s="34">
        <f t="shared" si="50"/>
        <v>1</v>
      </c>
      <c r="E561" s="34" t="str">
        <f t="shared" si="51"/>
        <v>January</v>
      </c>
      <c r="F561" s="44">
        <v>44958</v>
      </c>
      <c r="G561" t="s">
        <v>144</v>
      </c>
      <c r="H561" t="s">
        <v>145</v>
      </c>
      <c r="I561" t="s">
        <v>55</v>
      </c>
      <c r="J561" t="s">
        <v>30</v>
      </c>
      <c r="K561" t="s">
        <v>146</v>
      </c>
      <c r="L561" t="s">
        <v>147</v>
      </c>
      <c r="M561" t="s">
        <v>33</v>
      </c>
      <c r="N561" t="s">
        <v>1074</v>
      </c>
      <c r="O561" t="s">
        <v>35</v>
      </c>
      <c r="P561" t="s">
        <v>111</v>
      </c>
      <c r="Q561" t="s">
        <v>1075</v>
      </c>
      <c r="R561">
        <v>404.6</v>
      </c>
      <c r="S561">
        <v>2</v>
      </c>
      <c r="T561">
        <v>0.3</v>
      </c>
      <c r="U561" s="34" t="str">
        <f t="shared" si="52"/>
        <v>High</v>
      </c>
      <c r="V561">
        <v>36.57</v>
      </c>
      <c r="W561" s="29">
        <f t="shared" si="53"/>
        <v>0.0903855659911023</v>
      </c>
      <c r="X561">
        <v>12.97</v>
      </c>
      <c r="Y561" t="s">
        <v>38</v>
      </c>
      <c r="Z561" s="34" t="str">
        <f t="shared" si="54"/>
        <v>Small</v>
      </c>
    </row>
    <row r="562" spans="1:26">
      <c r="A562" t="s">
        <v>1376</v>
      </c>
      <c r="B562" s="44">
        <v>44677</v>
      </c>
      <c r="C562" s="34">
        <f t="shared" si="49"/>
        <v>2022</v>
      </c>
      <c r="D562" s="34">
        <f t="shared" si="50"/>
        <v>4</v>
      </c>
      <c r="E562" s="34" t="str">
        <f t="shared" si="51"/>
        <v>April</v>
      </c>
      <c r="F562" s="44">
        <v>44680</v>
      </c>
      <c r="G562" t="s">
        <v>1377</v>
      </c>
      <c r="H562" t="s">
        <v>1378</v>
      </c>
      <c r="I562" t="s">
        <v>55</v>
      </c>
      <c r="J562" t="s">
        <v>43</v>
      </c>
      <c r="K562" t="s">
        <v>257</v>
      </c>
      <c r="L562" t="s">
        <v>1379</v>
      </c>
      <c r="M562" t="s">
        <v>76</v>
      </c>
      <c r="N562" t="s">
        <v>251</v>
      </c>
      <c r="O562" t="s">
        <v>67</v>
      </c>
      <c r="P562" t="s">
        <v>252</v>
      </c>
      <c r="Q562" t="s">
        <v>253</v>
      </c>
      <c r="R562">
        <v>2244</v>
      </c>
      <c r="S562">
        <v>3</v>
      </c>
      <c r="T562">
        <v>0</v>
      </c>
      <c r="U562" s="34" t="str">
        <f t="shared" si="52"/>
        <v>No Discount</v>
      </c>
      <c r="V562">
        <v>439.79</v>
      </c>
      <c r="W562" s="29">
        <f t="shared" si="53"/>
        <v>0.195984848484848</v>
      </c>
      <c r="X562">
        <v>30.05</v>
      </c>
      <c r="Y562" t="s">
        <v>38</v>
      </c>
      <c r="Z562" s="34" t="str">
        <f t="shared" si="54"/>
        <v>Large</v>
      </c>
    </row>
    <row r="563" spans="1:26">
      <c r="A563" t="s">
        <v>1380</v>
      </c>
      <c r="B563" s="44">
        <v>44635</v>
      </c>
      <c r="C563" s="34">
        <f t="shared" si="49"/>
        <v>2022</v>
      </c>
      <c r="D563" s="34">
        <f t="shared" si="50"/>
        <v>3</v>
      </c>
      <c r="E563" s="34" t="str">
        <f t="shared" si="51"/>
        <v>March</v>
      </c>
      <c r="F563" s="44">
        <v>44636</v>
      </c>
      <c r="G563" t="s">
        <v>1221</v>
      </c>
      <c r="H563" t="s">
        <v>1222</v>
      </c>
      <c r="I563" t="s">
        <v>42</v>
      </c>
      <c r="J563" t="s">
        <v>43</v>
      </c>
      <c r="K563" t="s">
        <v>175</v>
      </c>
      <c r="L563" t="s">
        <v>176</v>
      </c>
      <c r="M563" t="s">
        <v>46</v>
      </c>
      <c r="N563" t="s">
        <v>148</v>
      </c>
      <c r="O563" t="s">
        <v>48</v>
      </c>
      <c r="P563" t="s">
        <v>60</v>
      </c>
      <c r="Q563" t="s">
        <v>149</v>
      </c>
      <c r="R563">
        <v>99</v>
      </c>
      <c r="S563">
        <v>2</v>
      </c>
      <c r="T563">
        <v>0.1</v>
      </c>
      <c r="U563" s="34" t="str">
        <f t="shared" si="52"/>
        <v>Low</v>
      </c>
      <c r="V563">
        <v>11.62</v>
      </c>
      <c r="W563" s="29">
        <f t="shared" si="53"/>
        <v>0.117373737373737</v>
      </c>
      <c r="X563">
        <v>27.28</v>
      </c>
      <c r="Y563" t="s">
        <v>121</v>
      </c>
      <c r="Z563" s="34" t="str">
        <f t="shared" si="54"/>
        <v>Small</v>
      </c>
    </row>
    <row r="564" spans="1:26">
      <c r="A564" t="s">
        <v>1381</v>
      </c>
      <c r="B564" s="44">
        <v>45540</v>
      </c>
      <c r="C564" s="34">
        <f t="shared" si="49"/>
        <v>2024</v>
      </c>
      <c r="D564" s="34">
        <f t="shared" si="50"/>
        <v>9</v>
      </c>
      <c r="E564" s="34" t="str">
        <f t="shared" si="51"/>
        <v>September</v>
      </c>
      <c r="F564" s="44">
        <v>45545</v>
      </c>
      <c r="G564" t="s">
        <v>114</v>
      </c>
      <c r="H564" t="s">
        <v>115</v>
      </c>
      <c r="I564" t="s">
        <v>55</v>
      </c>
      <c r="J564" t="s">
        <v>43</v>
      </c>
      <c r="K564" t="s">
        <v>116</v>
      </c>
      <c r="L564" t="s">
        <v>117</v>
      </c>
      <c r="M564" t="s">
        <v>33</v>
      </c>
      <c r="N564" t="s">
        <v>66</v>
      </c>
      <c r="O564" t="s">
        <v>67</v>
      </c>
      <c r="P564" t="s">
        <v>68</v>
      </c>
      <c r="Q564" t="s">
        <v>69</v>
      </c>
      <c r="R564">
        <v>1917.6</v>
      </c>
      <c r="S564">
        <v>3</v>
      </c>
      <c r="T564">
        <v>0.2</v>
      </c>
      <c r="U564" s="34" t="str">
        <f t="shared" si="52"/>
        <v>Medium</v>
      </c>
      <c r="V564">
        <v>-105.19</v>
      </c>
      <c r="W564" s="29">
        <f t="shared" si="53"/>
        <v>-0.0548550271172299</v>
      </c>
      <c r="X564">
        <v>31.04</v>
      </c>
      <c r="Y564" t="s">
        <v>62</v>
      </c>
      <c r="Z564" s="34" t="str">
        <f t="shared" si="54"/>
        <v>Medium</v>
      </c>
    </row>
    <row r="565" spans="1:26">
      <c r="A565" t="s">
        <v>1382</v>
      </c>
      <c r="B565" s="44">
        <v>44133</v>
      </c>
      <c r="C565" s="34">
        <f t="shared" si="49"/>
        <v>2020</v>
      </c>
      <c r="D565" s="34">
        <f t="shared" si="50"/>
        <v>10</v>
      </c>
      <c r="E565" s="34" t="str">
        <f t="shared" si="51"/>
        <v>October</v>
      </c>
      <c r="F565" s="44">
        <v>44137</v>
      </c>
      <c r="G565" t="s">
        <v>1071</v>
      </c>
      <c r="H565" t="s">
        <v>1072</v>
      </c>
      <c r="I565" t="s">
        <v>55</v>
      </c>
      <c r="J565" t="s">
        <v>43</v>
      </c>
      <c r="K565" t="s">
        <v>349</v>
      </c>
      <c r="L565" t="s">
        <v>714</v>
      </c>
      <c r="M565" t="s">
        <v>33</v>
      </c>
      <c r="N565" t="s">
        <v>141</v>
      </c>
      <c r="O565" t="s">
        <v>35</v>
      </c>
      <c r="P565" t="s">
        <v>111</v>
      </c>
      <c r="Q565" t="s">
        <v>142</v>
      </c>
      <c r="R565">
        <v>298</v>
      </c>
      <c r="S565">
        <v>2</v>
      </c>
      <c r="T565">
        <v>0</v>
      </c>
      <c r="U565" s="34" t="str">
        <f t="shared" si="52"/>
        <v>No Discount</v>
      </c>
      <c r="V565">
        <v>38.38</v>
      </c>
      <c r="W565" s="29">
        <f t="shared" si="53"/>
        <v>0.128791946308725</v>
      </c>
      <c r="X565">
        <v>21.07</v>
      </c>
      <c r="Y565" t="s">
        <v>121</v>
      </c>
      <c r="Z565" s="34" t="str">
        <f t="shared" si="54"/>
        <v>Small</v>
      </c>
    </row>
    <row r="566" spans="1:26">
      <c r="A566" t="s">
        <v>1383</v>
      </c>
      <c r="B566" s="44">
        <v>44399</v>
      </c>
      <c r="C566" s="34">
        <f t="shared" si="49"/>
        <v>2021</v>
      </c>
      <c r="D566" s="34">
        <f t="shared" si="50"/>
        <v>7</v>
      </c>
      <c r="E566" s="34" t="str">
        <f t="shared" si="51"/>
        <v>July</v>
      </c>
      <c r="F566" s="44">
        <v>44401</v>
      </c>
      <c r="G566" t="s">
        <v>1087</v>
      </c>
      <c r="H566" t="s">
        <v>1088</v>
      </c>
      <c r="I566" t="s">
        <v>55</v>
      </c>
      <c r="J566" t="s">
        <v>43</v>
      </c>
      <c r="K566" t="s">
        <v>297</v>
      </c>
      <c r="L566" t="s">
        <v>298</v>
      </c>
      <c r="M566" t="s">
        <v>46</v>
      </c>
      <c r="N566" t="s">
        <v>415</v>
      </c>
      <c r="O566" t="s">
        <v>67</v>
      </c>
      <c r="P566" t="s">
        <v>252</v>
      </c>
      <c r="Q566" t="s">
        <v>416</v>
      </c>
      <c r="R566">
        <v>1596</v>
      </c>
      <c r="S566">
        <v>5</v>
      </c>
      <c r="T566">
        <v>0.2</v>
      </c>
      <c r="U566" s="34" t="str">
        <f t="shared" si="52"/>
        <v>Medium</v>
      </c>
      <c r="V566">
        <v>396.5</v>
      </c>
      <c r="W566" s="29">
        <f t="shared" si="53"/>
        <v>0.2484335839599</v>
      </c>
      <c r="X566">
        <v>8.35</v>
      </c>
      <c r="Y566" t="s">
        <v>96</v>
      </c>
      <c r="Z566" s="34" t="str">
        <f t="shared" si="54"/>
        <v>Medium</v>
      </c>
    </row>
    <row r="567" spans="1:26">
      <c r="A567" t="s">
        <v>1384</v>
      </c>
      <c r="B567" s="44">
        <v>44843</v>
      </c>
      <c r="C567" s="34">
        <f t="shared" si="49"/>
        <v>2022</v>
      </c>
      <c r="D567" s="34">
        <f t="shared" si="50"/>
        <v>10</v>
      </c>
      <c r="E567" s="34" t="str">
        <f t="shared" si="51"/>
        <v>October</v>
      </c>
      <c r="F567" s="44">
        <v>44849</v>
      </c>
      <c r="G567" t="s">
        <v>1285</v>
      </c>
      <c r="H567" t="s">
        <v>1286</v>
      </c>
      <c r="I567" t="s">
        <v>29</v>
      </c>
      <c r="J567" t="s">
        <v>43</v>
      </c>
      <c r="K567" t="s">
        <v>302</v>
      </c>
      <c r="L567" t="s">
        <v>1287</v>
      </c>
      <c r="M567" t="s">
        <v>76</v>
      </c>
      <c r="N567" t="s">
        <v>47</v>
      </c>
      <c r="O567" t="s">
        <v>48</v>
      </c>
      <c r="P567" t="s">
        <v>49</v>
      </c>
      <c r="Q567" t="s">
        <v>50</v>
      </c>
      <c r="R567">
        <v>158</v>
      </c>
      <c r="S567">
        <v>2</v>
      </c>
      <c r="T567">
        <v>0</v>
      </c>
      <c r="U567" s="34" t="str">
        <f t="shared" si="52"/>
        <v>No Discount</v>
      </c>
      <c r="V567">
        <v>10.37</v>
      </c>
      <c r="W567" s="29">
        <f t="shared" si="53"/>
        <v>0.0656329113924051</v>
      </c>
      <c r="X567">
        <v>44.44</v>
      </c>
      <c r="Y567" t="s">
        <v>51</v>
      </c>
      <c r="Z567" s="34" t="str">
        <f t="shared" si="54"/>
        <v>Small</v>
      </c>
    </row>
    <row r="568" spans="1:26">
      <c r="A568" t="s">
        <v>1385</v>
      </c>
      <c r="B568" s="44">
        <v>44896</v>
      </c>
      <c r="C568" s="34">
        <f t="shared" si="49"/>
        <v>2022</v>
      </c>
      <c r="D568" s="34">
        <f t="shared" si="50"/>
        <v>12</v>
      </c>
      <c r="E568" s="34" t="str">
        <f t="shared" si="51"/>
        <v>December</v>
      </c>
      <c r="F568" s="44">
        <v>44902</v>
      </c>
      <c r="G568" t="s">
        <v>1386</v>
      </c>
      <c r="H568" t="s">
        <v>1387</v>
      </c>
      <c r="I568" t="s">
        <v>42</v>
      </c>
      <c r="J568" t="s">
        <v>30</v>
      </c>
      <c r="K568" t="s">
        <v>640</v>
      </c>
      <c r="L568" t="s">
        <v>641</v>
      </c>
      <c r="M568" t="s">
        <v>76</v>
      </c>
      <c r="N568" t="s">
        <v>500</v>
      </c>
      <c r="O568" t="s">
        <v>67</v>
      </c>
      <c r="P568" t="s">
        <v>68</v>
      </c>
      <c r="Q568" t="s">
        <v>501</v>
      </c>
      <c r="R568">
        <v>1647</v>
      </c>
      <c r="S568">
        <v>3</v>
      </c>
      <c r="T568">
        <v>0</v>
      </c>
      <c r="U568" s="34" t="str">
        <f t="shared" si="52"/>
        <v>No Discount</v>
      </c>
      <c r="V568">
        <v>157.35</v>
      </c>
      <c r="W568" s="29">
        <f t="shared" si="53"/>
        <v>0.0955373406193078</v>
      </c>
      <c r="X568">
        <v>24.51</v>
      </c>
      <c r="Y568" t="s">
        <v>70</v>
      </c>
      <c r="Z568" s="34" t="str">
        <f t="shared" si="54"/>
        <v>Medium</v>
      </c>
    </row>
    <row r="569" spans="1:26">
      <c r="A569" t="s">
        <v>1388</v>
      </c>
      <c r="B569" s="44">
        <v>44175</v>
      </c>
      <c r="C569" s="34">
        <f t="shared" si="49"/>
        <v>2020</v>
      </c>
      <c r="D569" s="34">
        <f t="shared" si="50"/>
        <v>12</v>
      </c>
      <c r="E569" s="34" t="str">
        <f t="shared" si="51"/>
        <v>December</v>
      </c>
      <c r="F569" s="44">
        <v>44181</v>
      </c>
      <c r="G569" t="s">
        <v>483</v>
      </c>
      <c r="H569" t="s">
        <v>484</v>
      </c>
      <c r="I569" t="s">
        <v>42</v>
      </c>
      <c r="J569" t="s">
        <v>43</v>
      </c>
      <c r="K569" t="s">
        <v>108</v>
      </c>
      <c r="L569" t="s">
        <v>485</v>
      </c>
      <c r="M569" t="s">
        <v>58</v>
      </c>
      <c r="N569" t="s">
        <v>278</v>
      </c>
      <c r="O569" t="s">
        <v>35</v>
      </c>
      <c r="P569" t="s">
        <v>202</v>
      </c>
      <c r="Q569" t="s">
        <v>279</v>
      </c>
      <c r="R569">
        <v>1887.9</v>
      </c>
      <c r="S569">
        <v>3</v>
      </c>
      <c r="T569">
        <v>0.3</v>
      </c>
      <c r="U569" s="34" t="str">
        <f t="shared" si="52"/>
        <v>High</v>
      </c>
      <c r="V569">
        <v>411.61</v>
      </c>
      <c r="W569" s="29">
        <f t="shared" si="53"/>
        <v>0.218025319137666</v>
      </c>
      <c r="X569">
        <v>12.43</v>
      </c>
      <c r="Y569" t="s">
        <v>80</v>
      </c>
      <c r="Z569" s="34" t="str">
        <f t="shared" si="54"/>
        <v>Medium</v>
      </c>
    </row>
    <row r="570" spans="1:26">
      <c r="A570" t="s">
        <v>1389</v>
      </c>
      <c r="B570" s="44">
        <v>45291</v>
      </c>
      <c r="C570" s="34">
        <f t="shared" si="49"/>
        <v>2023</v>
      </c>
      <c r="D570" s="34">
        <f t="shared" si="50"/>
        <v>12</v>
      </c>
      <c r="E570" s="34" t="str">
        <f t="shared" si="51"/>
        <v>December</v>
      </c>
      <c r="F570" s="44">
        <v>45294</v>
      </c>
      <c r="G570" t="s">
        <v>694</v>
      </c>
      <c r="H570" t="s">
        <v>695</v>
      </c>
      <c r="I570" t="s">
        <v>55</v>
      </c>
      <c r="J570" t="s">
        <v>43</v>
      </c>
      <c r="K570" t="s">
        <v>160</v>
      </c>
      <c r="L570" t="s">
        <v>696</v>
      </c>
      <c r="M570" t="s">
        <v>76</v>
      </c>
      <c r="N570" t="s">
        <v>357</v>
      </c>
      <c r="O570" t="s">
        <v>48</v>
      </c>
      <c r="P570" t="s">
        <v>49</v>
      </c>
      <c r="Q570" t="s">
        <v>358</v>
      </c>
      <c r="R570">
        <v>131.1</v>
      </c>
      <c r="S570">
        <v>2</v>
      </c>
      <c r="T570">
        <v>0.05</v>
      </c>
      <c r="U570" s="34" t="str">
        <f t="shared" si="52"/>
        <v>Low</v>
      </c>
      <c r="V570">
        <v>16.27</v>
      </c>
      <c r="W570" s="29">
        <f t="shared" si="53"/>
        <v>0.124103737604882</v>
      </c>
      <c r="X570">
        <v>24.44</v>
      </c>
      <c r="Y570" t="s">
        <v>96</v>
      </c>
      <c r="Z570" s="34" t="str">
        <f t="shared" si="54"/>
        <v>Small</v>
      </c>
    </row>
    <row r="571" spans="1:26">
      <c r="A571" t="s">
        <v>1390</v>
      </c>
      <c r="B571" s="44">
        <v>44210</v>
      </c>
      <c r="C571" s="34">
        <f t="shared" si="49"/>
        <v>2021</v>
      </c>
      <c r="D571" s="34">
        <f t="shared" si="50"/>
        <v>1</v>
      </c>
      <c r="E571" s="34" t="str">
        <f t="shared" si="51"/>
        <v>January</v>
      </c>
      <c r="F571" s="44">
        <v>44211</v>
      </c>
      <c r="G571" t="s">
        <v>928</v>
      </c>
      <c r="H571" t="s">
        <v>929</v>
      </c>
      <c r="I571" t="s">
        <v>55</v>
      </c>
      <c r="J571" t="s">
        <v>43</v>
      </c>
      <c r="K571" t="s">
        <v>133</v>
      </c>
      <c r="L571" t="s">
        <v>753</v>
      </c>
      <c r="M571" t="s">
        <v>33</v>
      </c>
      <c r="N571" t="s">
        <v>367</v>
      </c>
      <c r="O571" t="s">
        <v>35</v>
      </c>
      <c r="P571" t="s">
        <v>202</v>
      </c>
      <c r="Q571" t="s">
        <v>368</v>
      </c>
      <c r="R571">
        <v>2695.5</v>
      </c>
      <c r="S571">
        <v>5</v>
      </c>
      <c r="T571">
        <v>0.1</v>
      </c>
      <c r="U571" s="34" t="str">
        <f t="shared" si="52"/>
        <v>Low</v>
      </c>
      <c r="V571">
        <v>471.92</v>
      </c>
      <c r="W571" s="29">
        <f t="shared" si="53"/>
        <v>0.175076980152105</v>
      </c>
      <c r="X571">
        <v>44.22</v>
      </c>
      <c r="Y571" t="s">
        <v>38</v>
      </c>
      <c r="Z571" s="34" t="str">
        <f t="shared" si="54"/>
        <v>Large</v>
      </c>
    </row>
    <row r="572" spans="1:26">
      <c r="A572" t="s">
        <v>1391</v>
      </c>
      <c r="B572" s="44">
        <v>44677</v>
      </c>
      <c r="C572" s="34">
        <f t="shared" si="49"/>
        <v>2022</v>
      </c>
      <c r="D572" s="34">
        <f t="shared" si="50"/>
        <v>4</v>
      </c>
      <c r="E572" s="34" t="str">
        <f t="shared" si="51"/>
        <v>April</v>
      </c>
      <c r="F572" s="44">
        <v>44683</v>
      </c>
      <c r="G572" t="s">
        <v>764</v>
      </c>
      <c r="H572" t="s">
        <v>606</v>
      </c>
      <c r="I572" t="s">
        <v>42</v>
      </c>
      <c r="J572" t="s">
        <v>43</v>
      </c>
      <c r="K572" t="s">
        <v>240</v>
      </c>
      <c r="L572" t="s">
        <v>765</v>
      </c>
      <c r="M572" t="s">
        <v>46</v>
      </c>
      <c r="N572" t="s">
        <v>59</v>
      </c>
      <c r="O572" t="s">
        <v>48</v>
      </c>
      <c r="P572" t="s">
        <v>60</v>
      </c>
      <c r="Q572" t="s">
        <v>61</v>
      </c>
      <c r="R572">
        <v>348</v>
      </c>
      <c r="S572">
        <v>2</v>
      </c>
      <c r="T572">
        <v>0</v>
      </c>
      <c r="U572" s="34" t="str">
        <f t="shared" si="52"/>
        <v>No Discount</v>
      </c>
      <c r="V572">
        <v>-32.21</v>
      </c>
      <c r="W572" s="29">
        <f t="shared" si="53"/>
        <v>-0.0925574712643678</v>
      </c>
      <c r="X572">
        <v>49.38</v>
      </c>
      <c r="Y572" t="s">
        <v>80</v>
      </c>
      <c r="Z572" s="34" t="str">
        <f t="shared" si="54"/>
        <v>Small</v>
      </c>
    </row>
    <row r="573" spans="1:26">
      <c r="A573" t="s">
        <v>1392</v>
      </c>
      <c r="B573" s="44">
        <v>44184</v>
      </c>
      <c r="C573" s="34">
        <f t="shared" si="49"/>
        <v>2020</v>
      </c>
      <c r="D573" s="34">
        <f t="shared" si="50"/>
        <v>12</v>
      </c>
      <c r="E573" s="34" t="str">
        <f t="shared" si="51"/>
        <v>December</v>
      </c>
      <c r="F573" s="44">
        <v>44190</v>
      </c>
      <c r="G573" t="s">
        <v>139</v>
      </c>
      <c r="H573" t="s">
        <v>140</v>
      </c>
      <c r="I573" t="s">
        <v>29</v>
      </c>
      <c r="J573" t="s">
        <v>43</v>
      </c>
      <c r="K573" t="s">
        <v>84</v>
      </c>
      <c r="L573" t="s">
        <v>85</v>
      </c>
      <c r="M573" t="s">
        <v>33</v>
      </c>
      <c r="N573" t="s">
        <v>292</v>
      </c>
      <c r="O573" t="s">
        <v>35</v>
      </c>
      <c r="P573" t="s">
        <v>163</v>
      </c>
      <c r="Q573" t="s">
        <v>293</v>
      </c>
      <c r="R573">
        <v>5196</v>
      </c>
      <c r="S573">
        <v>4</v>
      </c>
      <c r="T573">
        <v>0</v>
      </c>
      <c r="U573" s="34" t="str">
        <f t="shared" si="52"/>
        <v>No Discount</v>
      </c>
      <c r="V573">
        <v>-427.68</v>
      </c>
      <c r="W573" s="29">
        <f t="shared" si="53"/>
        <v>-0.0823094688221709</v>
      </c>
      <c r="X573">
        <v>40</v>
      </c>
      <c r="Y573" t="s">
        <v>96</v>
      </c>
      <c r="Z573" s="34" t="str">
        <f t="shared" si="54"/>
        <v>Large</v>
      </c>
    </row>
    <row r="574" spans="1:26">
      <c r="A574" t="s">
        <v>1393</v>
      </c>
      <c r="B574" s="44">
        <v>44561</v>
      </c>
      <c r="C574" s="34">
        <f t="shared" si="49"/>
        <v>2021</v>
      </c>
      <c r="D574" s="34">
        <f t="shared" si="50"/>
        <v>12</v>
      </c>
      <c r="E574" s="34" t="str">
        <f t="shared" si="51"/>
        <v>December</v>
      </c>
      <c r="F574" s="44">
        <v>44567</v>
      </c>
      <c r="G574" t="s">
        <v>231</v>
      </c>
      <c r="H574" t="s">
        <v>232</v>
      </c>
      <c r="I574" t="s">
        <v>55</v>
      </c>
      <c r="J574" t="s">
        <v>43</v>
      </c>
      <c r="K574" t="s">
        <v>233</v>
      </c>
      <c r="L574" t="s">
        <v>234</v>
      </c>
      <c r="M574" t="s">
        <v>46</v>
      </c>
      <c r="N574" t="s">
        <v>339</v>
      </c>
      <c r="O574" t="s">
        <v>35</v>
      </c>
      <c r="P574" t="s">
        <v>78</v>
      </c>
      <c r="Q574" t="s">
        <v>340</v>
      </c>
      <c r="R574">
        <v>858.75</v>
      </c>
      <c r="S574">
        <v>5</v>
      </c>
      <c r="T574">
        <v>0.25</v>
      </c>
      <c r="U574" s="34" t="str">
        <f t="shared" si="52"/>
        <v>High</v>
      </c>
      <c r="V574">
        <v>146.89</v>
      </c>
      <c r="W574" s="29">
        <f t="shared" si="53"/>
        <v>0.171050946142649</v>
      </c>
      <c r="X574">
        <v>25.6</v>
      </c>
      <c r="Y574" t="s">
        <v>51</v>
      </c>
      <c r="Z574" s="34" t="str">
        <f t="shared" si="54"/>
        <v>Medium</v>
      </c>
    </row>
    <row r="575" spans="1:26">
      <c r="A575" t="s">
        <v>1394</v>
      </c>
      <c r="B575" s="44">
        <v>44171</v>
      </c>
      <c r="C575" s="34">
        <f t="shared" si="49"/>
        <v>2020</v>
      </c>
      <c r="D575" s="34">
        <f t="shared" si="50"/>
        <v>12</v>
      </c>
      <c r="E575" s="34" t="str">
        <f t="shared" si="51"/>
        <v>December</v>
      </c>
      <c r="F575" s="44">
        <v>44177</v>
      </c>
      <c r="G575" t="s">
        <v>1257</v>
      </c>
      <c r="H575" t="s">
        <v>1258</v>
      </c>
      <c r="I575" t="s">
        <v>42</v>
      </c>
      <c r="J575" t="s">
        <v>30</v>
      </c>
      <c r="K575" t="s">
        <v>92</v>
      </c>
      <c r="L575" t="s">
        <v>93</v>
      </c>
      <c r="M575" t="s">
        <v>76</v>
      </c>
      <c r="N575" t="s">
        <v>251</v>
      </c>
      <c r="O575" t="s">
        <v>67</v>
      </c>
      <c r="P575" t="s">
        <v>252</v>
      </c>
      <c r="Q575" t="s">
        <v>253</v>
      </c>
      <c r="R575">
        <v>2244</v>
      </c>
      <c r="S575">
        <v>3</v>
      </c>
      <c r="T575">
        <v>0</v>
      </c>
      <c r="U575" s="34" t="str">
        <f t="shared" si="52"/>
        <v>No Discount</v>
      </c>
      <c r="V575">
        <v>256.44</v>
      </c>
      <c r="W575" s="29">
        <f t="shared" si="53"/>
        <v>0.11427807486631</v>
      </c>
      <c r="X575">
        <v>42.79</v>
      </c>
      <c r="Y575" t="s">
        <v>62</v>
      </c>
      <c r="Z575" s="34" t="str">
        <f t="shared" si="54"/>
        <v>Large</v>
      </c>
    </row>
    <row r="576" spans="1:26">
      <c r="A576" t="s">
        <v>1395</v>
      </c>
      <c r="B576" s="44">
        <v>44191</v>
      </c>
      <c r="C576" s="34">
        <f t="shared" si="49"/>
        <v>2020</v>
      </c>
      <c r="D576" s="34">
        <f t="shared" si="50"/>
        <v>12</v>
      </c>
      <c r="E576" s="34" t="str">
        <f t="shared" si="51"/>
        <v>December</v>
      </c>
      <c r="F576" s="44">
        <v>44195</v>
      </c>
      <c r="G576" t="s">
        <v>364</v>
      </c>
      <c r="H576" t="s">
        <v>365</v>
      </c>
      <c r="I576" t="s">
        <v>42</v>
      </c>
      <c r="J576" t="s">
        <v>30</v>
      </c>
      <c r="K576" t="s">
        <v>84</v>
      </c>
      <c r="L576" t="s">
        <v>366</v>
      </c>
      <c r="M576" t="s">
        <v>33</v>
      </c>
      <c r="N576" t="s">
        <v>409</v>
      </c>
      <c r="O576" t="s">
        <v>48</v>
      </c>
      <c r="P576" t="s">
        <v>60</v>
      </c>
      <c r="Q576" t="s">
        <v>410</v>
      </c>
      <c r="R576">
        <v>117</v>
      </c>
      <c r="S576">
        <v>3</v>
      </c>
      <c r="T576">
        <v>0</v>
      </c>
      <c r="U576" s="34" t="str">
        <f t="shared" si="52"/>
        <v>No Discount</v>
      </c>
      <c r="V576">
        <v>-15.55</v>
      </c>
      <c r="W576" s="29">
        <f t="shared" si="53"/>
        <v>-0.132905982905983</v>
      </c>
      <c r="X576">
        <v>20.64</v>
      </c>
      <c r="Y576" t="s">
        <v>51</v>
      </c>
      <c r="Z576" s="34" t="str">
        <f t="shared" si="54"/>
        <v>Small</v>
      </c>
    </row>
    <row r="577" spans="1:26">
      <c r="A577" t="s">
        <v>1396</v>
      </c>
      <c r="B577" s="44">
        <v>45285</v>
      </c>
      <c r="C577" s="34">
        <f t="shared" si="49"/>
        <v>2023</v>
      </c>
      <c r="D577" s="34">
        <f t="shared" si="50"/>
        <v>12</v>
      </c>
      <c r="E577" s="34" t="str">
        <f t="shared" si="51"/>
        <v>December</v>
      </c>
      <c r="F577" s="44">
        <v>45287</v>
      </c>
      <c r="G577" t="s">
        <v>1397</v>
      </c>
      <c r="H577" t="s">
        <v>1398</v>
      </c>
      <c r="I577" t="s">
        <v>29</v>
      </c>
      <c r="J577" t="s">
        <v>43</v>
      </c>
      <c r="K577" t="s">
        <v>326</v>
      </c>
      <c r="L577" t="s">
        <v>1003</v>
      </c>
      <c r="M577" t="s">
        <v>58</v>
      </c>
      <c r="N577" t="s">
        <v>424</v>
      </c>
      <c r="O577" t="s">
        <v>67</v>
      </c>
      <c r="P577" t="s">
        <v>103</v>
      </c>
      <c r="Q577" t="s">
        <v>425</v>
      </c>
      <c r="R577">
        <v>519.2</v>
      </c>
      <c r="S577">
        <v>1</v>
      </c>
      <c r="T577">
        <v>0.2</v>
      </c>
      <c r="U577" s="34" t="str">
        <f t="shared" si="52"/>
        <v>Medium</v>
      </c>
      <c r="V577">
        <v>-52.32</v>
      </c>
      <c r="W577" s="29">
        <f t="shared" si="53"/>
        <v>-0.100770416024653</v>
      </c>
      <c r="X577">
        <v>35.96</v>
      </c>
      <c r="Y577" t="s">
        <v>121</v>
      </c>
      <c r="Z577" s="34" t="str">
        <f t="shared" si="54"/>
        <v>Medium</v>
      </c>
    </row>
    <row r="578" spans="1:26">
      <c r="A578" t="s">
        <v>1399</v>
      </c>
      <c r="B578" s="44">
        <v>44186</v>
      </c>
      <c r="C578" s="34">
        <f t="shared" ref="C578:C641" si="55">YEAR(B578)</f>
        <v>2020</v>
      </c>
      <c r="D578" s="34">
        <f t="shared" ref="D578:D641" si="56">MONTH(B578)</f>
        <v>12</v>
      </c>
      <c r="E578" s="34" t="str">
        <f t="shared" ref="E578:E641" si="57">TEXT(B578,"mmmm")</f>
        <v>December</v>
      </c>
      <c r="F578" s="44">
        <v>44192</v>
      </c>
      <c r="G578" t="s">
        <v>626</v>
      </c>
      <c r="H578" t="s">
        <v>627</v>
      </c>
      <c r="I578" t="s">
        <v>29</v>
      </c>
      <c r="J578" t="s">
        <v>43</v>
      </c>
      <c r="K578" t="s">
        <v>245</v>
      </c>
      <c r="L578" t="s">
        <v>511</v>
      </c>
      <c r="M578" t="s">
        <v>76</v>
      </c>
      <c r="N578" t="s">
        <v>47</v>
      </c>
      <c r="O578" t="s">
        <v>48</v>
      </c>
      <c r="P578" t="s">
        <v>49</v>
      </c>
      <c r="Q578" t="s">
        <v>50</v>
      </c>
      <c r="R578">
        <v>158</v>
      </c>
      <c r="S578">
        <v>2</v>
      </c>
      <c r="T578">
        <v>0</v>
      </c>
      <c r="U578" s="34" t="str">
        <f t="shared" ref="U578:U641" si="58">IF(T578=0,"No Discount",IF(T578&lt;=0.1,"Low",IF(T578&lt;=0.2,"Medium","High")))</f>
        <v>No Discount</v>
      </c>
      <c r="V578">
        <v>-14.63</v>
      </c>
      <c r="W578" s="29">
        <f t="shared" ref="W578:W641" si="59">V578/R578</f>
        <v>-0.0925949367088608</v>
      </c>
      <c r="X578">
        <v>22.43</v>
      </c>
      <c r="Y578" t="s">
        <v>38</v>
      </c>
      <c r="Z578" s="34" t="str">
        <f t="shared" ref="Z578:Z641" si="60">IF(R578&lt;500,"Small",IF(R578&lt;=2000,"Medium","Large"))</f>
        <v>Small</v>
      </c>
    </row>
    <row r="579" spans="1:26">
      <c r="A579" t="s">
        <v>1400</v>
      </c>
      <c r="B579" s="44">
        <v>43932</v>
      </c>
      <c r="C579" s="34">
        <f t="shared" si="55"/>
        <v>2020</v>
      </c>
      <c r="D579" s="34">
        <f t="shared" si="56"/>
        <v>4</v>
      </c>
      <c r="E579" s="34" t="str">
        <f t="shared" si="57"/>
        <v>April</v>
      </c>
      <c r="F579" s="44">
        <v>43936</v>
      </c>
      <c r="G579" t="s">
        <v>1401</v>
      </c>
      <c r="H579" t="s">
        <v>1398</v>
      </c>
      <c r="I579" t="s">
        <v>55</v>
      </c>
      <c r="J579" t="s">
        <v>43</v>
      </c>
      <c r="K579" t="s">
        <v>273</v>
      </c>
      <c r="L579" t="s">
        <v>468</v>
      </c>
      <c r="M579" t="s">
        <v>46</v>
      </c>
      <c r="N579" t="s">
        <v>201</v>
      </c>
      <c r="O579" t="s">
        <v>35</v>
      </c>
      <c r="P579" t="s">
        <v>202</v>
      </c>
      <c r="Q579" t="s">
        <v>203</v>
      </c>
      <c r="R579">
        <v>1571.5</v>
      </c>
      <c r="S579">
        <v>5</v>
      </c>
      <c r="T579">
        <v>0</v>
      </c>
      <c r="U579" s="34" t="str">
        <f t="shared" si="58"/>
        <v>No Discount</v>
      </c>
      <c r="V579">
        <v>301.46</v>
      </c>
      <c r="W579" s="29">
        <f t="shared" si="59"/>
        <v>0.191829462297168</v>
      </c>
      <c r="X579">
        <v>42.79</v>
      </c>
      <c r="Y579" t="s">
        <v>80</v>
      </c>
      <c r="Z579" s="34" t="str">
        <f t="shared" si="60"/>
        <v>Medium</v>
      </c>
    </row>
    <row r="580" spans="1:26">
      <c r="A580" t="s">
        <v>1402</v>
      </c>
      <c r="B580" s="44">
        <v>44433</v>
      </c>
      <c r="C580" s="34">
        <f t="shared" si="55"/>
        <v>2021</v>
      </c>
      <c r="D580" s="34">
        <f t="shared" si="56"/>
        <v>8</v>
      </c>
      <c r="E580" s="34" t="str">
        <f t="shared" si="57"/>
        <v>August</v>
      </c>
      <c r="F580" s="44">
        <v>44440</v>
      </c>
      <c r="G580" t="s">
        <v>1403</v>
      </c>
      <c r="H580" t="s">
        <v>1404</v>
      </c>
      <c r="I580" t="s">
        <v>55</v>
      </c>
      <c r="J580" t="s">
        <v>43</v>
      </c>
      <c r="K580" t="s">
        <v>273</v>
      </c>
      <c r="L580" t="s">
        <v>541</v>
      </c>
      <c r="M580" t="s">
        <v>46</v>
      </c>
      <c r="N580" t="s">
        <v>47</v>
      </c>
      <c r="O580" t="s">
        <v>48</v>
      </c>
      <c r="P580" t="s">
        <v>49</v>
      </c>
      <c r="Q580" t="s">
        <v>50</v>
      </c>
      <c r="R580">
        <v>134.3</v>
      </c>
      <c r="S580">
        <v>2</v>
      </c>
      <c r="T580">
        <v>0.15</v>
      </c>
      <c r="U580" s="34" t="str">
        <f t="shared" si="58"/>
        <v>Medium</v>
      </c>
      <c r="V580">
        <v>28.74</v>
      </c>
      <c r="W580" s="29">
        <f t="shared" si="59"/>
        <v>0.213998510796724</v>
      </c>
      <c r="X580">
        <v>16.12</v>
      </c>
      <c r="Y580" t="s">
        <v>51</v>
      </c>
      <c r="Z580" s="34" t="str">
        <f t="shared" si="60"/>
        <v>Small</v>
      </c>
    </row>
    <row r="581" spans="1:26">
      <c r="A581" t="s">
        <v>1405</v>
      </c>
      <c r="B581" s="44">
        <v>45220</v>
      </c>
      <c r="C581" s="34">
        <f t="shared" si="55"/>
        <v>2023</v>
      </c>
      <c r="D581" s="34">
        <f t="shared" si="56"/>
        <v>10</v>
      </c>
      <c r="E581" s="34" t="str">
        <f t="shared" si="57"/>
        <v>October</v>
      </c>
      <c r="F581" s="44">
        <v>45223</v>
      </c>
      <c r="G581" t="s">
        <v>633</v>
      </c>
      <c r="H581" t="s">
        <v>634</v>
      </c>
      <c r="I581" t="s">
        <v>29</v>
      </c>
      <c r="J581" t="s">
        <v>43</v>
      </c>
      <c r="K581" t="s">
        <v>240</v>
      </c>
      <c r="L581" t="s">
        <v>635</v>
      </c>
      <c r="M581" t="s">
        <v>46</v>
      </c>
      <c r="N581" t="s">
        <v>94</v>
      </c>
      <c r="O581" t="s">
        <v>35</v>
      </c>
      <c r="P581" t="s">
        <v>36</v>
      </c>
      <c r="Q581" t="s">
        <v>95</v>
      </c>
      <c r="R581">
        <v>8475</v>
      </c>
      <c r="S581">
        <v>5</v>
      </c>
      <c r="T581">
        <v>0</v>
      </c>
      <c r="U581" s="34" t="str">
        <f t="shared" si="58"/>
        <v>No Discount</v>
      </c>
      <c r="V581">
        <v>1014.19</v>
      </c>
      <c r="W581" s="29">
        <f t="shared" si="59"/>
        <v>0.119668436578171</v>
      </c>
      <c r="X581">
        <v>9.38</v>
      </c>
      <c r="Y581" t="s">
        <v>70</v>
      </c>
      <c r="Z581" s="34" t="str">
        <f t="shared" si="60"/>
        <v>Large</v>
      </c>
    </row>
    <row r="582" spans="1:26">
      <c r="A582" t="s">
        <v>1406</v>
      </c>
      <c r="B582" s="44">
        <v>43845</v>
      </c>
      <c r="C582" s="34">
        <f t="shared" si="55"/>
        <v>2020</v>
      </c>
      <c r="D582" s="34">
        <f t="shared" si="56"/>
        <v>1</v>
      </c>
      <c r="E582" s="34" t="str">
        <f t="shared" si="57"/>
        <v>January</v>
      </c>
      <c r="F582" s="44">
        <v>43849</v>
      </c>
      <c r="G582" t="s">
        <v>721</v>
      </c>
      <c r="H582" t="s">
        <v>722</v>
      </c>
      <c r="I582" t="s">
        <v>29</v>
      </c>
      <c r="J582" t="s">
        <v>43</v>
      </c>
      <c r="K582" t="s">
        <v>213</v>
      </c>
      <c r="L582" t="s">
        <v>356</v>
      </c>
      <c r="M582" t="s">
        <v>33</v>
      </c>
      <c r="N582" t="s">
        <v>868</v>
      </c>
      <c r="O582" t="s">
        <v>48</v>
      </c>
      <c r="P582" t="s">
        <v>190</v>
      </c>
      <c r="Q582" t="s">
        <v>869</v>
      </c>
      <c r="R582">
        <v>253.3</v>
      </c>
      <c r="S582">
        <v>2</v>
      </c>
      <c r="T582">
        <v>0.15</v>
      </c>
      <c r="U582" s="34" t="str">
        <f t="shared" si="58"/>
        <v>Medium</v>
      </c>
      <c r="V582">
        <v>38.57</v>
      </c>
      <c r="W582" s="29">
        <f t="shared" si="59"/>
        <v>0.152270035530991</v>
      </c>
      <c r="X582">
        <v>23.4</v>
      </c>
      <c r="Y582" t="s">
        <v>51</v>
      </c>
      <c r="Z582" s="34" t="str">
        <f t="shared" si="60"/>
        <v>Small</v>
      </c>
    </row>
    <row r="583" spans="1:26">
      <c r="A583" t="s">
        <v>1407</v>
      </c>
      <c r="B583" s="44">
        <v>45110</v>
      </c>
      <c r="C583" s="34">
        <f t="shared" si="55"/>
        <v>2023</v>
      </c>
      <c r="D583" s="34">
        <f t="shared" si="56"/>
        <v>7</v>
      </c>
      <c r="E583" s="34" t="str">
        <f t="shared" si="57"/>
        <v>July</v>
      </c>
      <c r="F583" s="44">
        <v>45112</v>
      </c>
      <c r="G583" t="s">
        <v>708</v>
      </c>
      <c r="H583" t="s">
        <v>709</v>
      </c>
      <c r="I583" t="s">
        <v>29</v>
      </c>
      <c r="J583" t="s">
        <v>30</v>
      </c>
      <c r="K583" t="s">
        <v>100</v>
      </c>
      <c r="L583" t="s">
        <v>590</v>
      </c>
      <c r="M583" t="s">
        <v>33</v>
      </c>
      <c r="N583" t="s">
        <v>110</v>
      </c>
      <c r="O583" t="s">
        <v>35</v>
      </c>
      <c r="P583" t="s">
        <v>111</v>
      </c>
      <c r="Q583" t="s">
        <v>112</v>
      </c>
      <c r="R583">
        <v>796</v>
      </c>
      <c r="S583">
        <v>5</v>
      </c>
      <c r="T583">
        <v>0.2</v>
      </c>
      <c r="U583" s="34" t="str">
        <f t="shared" si="58"/>
        <v>Medium</v>
      </c>
      <c r="V583">
        <v>129.1</v>
      </c>
      <c r="W583" s="29">
        <f t="shared" si="59"/>
        <v>0.162185929648241</v>
      </c>
      <c r="X583">
        <v>47.25</v>
      </c>
      <c r="Y583" t="s">
        <v>121</v>
      </c>
      <c r="Z583" s="34" t="str">
        <f t="shared" si="60"/>
        <v>Medium</v>
      </c>
    </row>
    <row r="584" spans="1:26">
      <c r="A584" t="s">
        <v>1408</v>
      </c>
      <c r="B584" s="44">
        <v>43875</v>
      </c>
      <c r="C584" s="34">
        <f t="shared" si="55"/>
        <v>2020</v>
      </c>
      <c r="D584" s="34">
        <f t="shared" si="56"/>
        <v>2</v>
      </c>
      <c r="E584" s="34" t="str">
        <f t="shared" si="57"/>
        <v>February</v>
      </c>
      <c r="F584" s="44">
        <v>43882</v>
      </c>
      <c r="G584" t="s">
        <v>921</v>
      </c>
      <c r="H584" t="s">
        <v>922</v>
      </c>
      <c r="I584" t="s">
        <v>55</v>
      </c>
      <c r="J584" t="s">
        <v>43</v>
      </c>
      <c r="K584" t="s">
        <v>199</v>
      </c>
      <c r="L584" t="s">
        <v>851</v>
      </c>
      <c r="M584" t="s">
        <v>46</v>
      </c>
      <c r="N584" t="s">
        <v>533</v>
      </c>
      <c r="O584" t="s">
        <v>67</v>
      </c>
      <c r="P584" t="s">
        <v>119</v>
      </c>
      <c r="Q584" t="s">
        <v>534</v>
      </c>
      <c r="R584">
        <v>2307.9</v>
      </c>
      <c r="S584">
        <v>3</v>
      </c>
      <c r="T584">
        <v>0.3</v>
      </c>
      <c r="U584" s="34" t="str">
        <f t="shared" si="58"/>
        <v>High</v>
      </c>
      <c r="V584">
        <v>453.18</v>
      </c>
      <c r="W584" s="29">
        <f t="shared" si="59"/>
        <v>0.196360327570519</v>
      </c>
      <c r="X584">
        <v>28.01</v>
      </c>
      <c r="Y584" t="s">
        <v>137</v>
      </c>
      <c r="Z584" s="34" t="str">
        <f t="shared" si="60"/>
        <v>Large</v>
      </c>
    </row>
    <row r="585" spans="1:26">
      <c r="A585" t="s">
        <v>1409</v>
      </c>
      <c r="B585" s="44">
        <v>45196</v>
      </c>
      <c r="C585" s="34">
        <f t="shared" si="55"/>
        <v>2023</v>
      </c>
      <c r="D585" s="34">
        <f t="shared" si="56"/>
        <v>9</v>
      </c>
      <c r="E585" s="34" t="str">
        <f t="shared" si="57"/>
        <v>September</v>
      </c>
      <c r="F585" s="44">
        <v>45197</v>
      </c>
      <c r="G585" t="s">
        <v>1103</v>
      </c>
      <c r="H585" t="s">
        <v>1104</v>
      </c>
      <c r="I585" t="s">
        <v>29</v>
      </c>
      <c r="J585" t="s">
        <v>43</v>
      </c>
      <c r="K585" t="s">
        <v>297</v>
      </c>
      <c r="L585" t="s">
        <v>298</v>
      </c>
      <c r="M585" t="s">
        <v>46</v>
      </c>
      <c r="N585" t="s">
        <v>1074</v>
      </c>
      <c r="O585" t="s">
        <v>35</v>
      </c>
      <c r="P585" t="s">
        <v>111</v>
      </c>
      <c r="Q585" t="s">
        <v>1075</v>
      </c>
      <c r="R585">
        <v>433.5</v>
      </c>
      <c r="S585">
        <v>2</v>
      </c>
      <c r="T585">
        <v>0.25</v>
      </c>
      <c r="U585" s="34" t="str">
        <f t="shared" si="58"/>
        <v>High</v>
      </c>
      <c r="V585">
        <v>44.97</v>
      </c>
      <c r="W585" s="29">
        <f t="shared" si="59"/>
        <v>0.103737024221453</v>
      </c>
      <c r="X585">
        <v>23.51</v>
      </c>
      <c r="Y585" t="s">
        <v>137</v>
      </c>
      <c r="Z585" s="34" t="str">
        <f t="shared" si="60"/>
        <v>Small</v>
      </c>
    </row>
    <row r="586" spans="1:26">
      <c r="A586" t="s">
        <v>1410</v>
      </c>
      <c r="B586" s="44">
        <v>45270</v>
      </c>
      <c r="C586" s="34">
        <f t="shared" si="55"/>
        <v>2023</v>
      </c>
      <c r="D586" s="34">
        <f t="shared" si="56"/>
        <v>12</v>
      </c>
      <c r="E586" s="34" t="str">
        <f t="shared" si="57"/>
        <v>December</v>
      </c>
      <c r="F586" s="44">
        <v>45272</v>
      </c>
      <c r="G586" t="s">
        <v>1087</v>
      </c>
      <c r="H586" t="s">
        <v>1088</v>
      </c>
      <c r="I586" t="s">
        <v>55</v>
      </c>
      <c r="J586" t="s">
        <v>43</v>
      </c>
      <c r="K586" t="s">
        <v>297</v>
      </c>
      <c r="L586" t="s">
        <v>298</v>
      </c>
      <c r="M586" t="s">
        <v>46</v>
      </c>
      <c r="N586" t="s">
        <v>77</v>
      </c>
      <c r="O586" t="s">
        <v>35</v>
      </c>
      <c r="P586" t="s">
        <v>78</v>
      </c>
      <c r="Q586" t="s">
        <v>79</v>
      </c>
      <c r="R586">
        <v>1046.25</v>
      </c>
      <c r="S586">
        <v>1</v>
      </c>
      <c r="T586">
        <v>0.25</v>
      </c>
      <c r="U586" s="34" t="str">
        <f t="shared" si="58"/>
        <v>High</v>
      </c>
      <c r="V586">
        <v>-65.22</v>
      </c>
      <c r="W586" s="29">
        <f t="shared" si="59"/>
        <v>-0.062336917562724</v>
      </c>
      <c r="X586">
        <v>43.04</v>
      </c>
      <c r="Y586" t="s">
        <v>137</v>
      </c>
      <c r="Z586" s="34" t="str">
        <f t="shared" si="60"/>
        <v>Medium</v>
      </c>
    </row>
    <row r="587" spans="1:26">
      <c r="A587" t="s">
        <v>1411</v>
      </c>
      <c r="B587" s="44">
        <v>43833</v>
      </c>
      <c r="C587" s="34">
        <f t="shared" si="55"/>
        <v>2020</v>
      </c>
      <c r="D587" s="34">
        <f t="shared" si="56"/>
        <v>1</v>
      </c>
      <c r="E587" s="34" t="str">
        <f t="shared" si="57"/>
        <v>January</v>
      </c>
      <c r="F587" s="44">
        <v>43835</v>
      </c>
      <c r="G587" t="s">
        <v>1154</v>
      </c>
      <c r="H587" t="s">
        <v>1155</v>
      </c>
      <c r="I587" t="s">
        <v>55</v>
      </c>
      <c r="J587" t="s">
        <v>43</v>
      </c>
      <c r="K587" t="s">
        <v>602</v>
      </c>
      <c r="L587" t="s">
        <v>726</v>
      </c>
      <c r="M587" t="s">
        <v>46</v>
      </c>
      <c r="N587" t="s">
        <v>321</v>
      </c>
      <c r="O587" t="s">
        <v>48</v>
      </c>
      <c r="P587" t="s">
        <v>190</v>
      </c>
      <c r="Q587" t="s">
        <v>322</v>
      </c>
      <c r="R587">
        <v>236</v>
      </c>
      <c r="S587">
        <v>4</v>
      </c>
      <c r="T587">
        <v>0</v>
      </c>
      <c r="U587" s="34" t="str">
        <f t="shared" si="58"/>
        <v>No Discount</v>
      </c>
      <c r="V587">
        <v>48.63</v>
      </c>
      <c r="W587" s="29">
        <f t="shared" si="59"/>
        <v>0.206059322033898</v>
      </c>
      <c r="X587">
        <v>10.97</v>
      </c>
      <c r="Y587" t="s">
        <v>62</v>
      </c>
      <c r="Z587" s="34" t="str">
        <f t="shared" si="60"/>
        <v>Small</v>
      </c>
    </row>
    <row r="588" spans="1:26">
      <c r="A588" t="s">
        <v>1412</v>
      </c>
      <c r="B588" s="44">
        <v>44030</v>
      </c>
      <c r="C588" s="34">
        <f t="shared" si="55"/>
        <v>2020</v>
      </c>
      <c r="D588" s="34">
        <f t="shared" si="56"/>
        <v>7</v>
      </c>
      <c r="E588" s="34" t="str">
        <f t="shared" si="57"/>
        <v>July</v>
      </c>
      <c r="F588" s="44">
        <v>44037</v>
      </c>
      <c r="G588" t="s">
        <v>1338</v>
      </c>
      <c r="H588" t="s">
        <v>1339</v>
      </c>
      <c r="I588" t="s">
        <v>29</v>
      </c>
      <c r="J588" t="s">
        <v>30</v>
      </c>
      <c r="K588" t="s">
        <v>125</v>
      </c>
      <c r="L588" t="s">
        <v>808</v>
      </c>
      <c r="M588" t="s">
        <v>58</v>
      </c>
      <c r="N588" t="s">
        <v>409</v>
      </c>
      <c r="O588" t="s">
        <v>48</v>
      </c>
      <c r="P588" t="s">
        <v>60</v>
      </c>
      <c r="Q588" t="s">
        <v>410</v>
      </c>
      <c r="R588">
        <v>78</v>
      </c>
      <c r="S588">
        <v>2</v>
      </c>
      <c r="T588">
        <v>0</v>
      </c>
      <c r="U588" s="34" t="str">
        <f t="shared" si="58"/>
        <v>No Discount</v>
      </c>
      <c r="V588">
        <v>13.39</v>
      </c>
      <c r="W588" s="29">
        <f t="shared" si="59"/>
        <v>0.171666666666667</v>
      </c>
      <c r="X588">
        <v>20.36</v>
      </c>
      <c r="Y588" t="s">
        <v>70</v>
      </c>
      <c r="Z588" s="34" t="str">
        <f t="shared" si="60"/>
        <v>Small</v>
      </c>
    </row>
    <row r="589" spans="1:26">
      <c r="A589" t="s">
        <v>1413</v>
      </c>
      <c r="B589" s="44">
        <v>44759</v>
      </c>
      <c r="C589" s="34">
        <f t="shared" si="55"/>
        <v>2022</v>
      </c>
      <c r="D589" s="34">
        <f t="shared" si="56"/>
        <v>7</v>
      </c>
      <c r="E589" s="34" t="str">
        <f t="shared" si="57"/>
        <v>July</v>
      </c>
      <c r="F589" s="44">
        <v>44764</v>
      </c>
      <c r="G589" t="s">
        <v>842</v>
      </c>
      <c r="H589" t="s">
        <v>843</v>
      </c>
      <c r="I589" t="s">
        <v>42</v>
      </c>
      <c r="J589" t="s">
        <v>43</v>
      </c>
      <c r="K589" t="s">
        <v>92</v>
      </c>
      <c r="L589" t="s">
        <v>93</v>
      </c>
      <c r="M589" t="s">
        <v>76</v>
      </c>
      <c r="N589" t="s">
        <v>286</v>
      </c>
      <c r="O589" t="s">
        <v>35</v>
      </c>
      <c r="P589" t="s">
        <v>202</v>
      </c>
      <c r="Q589" t="s">
        <v>287</v>
      </c>
      <c r="R589">
        <v>745</v>
      </c>
      <c r="S589">
        <v>5</v>
      </c>
      <c r="T589">
        <v>0</v>
      </c>
      <c r="U589" s="34" t="str">
        <f t="shared" si="58"/>
        <v>No Discount</v>
      </c>
      <c r="V589">
        <v>-64.2</v>
      </c>
      <c r="W589" s="29">
        <f t="shared" si="59"/>
        <v>-0.0861744966442953</v>
      </c>
      <c r="X589">
        <v>15.34</v>
      </c>
      <c r="Y589" t="s">
        <v>51</v>
      </c>
      <c r="Z589" s="34" t="str">
        <f t="shared" si="60"/>
        <v>Medium</v>
      </c>
    </row>
    <row r="590" spans="1:26">
      <c r="A590" t="s">
        <v>1414</v>
      </c>
      <c r="B590" s="44">
        <v>44585</v>
      </c>
      <c r="C590" s="34">
        <f t="shared" si="55"/>
        <v>2022</v>
      </c>
      <c r="D590" s="34">
        <f t="shared" si="56"/>
        <v>1</v>
      </c>
      <c r="E590" s="34" t="str">
        <f t="shared" si="57"/>
        <v>January</v>
      </c>
      <c r="F590" s="44">
        <v>44592</v>
      </c>
      <c r="G590" t="s">
        <v>759</v>
      </c>
      <c r="H590" t="s">
        <v>644</v>
      </c>
      <c r="I590" t="s">
        <v>42</v>
      </c>
      <c r="J590" t="s">
        <v>43</v>
      </c>
      <c r="K590" t="s">
        <v>645</v>
      </c>
      <c r="L590" t="s">
        <v>311</v>
      </c>
      <c r="M590" t="s">
        <v>58</v>
      </c>
      <c r="N590" t="s">
        <v>170</v>
      </c>
      <c r="O590" t="s">
        <v>48</v>
      </c>
      <c r="P590" t="s">
        <v>49</v>
      </c>
      <c r="Q590" t="s">
        <v>171</v>
      </c>
      <c r="R590">
        <v>417.2</v>
      </c>
      <c r="S590">
        <v>4</v>
      </c>
      <c r="T590">
        <v>0.3</v>
      </c>
      <c r="U590" s="34" t="str">
        <f t="shared" si="58"/>
        <v>High</v>
      </c>
      <c r="V590">
        <v>68.24</v>
      </c>
      <c r="W590" s="29">
        <f t="shared" si="59"/>
        <v>0.163566634707574</v>
      </c>
      <c r="X590">
        <v>22.86</v>
      </c>
      <c r="Y590" t="s">
        <v>80</v>
      </c>
      <c r="Z590" s="34" t="str">
        <f t="shared" si="60"/>
        <v>Small</v>
      </c>
    </row>
    <row r="591" spans="1:26">
      <c r="A591" t="s">
        <v>1415</v>
      </c>
      <c r="B591" s="44">
        <v>45108</v>
      </c>
      <c r="C591" s="34">
        <f t="shared" si="55"/>
        <v>2023</v>
      </c>
      <c r="D591" s="34">
        <f t="shared" si="56"/>
        <v>7</v>
      </c>
      <c r="E591" s="34" t="str">
        <f t="shared" si="57"/>
        <v>July</v>
      </c>
      <c r="F591" s="44">
        <v>45114</v>
      </c>
      <c r="G591" t="s">
        <v>799</v>
      </c>
      <c r="H591" t="s">
        <v>800</v>
      </c>
      <c r="I591" t="s">
        <v>55</v>
      </c>
      <c r="J591" t="s">
        <v>43</v>
      </c>
      <c r="K591" t="s">
        <v>56</v>
      </c>
      <c r="L591" t="s">
        <v>57</v>
      </c>
      <c r="M591" t="s">
        <v>58</v>
      </c>
      <c r="N591" t="s">
        <v>388</v>
      </c>
      <c r="O591" t="s">
        <v>48</v>
      </c>
      <c r="P591" t="s">
        <v>190</v>
      </c>
      <c r="Q591" t="s">
        <v>389</v>
      </c>
      <c r="R591">
        <v>178</v>
      </c>
      <c r="S591">
        <v>2</v>
      </c>
      <c r="T591">
        <v>0</v>
      </c>
      <c r="U591" s="34" t="str">
        <f t="shared" si="58"/>
        <v>No Discount</v>
      </c>
      <c r="V591">
        <v>33.19</v>
      </c>
      <c r="W591" s="29">
        <f t="shared" si="59"/>
        <v>0.186460674157303</v>
      </c>
      <c r="X591">
        <v>8.02</v>
      </c>
      <c r="Y591" t="s">
        <v>137</v>
      </c>
      <c r="Z591" s="34" t="str">
        <f t="shared" si="60"/>
        <v>Small</v>
      </c>
    </row>
    <row r="592" spans="1:26">
      <c r="A592" t="s">
        <v>1416</v>
      </c>
      <c r="B592" s="44">
        <v>44528</v>
      </c>
      <c r="C592" s="34">
        <f t="shared" si="55"/>
        <v>2021</v>
      </c>
      <c r="D592" s="34">
        <f t="shared" si="56"/>
        <v>11</v>
      </c>
      <c r="E592" s="34" t="str">
        <f t="shared" si="57"/>
        <v>November</v>
      </c>
      <c r="F592" s="44">
        <v>44535</v>
      </c>
      <c r="G592" t="s">
        <v>879</v>
      </c>
      <c r="H592" t="s">
        <v>880</v>
      </c>
      <c r="I592" t="s">
        <v>42</v>
      </c>
      <c r="J592" t="s">
        <v>30</v>
      </c>
      <c r="K592" t="s">
        <v>44</v>
      </c>
      <c r="L592" t="s">
        <v>195</v>
      </c>
      <c r="M592" t="s">
        <v>46</v>
      </c>
      <c r="N592" t="s">
        <v>182</v>
      </c>
      <c r="O592" t="s">
        <v>48</v>
      </c>
      <c r="P592" t="s">
        <v>128</v>
      </c>
      <c r="Q592" t="s">
        <v>183</v>
      </c>
      <c r="R592">
        <v>158</v>
      </c>
      <c r="S592">
        <v>2</v>
      </c>
      <c r="T592">
        <v>0</v>
      </c>
      <c r="U592" s="34" t="str">
        <f t="shared" si="58"/>
        <v>No Discount</v>
      </c>
      <c r="V592">
        <v>17.08</v>
      </c>
      <c r="W592" s="29">
        <f t="shared" si="59"/>
        <v>0.108101265822785</v>
      </c>
      <c r="X592">
        <v>6.26</v>
      </c>
      <c r="Y592" t="s">
        <v>96</v>
      </c>
      <c r="Z592" s="34" t="str">
        <f t="shared" si="60"/>
        <v>Small</v>
      </c>
    </row>
    <row r="593" spans="1:26">
      <c r="A593" t="s">
        <v>1417</v>
      </c>
      <c r="B593" s="44">
        <v>44992</v>
      </c>
      <c r="C593" s="34">
        <f t="shared" si="55"/>
        <v>2023</v>
      </c>
      <c r="D593" s="34">
        <f t="shared" si="56"/>
        <v>3</v>
      </c>
      <c r="E593" s="34" t="str">
        <f t="shared" si="57"/>
        <v>March</v>
      </c>
      <c r="F593" s="44">
        <v>44998</v>
      </c>
      <c r="G593" t="s">
        <v>1418</v>
      </c>
      <c r="H593" t="s">
        <v>1419</v>
      </c>
      <c r="I593" t="s">
        <v>29</v>
      </c>
      <c r="J593" t="s">
        <v>43</v>
      </c>
      <c r="K593" t="s">
        <v>146</v>
      </c>
      <c r="L593" t="s">
        <v>134</v>
      </c>
      <c r="M593" t="s">
        <v>33</v>
      </c>
      <c r="N593" t="s">
        <v>189</v>
      </c>
      <c r="O593" t="s">
        <v>48</v>
      </c>
      <c r="P593" t="s">
        <v>190</v>
      </c>
      <c r="Q593" t="s">
        <v>191</v>
      </c>
      <c r="R593">
        <v>140</v>
      </c>
      <c r="S593">
        <v>4</v>
      </c>
      <c r="T593">
        <v>0</v>
      </c>
      <c r="U593" s="34" t="str">
        <f t="shared" si="58"/>
        <v>No Discount</v>
      </c>
      <c r="V593">
        <v>15.64</v>
      </c>
      <c r="W593" s="29">
        <f t="shared" si="59"/>
        <v>0.111714285714286</v>
      </c>
      <c r="X593">
        <v>41.21</v>
      </c>
      <c r="Y593" t="s">
        <v>96</v>
      </c>
      <c r="Z593" s="34" t="str">
        <f t="shared" si="60"/>
        <v>Small</v>
      </c>
    </row>
    <row r="594" spans="1:26">
      <c r="A594" t="s">
        <v>1420</v>
      </c>
      <c r="B594" s="44">
        <v>44436</v>
      </c>
      <c r="C594" s="34">
        <f t="shared" si="55"/>
        <v>2021</v>
      </c>
      <c r="D594" s="34">
        <f t="shared" si="56"/>
        <v>8</v>
      </c>
      <c r="E594" s="34" t="str">
        <f t="shared" si="57"/>
        <v>August</v>
      </c>
      <c r="F594" s="44">
        <v>44442</v>
      </c>
      <c r="G594" t="s">
        <v>668</v>
      </c>
      <c r="H594" t="s">
        <v>669</v>
      </c>
      <c r="I594" t="s">
        <v>55</v>
      </c>
      <c r="J594" t="s">
        <v>43</v>
      </c>
      <c r="K594" t="s">
        <v>153</v>
      </c>
      <c r="L594" t="s">
        <v>338</v>
      </c>
      <c r="M594" t="s">
        <v>58</v>
      </c>
      <c r="N594" t="s">
        <v>670</v>
      </c>
      <c r="O594" t="s">
        <v>48</v>
      </c>
      <c r="P594" t="s">
        <v>49</v>
      </c>
      <c r="Q594" t="s">
        <v>671</v>
      </c>
      <c r="R594">
        <v>93.1</v>
      </c>
      <c r="S594">
        <v>1</v>
      </c>
      <c r="T594">
        <v>0.05</v>
      </c>
      <c r="U594" s="34" t="str">
        <f t="shared" si="58"/>
        <v>Low</v>
      </c>
      <c r="V594">
        <v>8.58</v>
      </c>
      <c r="W594" s="29">
        <f t="shared" si="59"/>
        <v>0.0921589688506982</v>
      </c>
      <c r="X594">
        <v>27.27</v>
      </c>
      <c r="Y594" t="s">
        <v>121</v>
      </c>
      <c r="Z594" s="34" t="str">
        <f t="shared" si="60"/>
        <v>Small</v>
      </c>
    </row>
    <row r="595" spans="1:26">
      <c r="A595" t="s">
        <v>1421</v>
      </c>
      <c r="B595" s="44">
        <v>45481</v>
      </c>
      <c r="C595" s="34">
        <f t="shared" si="55"/>
        <v>2024</v>
      </c>
      <c r="D595" s="34">
        <f t="shared" si="56"/>
        <v>7</v>
      </c>
      <c r="E595" s="34" t="str">
        <f t="shared" si="57"/>
        <v>July</v>
      </c>
      <c r="F595" s="44">
        <v>45487</v>
      </c>
      <c r="G595" t="s">
        <v>567</v>
      </c>
      <c r="H595" t="s">
        <v>186</v>
      </c>
      <c r="I595" t="s">
        <v>29</v>
      </c>
      <c r="J595" t="s">
        <v>43</v>
      </c>
      <c r="K595" t="s">
        <v>262</v>
      </c>
      <c r="L595" t="s">
        <v>568</v>
      </c>
      <c r="M595" t="s">
        <v>58</v>
      </c>
      <c r="N595" t="s">
        <v>286</v>
      </c>
      <c r="O595" t="s">
        <v>35</v>
      </c>
      <c r="P595" t="s">
        <v>202</v>
      </c>
      <c r="Q595" t="s">
        <v>287</v>
      </c>
      <c r="R595">
        <v>521.5</v>
      </c>
      <c r="S595">
        <v>5</v>
      </c>
      <c r="T595">
        <v>0.3</v>
      </c>
      <c r="U595" s="34" t="str">
        <f t="shared" si="58"/>
        <v>High</v>
      </c>
      <c r="V595">
        <v>-51.25</v>
      </c>
      <c r="W595" s="29">
        <f t="shared" si="59"/>
        <v>-0.098274209012464</v>
      </c>
      <c r="X595">
        <v>31.76</v>
      </c>
      <c r="Y595" t="s">
        <v>62</v>
      </c>
      <c r="Z595" s="34" t="str">
        <f t="shared" si="60"/>
        <v>Medium</v>
      </c>
    </row>
    <row r="596" spans="1:26">
      <c r="A596" t="s">
        <v>1422</v>
      </c>
      <c r="B596" s="44">
        <v>45186</v>
      </c>
      <c r="C596" s="34">
        <f t="shared" si="55"/>
        <v>2023</v>
      </c>
      <c r="D596" s="34">
        <f t="shared" si="56"/>
        <v>9</v>
      </c>
      <c r="E596" s="34" t="str">
        <f t="shared" si="57"/>
        <v>September</v>
      </c>
      <c r="F596" s="44">
        <v>45192</v>
      </c>
      <c r="G596" t="s">
        <v>1274</v>
      </c>
      <c r="H596" t="s">
        <v>1275</v>
      </c>
      <c r="I596" t="s">
        <v>42</v>
      </c>
      <c r="J596" t="s">
        <v>30</v>
      </c>
      <c r="K596" t="s">
        <v>180</v>
      </c>
      <c r="L596" t="s">
        <v>821</v>
      </c>
      <c r="M596" t="s">
        <v>46</v>
      </c>
      <c r="N596" t="s">
        <v>388</v>
      </c>
      <c r="O596" t="s">
        <v>48</v>
      </c>
      <c r="P596" t="s">
        <v>190</v>
      </c>
      <c r="Q596" t="s">
        <v>389</v>
      </c>
      <c r="R596">
        <v>133.5</v>
      </c>
      <c r="S596">
        <v>2</v>
      </c>
      <c r="T596">
        <v>0.25</v>
      </c>
      <c r="U596" s="34" t="str">
        <f t="shared" si="58"/>
        <v>High</v>
      </c>
      <c r="V596">
        <v>-16.85</v>
      </c>
      <c r="W596" s="29">
        <f t="shared" si="59"/>
        <v>-0.126217228464419</v>
      </c>
      <c r="X596">
        <v>20.56</v>
      </c>
      <c r="Y596" t="s">
        <v>51</v>
      </c>
      <c r="Z596" s="34" t="str">
        <f t="shared" si="60"/>
        <v>Small</v>
      </c>
    </row>
    <row r="597" spans="1:26">
      <c r="A597" t="s">
        <v>1423</v>
      </c>
      <c r="B597" s="44">
        <v>45222</v>
      </c>
      <c r="C597" s="34">
        <f t="shared" si="55"/>
        <v>2023</v>
      </c>
      <c r="D597" s="34">
        <f t="shared" si="56"/>
        <v>10</v>
      </c>
      <c r="E597" s="34" t="str">
        <f t="shared" si="57"/>
        <v>October</v>
      </c>
      <c r="F597" s="44">
        <v>45226</v>
      </c>
      <c r="G597" t="s">
        <v>151</v>
      </c>
      <c r="H597" t="s">
        <v>152</v>
      </c>
      <c r="I597" t="s">
        <v>29</v>
      </c>
      <c r="J597" t="s">
        <v>43</v>
      </c>
      <c r="K597" t="s">
        <v>153</v>
      </c>
      <c r="L597" t="s">
        <v>154</v>
      </c>
      <c r="M597" t="s">
        <v>58</v>
      </c>
      <c r="N597" t="s">
        <v>351</v>
      </c>
      <c r="O597" t="s">
        <v>67</v>
      </c>
      <c r="P597" t="s">
        <v>68</v>
      </c>
      <c r="Q597" t="s">
        <v>352</v>
      </c>
      <c r="R597">
        <v>1707.15</v>
      </c>
      <c r="S597">
        <v>3</v>
      </c>
      <c r="T597">
        <v>0.05</v>
      </c>
      <c r="U597" s="34" t="str">
        <f t="shared" si="58"/>
        <v>Low</v>
      </c>
      <c r="V597">
        <v>360.83</v>
      </c>
      <c r="W597" s="29">
        <f t="shared" si="59"/>
        <v>0.211363969188413</v>
      </c>
      <c r="X597">
        <v>49.16</v>
      </c>
      <c r="Y597" t="s">
        <v>137</v>
      </c>
      <c r="Z597" s="34" t="str">
        <f t="shared" si="60"/>
        <v>Medium</v>
      </c>
    </row>
    <row r="598" spans="1:26">
      <c r="A598" t="s">
        <v>1424</v>
      </c>
      <c r="B598" s="44">
        <v>44002</v>
      </c>
      <c r="C598" s="34">
        <f t="shared" si="55"/>
        <v>2020</v>
      </c>
      <c r="D598" s="34">
        <f t="shared" si="56"/>
        <v>6</v>
      </c>
      <c r="E598" s="34" t="str">
        <f t="shared" si="57"/>
        <v>June</v>
      </c>
      <c r="F598" s="44">
        <v>44007</v>
      </c>
      <c r="G598" t="s">
        <v>211</v>
      </c>
      <c r="H598" t="s">
        <v>212</v>
      </c>
      <c r="I598" t="s">
        <v>42</v>
      </c>
      <c r="J598" t="s">
        <v>43</v>
      </c>
      <c r="K598" t="s">
        <v>213</v>
      </c>
      <c r="L598" t="s">
        <v>214</v>
      </c>
      <c r="M598" t="s">
        <v>33</v>
      </c>
      <c r="N598" t="s">
        <v>670</v>
      </c>
      <c r="O598" t="s">
        <v>48</v>
      </c>
      <c r="P598" t="s">
        <v>49</v>
      </c>
      <c r="Q598" t="s">
        <v>671</v>
      </c>
      <c r="R598">
        <v>274.4</v>
      </c>
      <c r="S598">
        <v>4</v>
      </c>
      <c r="T598">
        <v>0.3</v>
      </c>
      <c r="U598" s="34" t="str">
        <f t="shared" si="58"/>
        <v>High</v>
      </c>
      <c r="V598">
        <v>51.07</v>
      </c>
      <c r="W598" s="29">
        <f t="shared" si="59"/>
        <v>0.186115160349854</v>
      </c>
      <c r="X598">
        <v>31</v>
      </c>
      <c r="Y598" t="s">
        <v>137</v>
      </c>
      <c r="Z598" s="34" t="str">
        <f t="shared" si="60"/>
        <v>Small</v>
      </c>
    </row>
    <row r="599" spans="1:26">
      <c r="A599" t="s">
        <v>1425</v>
      </c>
      <c r="B599" s="44">
        <v>44571</v>
      </c>
      <c r="C599" s="34">
        <f t="shared" si="55"/>
        <v>2022</v>
      </c>
      <c r="D599" s="34">
        <f t="shared" si="56"/>
        <v>1</v>
      </c>
      <c r="E599" s="34" t="str">
        <f t="shared" si="57"/>
        <v>January</v>
      </c>
      <c r="F599" s="44">
        <v>44576</v>
      </c>
      <c r="G599" t="s">
        <v>988</v>
      </c>
      <c r="H599" t="s">
        <v>989</v>
      </c>
      <c r="I599" t="s">
        <v>29</v>
      </c>
      <c r="J599" t="s">
        <v>43</v>
      </c>
      <c r="K599" t="s">
        <v>297</v>
      </c>
      <c r="L599" t="s">
        <v>298</v>
      </c>
      <c r="M599" t="s">
        <v>46</v>
      </c>
      <c r="N599" t="s">
        <v>148</v>
      </c>
      <c r="O599" t="s">
        <v>48</v>
      </c>
      <c r="P599" t="s">
        <v>60</v>
      </c>
      <c r="Q599" t="s">
        <v>149</v>
      </c>
      <c r="R599">
        <v>52.25</v>
      </c>
      <c r="S599">
        <v>1</v>
      </c>
      <c r="T599">
        <v>0.05</v>
      </c>
      <c r="U599" s="34" t="str">
        <f t="shared" si="58"/>
        <v>Low</v>
      </c>
      <c r="V599">
        <v>-6.31</v>
      </c>
      <c r="W599" s="29">
        <f t="shared" si="59"/>
        <v>-0.120765550239234</v>
      </c>
      <c r="X599">
        <v>7.11</v>
      </c>
      <c r="Y599" t="s">
        <v>62</v>
      </c>
      <c r="Z599" s="34" t="str">
        <f t="shared" si="60"/>
        <v>Small</v>
      </c>
    </row>
    <row r="600" spans="1:26">
      <c r="A600" t="s">
        <v>1426</v>
      </c>
      <c r="B600" s="44">
        <v>44823</v>
      </c>
      <c r="C600" s="34">
        <f t="shared" si="55"/>
        <v>2022</v>
      </c>
      <c r="D600" s="34">
        <f t="shared" si="56"/>
        <v>9</v>
      </c>
      <c r="E600" s="34" t="str">
        <f t="shared" si="57"/>
        <v>September</v>
      </c>
      <c r="F600" s="44">
        <v>44830</v>
      </c>
      <c r="G600" t="s">
        <v>585</v>
      </c>
      <c r="H600" t="s">
        <v>586</v>
      </c>
      <c r="I600" t="s">
        <v>29</v>
      </c>
      <c r="J600" t="s">
        <v>43</v>
      </c>
      <c r="K600" t="s">
        <v>320</v>
      </c>
      <c r="L600" t="s">
        <v>181</v>
      </c>
      <c r="M600" t="s">
        <v>46</v>
      </c>
      <c r="N600" t="s">
        <v>333</v>
      </c>
      <c r="O600" t="s">
        <v>48</v>
      </c>
      <c r="P600" t="s">
        <v>190</v>
      </c>
      <c r="Q600" t="s">
        <v>334</v>
      </c>
      <c r="R600">
        <v>661.5</v>
      </c>
      <c r="S600">
        <v>5</v>
      </c>
      <c r="T600">
        <v>0.3</v>
      </c>
      <c r="U600" s="34" t="str">
        <f t="shared" si="58"/>
        <v>High</v>
      </c>
      <c r="V600">
        <v>142.84</v>
      </c>
      <c r="W600" s="29">
        <f t="shared" si="59"/>
        <v>0.215933484504913</v>
      </c>
      <c r="X600">
        <v>8.96</v>
      </c>
      <c r="Y600" t="s">
        <v>62</v>
      </c>
      <c r="Z600" s="34" t="str">
        <f t="shared" si="60"/>
        <v>Medium</v>
      </c>
    </row>
    <row r="601" spans="1:26">
      <c r="A601" t="s">
        <v>1427</v>
      </c>
      <c r="B601" s="44">
        <v>45229</v>
      </c>
      <c r="C601" s="34">
        <f t="shared" si="55"/>
        <v>2023</v>
      </c>
      <c r="D601" s="34">
        <f t="shared" si="56"/>
        <v>10</v>
      </c>
      <c r="E601" s="34" t="str">
        <f t="shared" si="57"/>
        <v>October</v>
      </c>
      <c r="F601" s="44">
        <v>45231</v>
      </c>
      <c r="G601" t="s">
        <v>567</v>
      </c>
      <c r="H601" t="s">
        <v>186</v>
      </c>
      <c r="I601" t="s">
        <v>29</v>
      </c>
      <c r="J601" t="s">
        <v>43</v>
      </c>
      <c r="K601" t="s">
        <v>262</v>
      </c>
      <c r="L601" t="s">
        <v>568</v>
      </c>
      <c r="M601" t="s">
        <v>58</v>
      </c>
      <c r="N601" t="s">
        <v>148</v>
      </c>
      <c r="O601" t="s">
        <v>48</v>
      </c>
      <c r="P601" t="s">
        <v>60</v>
      </c>
      <c r="Q601" t="s">
        <v>149</v>
      </c>
      <c r="R601">
        <v>165</v>
      </c>
      <c r="S601">
        <v>3</v>
      </c>
      <c r="T601">
        <v>0</v>
      </c>
      <c r="U601" s="34" t="str">
        <f t="shared" si="58"/>
        <v>No Discount</v>
      </c>
      <c r="V601">
        <v>-14.65</v>
      </c>
      <c r="W601" s="29">
        <f t="shared" si="59"/>
        <v>-0.0887878787878788</v>
      </c>
      <c r="X601">
        <v>21.33</v>
      </c>
      <c r="Y601" t="s">
        <v>96</v>
      </c>
      <c r="Z601" s="34" t="str">
        <f t="shared" si="60"/>
        <v>Small</v>
      </c>
    </row>
    <row r="602" spans="1:26">
      <c r="A602" t="s">
        <v>1428</v>
      </c>
      <c r="B602" s="44">
        <v>45606</v>
      </c>
      <c r="C602" s="34">
        <f t="shared" si="55"/>
        <v>2024</v>
      </c>
      <c r="D602" s="34">
        <f t="shared" si="56"/>
        <v>11</v>
      </c>
      <c r="E602" s="34" t="str">
        <f t="shared" si="57"/>
        <v>November</v>
      </c>
      <c r="F602" s="44">
        <v>45609</v>
      </c>
      <c r="G602" t="s">
        <v>1274</v>
      </c>
      <c r="H602" t="s">
        <v>1275</v>
      </c>
      <c r="I602" t="s">
        <v>42</v>
      </c>
      <c r="J602" t="s">
        <v>30</v>
      </c>
      <c r="K602" t="s">
        <v>180</v>
      </c>
      <c r="L602" t="s">
        <v>821</v>
      </c>
      <c r="M602" t="s">
        <v>46</v>
      </c>
      <c r="N602" t="s">
        <v>312</v>
      </c>
      <c r="O602" t="s">
        <v>48</v>
      </c>
      <c r="P602" t="s">
        <v>49</v>
      </c>
      <c r="Q602" t="s">
        <v>313</v>
      </c>
      <c r="R602">
        <v>37.05</v>
      </c>
      <c r="S602">
        <v>1</v>
      </c>
      <c r="T602">
        <v>0.05</v>
      </c>
      <c r="U602" s="34" t="str">
        <f t="shared" si="58"/>
        <v>Low</v>
      </c>
      <c r="V602">
        <v>5.51</v>
      </c>
      <c r="W602" s="29">
        <f t="shared" si="59"/>
        <v>0.148717948717949</v>
      </c>
      <c r="X602">
        <v>6.33</v>
      </c>
      <c r="Y602" t="s">
        <v>121</v>
      </c>
      <c r="Z602" s="34" t="str">
        <f t="shared" si="60"/>
        <v>Small</v>
      </c>
    </row>
    <row r="603" spans="1:26">
      <c r="A603" t="s">
        <v>1429</v>
      </c>
      <c r="B603" s="44">
        <v>44031</v>
      </c>
      <c r="C603" s="34">
        <f t="shared" si="55"/>
        <v>2020</v>
      </c>
      <c r="D603" s="34">
        <f t="shared" si="56"/>
        <v>7</v>
      </c>
      <c r="E603" s="34" t="str">
        <f t="shared" si="57"/>
        <v>July</v>
      </c>
      <c r="F603" s="44">
        <v>44035</v>
      </c>
      <c r="G603" t="s">
        <v>681</v>
      </c>
      <c r="H603" t="s">
        <v>682</v>
      </c>
      <c r="I603" t="s">
        <v>55</v>
      </c>
      <c r="J603" t="s">
        <v>43</v>
      </c>
      <c r="K603" t="s">
        <v>187</v>
      </c>
      <c r="L603" t="s">
        <v>662</v>
      </c>
      <c r="M603" t="s">
        <v>33</v>
      </c>
      <c r="N603" t="s">
        <v>459</v>
      </c>
      <c r="O603" t="s">
        <v>48</v>
      </c>
      <c r="P603" t="s">
        <v>128</v>
      </c>
      <c r="Q603" t="s">
        <v>460</v>
      </c>
      <c r="R603">
        <v>58</v>
      </c>
      <c r="S603">
        <v>2</v>
      </c>
      <c r="T603">
        <v>0</v>
      </c>
      <c r="U603" s="34" t="str">
        <f t="shared" si="58"/>
        <v>No Discount</v>
      </c>
      <c r="V603">
        <v>-10.74</v>
      </c>
      <c r="W603" s="29">
        <f t="shared" si="59"/>
        <v>-0.185172413793103</v>
      </c>
      <c r="X603">
        <v>20.33</v>
      </c>
      <c r="Y603" t="s">
        <v>70</v>
      </c>
      <c r="Z603" s="34" t="str">
        <f t="shared" si="60"/>
        <v>Small</v>
      </c>
    </row>
    <row r="604" spans="1:26">
      <c r="A604" t="s">
        <v>1430</v>
      </c>
      <c r="B604" s="44">
        <v>44639</v>
      </c>
      <c r="C604" s="34">
        <f t="shared" si="55"/>
        <v>2022</v>
      </c>
      <c r="D604" s="34">
        <f t="shared" si="56"/>
        <v>3</v>
      </c>
      <c r="E604" s="34" t="str">
        <f t="shared" si="57"/>
        <v>March</v>
      </c>
      <c r="F604" s="44">
        <v>44646</v>
      </c>
      <c r="G604" t="s">
        <v>963</v>
      </c>
      <c r="H604" t="s">
        <v>964</v>
      </c>
      <c r="I604" t="s">
        <v>55</v>
      </c>
      <c r="J604" t="s">
        <v>43</v>
      </c>
      <c r="K604" t="s">
        <v>153</v>
      </c>
      <c r="L604" t="s">
        <v>154</v>
      </c>
      <c r="M604" t="s">
        <v>58</v>
      </c>
      <c r="N604" t="s">
        <v>421</v>
      </c>
      <c r="O604" t="s">
        <v>67</v>
      </c>
      <c r="P604" t="s">
        <v>252</v>
      </c>
      <c r="Q604" t="s">
        <v>422</v>
      </c>
      <c r="R604">
        <v>2568</v>
      </c>
      <c r="S604">
        <v>3</v>
      </c>
      <c r="T604">
        <v>0</v>
      </c>
      <c r="U604" s="34" t="str">
        <f t="shared" si="58"/>
        <v>No Discount</v>
      </c>
      <c r="V604">
        <v>636.58</v>
      </c>
      <c r="W604" s="29">
        <f t="shared" si="59"/>
        <v>0.247889408099688</v>
      </c>
      <c r="X604">
        <v>18.07</v>
      </c>
      <c r="Y604" t="s">
        <v>137</v>
      </c>
      <c r="Z604" s="34" t="str">
        <f t="shared" si="60"/>
        <v>Large</v>
      </c>
    </row>
    <row r="605" spans="1:26">
      <c r="A605" t="s">
        <v>1431</v>
      </c>
      <c r="B605" s="44">
        <v>44064</v>
      </c>
      <c r="C605" s="34">
        <f t="shared" si="55"/>
        <v>2020</v>
      </c>
      <c r="D605" s="34">
        <f t="shared" si="56"/>
        <v>8</v>
      </c>
      <c r="E605" s="34" t="str">
        <f t="shared" si="57"/>
        <v>August</v>
      </c>
      <c r="F605" s="44">
        <v>44065</v>
      </c>
      <c r="G605" t="s">
        <v>770</v>
      </c>
      <c r="H605" t="s">
        <v>115</v>
      </c>
      <c r="I605" t="s">
        <v>55</v>
      </c>
      <c r="J605" t="s">
        <v>43</v>
      </c>
      <c r="K605" t="s">
        <v>262</v>
      </c>
      <c r="L605" t="s">
        <v>771</v>
      </c>
      <c r="M605" t="s">
        <v>58</v>
      </c>
      <c r="N605" t="s">
        <v>148</v>
      </c>
      <c r="O605" t="s">
        <v>48</v>
      </c>
      <c r="P605" t="s">
        <v>60</v>
      </c>
      <c r="Q605" t="s">
        <v>149</v>
      </c>
      <c r="R605">
        <v>220</v>
      </c>
      <c r="S605">
        <v>4</v>
      </c>
      <c r="T605">
        <v>0</v>
      </c>
      <c r="U605" s="34" t="str">
        <f t="shared" si="58"/>
        <v>No Discount</v>
      </c>
      <c r="V605">
        <v>-22.75</v>
      </c>
      <c r="W605" s="29">
        <f t="shared" si="59"/>
        <v>-0.103409090909091</v>
      </c>
      <c r="X605">
        <v>17.16</v>
      </c>
      <c r="Y605" t="s">
        <v>96</v>
      </c>
      <c r="Z605" s="34" t="str">
        <f t="shared" si="60"/>
        <v>Small</v>
      </c>
    </row>
    <row r="606" spans="1:26">
      <c r="A606" t="s">
        <v>1432</v>
      </c>
      <c r="B606" s="44">
        <v>45433</v>
      </c>
      <c r="C606" s="34">
        <f t="shared" si="55"/>
        <v>2024</v>
      </c>
      <c r="D606" s="34">
        <f t="shared" si="56"/>
        <v>5</v>
      </c>
      <c r="E606" s="34" t="str">
        <f t="shared" si="57"/>
        <v>May</v>
      </c>
      <c r="F606" s="44">
        <v>45439</v>
      </c>
      <c r="G606" t="s">
        <v>300</v>
      </c>
      <c r="H606" t="s">
        <v>301</v>
      </c>
      <c r="I606" t="s">
        <v>29</v>
      </c>
      <c r="J606" t="s">
        <v>43</v>
      </c>
      <c r="K606" t="s">
        <v>302</v>
      </c>
      <c r="L606" t="s">
        <v>303</v>
      </c>
      <c r="M606" t="s">
        <v>76</v>
      </c>
      <c r="N606" t="s">
        <v>286</v>
      </c>
      <c r="O606" t="s">
        <v>35</v>
      </c>
      <c r="P606" t="s">
        <v>202</v>
      </c>
      <c r="Q606" t="s">
        <v>287</v>
      </c>
      <c r="R606">
        <v>223.5</v>
      </c>
      <c r="S606">
        <v>2</v>
      </c>
      <c r="T606">
        <v>0.25</v>
      </c>
      <c r="U606" s="34" t="str">
        <f t="shared" si="58"/>
        <v>High</v>
      </c>
      <c r="V606">
        <v>22.88</v>
      </c>
      <c r="W606" s="29">
        <f t="shared" si="59"/>
        <v>0.102371364653244</v>
      </c>
      <c r="X606">
        <v>13.14</v>
      </c>
      <c r="Y606" t="s">
        <v>80</v>
      </c>
      <c r="Z606" s="34" t="str">
        <f t="shared" si="60"/>
        <v>Small</v>
      </c>
    </row>
    <row r="607" spans="1:26">
      <c r="A607" t="s">
        <v>1433</v>
      </c>
      <c r="B607" s="44">
        <v>44047</v>
      </c>
      <c r="C607" s="34">
        <f t="shared" si="55"/>
        <v>2020</v>
      </c>
      <c r="D607" s="34">
        <f t="shared" si="56"/>
        <v>8</v>
      </c>
      <c r="E607" s="34" t="str">
        <f t="shared" si="57"/>
        <v>August</v>
      </c>
      <c r="F607" s="44">
        <v>44054</v>
      </c>
      <c r="G607" t="s">
        <v>885</v>
      </c>
      <c r="H607" t="s">
        <v>886</v>
      </c>
      <c r="I607" t="s">
        <v>42</v>
      </c>
      <c r="J607" t="s">
        <v>43</v>
      </c>
      <c r="K607" t="s">
        <v>297</v>
      </c>
      <c r="L607" t="s">
        <v>887</v>
      </c>
      <c r="M607" t="s">
        <v>46</v>
      </c>
      <c r="N607" t="s">
        <v>546</v>
      </c>
      <c r="O607" t="s">
        <v>35</v>
      </c>
      <c r="P607" t="s">
        <v>36</v>
      </c>
      <c r="Q607" t="s">
        <v>547</v>
      </c>
      <c r="R607">
        <v>10475</v>
      </c>
      <c r="S607">
        <v>5</v>
      </c>
      <c r="T607">
        <v>0</v>
      </c>
      <c r="U607" s="34" t="str">
        <f t="shared" si="58"/>
        <v>No Discount</v>
      </c>
      <c r="V607">
        <v>1558.63</v>
      </c>
      <c r="W607" s="29">
        <f t="shared" si="59"/>
        <v>0.14879522673031</v>
      </c>
      <c r="X607">
        <v>42.06</v>
      </c>
      <c r="Y607" t="s">
        <v>137</v>
      </c>
      <c r="Z607" s="34" t="str">
        <f t="shared" si="60"/>
        <v>Large</v>
      </c>
    </row>
    <row r="608" spans="1:26">
      <c r="A608" t="s">
        <v>1434</v>
      </c>
      <c r="B608" s="44">
        <v>44626</v>
      </c>
      <c r="C608" s="34">
        <f t="shared" si="55"/>
        <v>2022</v>
      </c>
      <c r="D608" s="34">
        <f t="shared" si="56"/>
        <v>3</v>
      </c>
      <c r="E608" s="34" t="str">
        <f t="shared" si="57"/>
        <v>March</v>
      </c>
      <c r="F608" s="44">
        <v>44627</v>
      </c>
      <c r="G608" t="s">
        <v>988</v>
      </c>
      <c r="H608" t="s">
        <v>989</v>
      </c>
      <c r="I608" t="s">
        <v>29</v>
      </c>
      <c r="J608" t="s">
        <v>43</v>
      </c>
      <c r="K608" t="s">
        <v>297</v>
      </c>
      <c r="L608" t="s">
        <v>298</v>
      </c>
      <c r="M608" t="s">
        <v>46</v>
      </c>
      <c r="N608" t="s">
        <v>670</v>
      </c>
      <c r="O608" t="s">
        <v>48</v>
      </c>
      <c r="P608" t="s">
        <v>49</v>
      </c>
      <c r="Q608" t="s">
        <v>671</v>
      </c>
      <c r="R608">
        <v>352.8</v>
      </c>
      <c r="S608">
        <v>4</v>
      </c>
      <c r="T608">
        <v>0.1</v>
      </c>
      <c r="U608" s="34" t="str">
        <f t="shared" si="58"/>
        <v>Low</v>
      </c>
      <c r="V608">
        <v>72.05</v>
      </c>
      <c r="W608" s="29">
        <f t="shared" si="59"/>
        <v>0.20422335600907</v>
      </c>
      <c r="X608">
        <v>18.54</v>
      </c>
      <c r="Y608" t="s">
        <v>96</v>
      </c>
      <c r="Z608" s="34" t="str">
        <f t="shared" si="60"/>
        <v>Small</v>
      </c>
    </row>
    <row r="609" spans="1:26">
      <c r="A609" t="s">
        <v>1435</v>
      </c>
      <c r="B609" s="44">
        <v>43943</v>
      </c>
      <c r="C609" s="34">
        <f t="shared" si="55"/>
        <v>2020</v>
      </c>
      <c r="D609" s="34">
        <f t="shared" si="56"/>
        <v>4</v>
      </c>
      <c r="E609" s="34" t="str">
        <f t="shared" si="57"/>
        <v>April</v>
      </c>
      <c r="F609" s="44">
        <v>43948</v>
      </c>
      <c r="G609" t="s">
        <v>300</v>
      </c>
      <c r="H609" t="s">
        <v>301</v>
      </c>
      <c r="I609" t="s">
        <v>29</v>
      </c>
      <c r="J609" t="s">
        <v>43</v>
      </c>
      <c r="K609" t="s">
        <v>302</v>
      </c>
      <c r="L609" t="s">
        <v>303</v>
      </c>
      <c r="M609" t="s">
        <v>76</v>
      </c>
      <c r="N609" t="s">
        <v>582</v>
      </c>
      <c r="O609" t="s">
        <v>35</v>
      </c>
      <c r="P609" t="s">
        <v>78</v>
      </c>
      <c r="Q609" t="s">
        <v>583</v>
      </c>
      <c r="R609">
        <v>698.6</v>
      </c>
      <c r="S609">
        <v>2</v>
      </c>
      <c r="T609">
        <v>0.3</v>
      </c>
      <c r="U609" s="34" t="str">
        <f t="shared" si="58"/>
        <v>High</v>
      </c>
      <c r="V609">
        <v>170.15</v>
      </c>
      <c r="W609" s="29">
        <f t="shared" si="59"/>
        <v>0.243558545662754</v>
      </c>
      <c r="X609">
        <v>15</v>
      </c>
      <c r="Y609" t="s">
        <v>121</v>
      </c>
      <c r="Z609" s="34" t="str">
        <f t="shared" si="60"/>
        <v>Medium</v>
      </c>
    </row>
    <row r="610" spans="1:26">
      <c r="A610" t="s">
        <v>1436</v>
      </c>
      <c r="B610" s="44">
        <v>44580</v>
      </c>
      <c r="C610" s="34">
        <f t="shared" si="55"/>
        <v>2022</v>
      </c>
      <c r="D610" s="34">
        <f t="shared" si="56"/>
        <v>1</v>
      </c>
      <c r="E610" s="34" t="str">
        <f t="shared" si="57"/>
        <v>January</v>
      </c>
      <c r="F610" s="44">
        <v>44582</v>
      </c>
      <c r="G610" t="s">
        <v>255</v>
      </c>
      <c r="H610" t="s">
        <v>256</v>
      </c>
      <c r="I610" t="s">
        <v>29</v>
      </c>
      <c r="J610" t="s">
        <v>43</v>
      </c>
      <c r="K610" t="s">
        <v>257</v>
      </c>
      <c r="L610" t="s">
        <v>258</v>
      </c>
      <c r="M610" t="s">
        <v>76</v>
      </c>
      <c r="N610" t="s">
        <v>1074</v>
      </c>
      <c r="O610" t="s">
        <v>35</v>
      </c>
      <c r="P610" t="s">
        <v>111</v>
      </c>
      <c r="Q610" t="s">
        <v>1075</v>
      </c>
      <c r="R610">
        <v>924.8</v>
      </c>
      <c r="S610">
        <v>4</v>
      </c>
      <c r="T610">
        <v>0.2</v>
      </c>
      <c r="U610" s="34" t="str">
        <f t="shared" si="58"/>
        <v>Medium</v>
      </c>
      <c r="V610">
        <v>-50.58</v>
      </c>
      <c r="W610" s="29">
        <f t="shared" si="59"/>
        <v>-0.0546929065743945</v>
      </c>
      <c r="X610">
        <v>14.47</v>
      </c>
      <c r="Y610" t="s">
        <v>70</v>
      </c>
      <c r="Z610" s="34" t="str">
        <f t="shared" si="60"/>
        <v>Medium</v>
      </c>
    </row>
    <row r="611" spans="1:26">
      <c r="A611" t="s">
        <v>1437</v>
      </c>
      <c r="B611" s="44">
        <v>45464</v>
      </c>
      <c r="C611" s="34">
        <f t="shared" si="55"/>
        <v>2024</v>
      </c>
      <c r="D611" s="34">
        <f t="shared" si="56"/>
        <v>6</v>
      </c>
      <c r="E611" s="34" t="str">
        <f t="shared" si="57"/>
        <v>June</v>
      </c>
      <c r="F611" s="44">
        <v>45470</v>
      </c>
      <c r="G611" t="s">
        <v>123</v>
      </c>
      <c r="H611" t="s">
        <v>124</v>
      </c>
      <c r="I611" t="s">
        <v>29</v>
      </c>
      <c r="J611" t="s">
        <v>43</v>
      </c>
      <c r="K611" t="s">
        <v>125</v>
      </c>
      <c r="L611" t="s">
        <v>126</v>
      </c>
      <c r="M611" t="s">
        <v>58</v>
      </c>
      <c r="N611" t="s">
        <v>872</v>
      </c>
      <c r="O611" t="s">
        <v>35</v>
      </c>
      <c r="P611" t="s">
        <v>163</v>
      </c>
      <c r="Q611" t="s">
        <v>873</v>
      </c>
      <c r="R611">
        <v>2098.6</v>
      </c>
      <c r="S611">
        <v>2</v>
      </c>
      <c r="T611">
        <v>0.3</v>
      </c>
      <c r="U611" s="34" t="str">
        <f t="shared" si="58"/>
        <v>High</v>
      </c>
      <c r="V611">
        <v>451.23</v>
      </c>
      <c r="W611" s="29">
        <f t="shared" si="59"/>
        <v>0.215014771752597</v>
      </c>
      <c r="X611">
        <v>34.87</v>
      </c>
      <c r="Y611" t="s">
        <v>137</v>
      </c>
      <c r="Z611" s="34" t="str">
        <f t="shared" si="60"/>
        <v>Large</v>
      </c>
    </row>
    <row r="612" spans="1:26">
      <c r="A612" t="s">
        <v>1438</v>
      </c>
      <c r="B612" s="44">
        <v>44899</v>
      </c>
      <c r="C612" s="34">
        <f t="shared" si="55"/>
        <v>2022</v>
      </c>
      <c r="D612" s="34">
        <f t="shared" si="56"/>
        <v>12</v>
      </c>
      <c r="E612" s="34" t="str">
        <f t="shared" si="57"/>
        <v>December</v>
      </c>
      <c r="F612" s="44">
        <v>44901</v>
      </c>
      <c r="G612" t="s">
        <v>1439</v>
      </c>
      <c r="H612" t="s">
        <v>1440</v>
      </c>
      <c r="I612" t="s">
        <v>29</v>
      </c>
      <c r="J612" t="s">
        <v>30</v>
      </c>
      <c r="K612" t="s">
        <v>297</v>
      </c>
      <c r="L612" t="s">
        <v>298</v>
      </c>
      <c r="M612" t="s">
        <v>46</v>
      </c>
      <c r="N612" t="s">
        <v>868</v>
      </c>
      <c r="O612" t="s">
        <v>48</v>
      </c>
      <c r="P612" t="s">
        <v>190</v>
      </c>
      <c r="Q612" t="s">
        <v>869</v>
      </c>
      <c r="R612">
        <v>417.2</v>
      </c>
      <c r="S612">
        <v>4</v>
      </c>
      <c r="T612">
        <v>0.3</v>
      </c>
      <c r="U612" s="34" t="str">
        <f t="shared" si="58"/>
        <v>High</v>
      </c>
      <c r="V612">
        <v>61.49</v>
      </c>
      <c r="W612" s="29">
        <f t="shared" si="59"/>
        <v>0.147387344199425</v>
      </c>
      <c r="X612">
        <v>45.36</v>
      </c>
      <c r="Y612" t="s">
        <v>51</v>
      </c>
      <c r="Z612" s="34" t="str">
        <f t="shared" si="60"/>
        <v>Small</v>
      </c>
    </row>
    <row r="613" spans="1:26">
      <c r="A613" t="s">
        <v>1441</v>
      </c>
      <c r="B613" s="44">
        <v>44505</v>
      </c>
      <c r="C613" s="34">
        <f t="shared" si="55"/>
        <v>2021</v>
      </c>
      <c r="D613" s="34">
        <f t="shared" si="56"/>
        <v>11</v>
      </c>
      <c r="E613" s="34" t="str">
        <f t="shared" si="57"/>
        <v>November</v>
      </c>
      <c r="F613" s="44">
        <v>44508</v>
      </c>
      <c r="G613" t="s">
        <v>536</v>
      </c>
      <c r="H613" t="s">
        <v>537</v>
      </c>
      <c r="I613" t="s">
        <v>42</v>
      </c>
      <c r="J613" t="s">
        <v>43</v>
      </c>
      <c r="K613" t="s">
        <v>56</v>
      </c>
      <c r="L613" t="s">
        <v>57</v>
      </c>
      <c r="M613" t="s">
        <v>58</v>
      </c>
      <c r="N613" t="s">
        <v>118</v>
      </c>
      <c r="O613" t="s">
        <v>67</v>
      </c>
      <c r="P613" t="s">
        <v>119</v>
      </c>
      <c r="Q613" t="s">
        <v>120</v>
      </c>
      <c r="R613">
        <v>1199</v>
      </c>
      <c r="S613">
        <v>1</v>
      </c>
      <c r="T613">
        <v>0</v>
      </c>
      <c r="U613" s="34" t="str">
        <f t="shared" si="58"/>
        <v>No Discount</v>
      </c>
      <c r="V613">
        <v>-97.8</v>
      </c>
      <c r="W613" s="29">
        <f t="shared" si="59"/>
        <v>-0.0815679733110926</v>
      </c>
      <c r="X613">
        <v>6.25</v>
      </c>
      <c r="Y613" t="s">
        <v>80</v>
      </c>
      <c r="Z613" s="34" t="str">
        <f t="shared" si="60"/>
        <v>Medium</v>
      </c>
    </row>
    <row r="614" spans="1:26">
      <c r="A614" t="s">
        <v>1442</v>
      </c>
      <c r="B614" s="44">
        <v>43845</v>
      </c>
      <c r="C614" s="34">
        <f t="shared" si="55"/>
        <v>2020</v>
      </c>
      <c r="D614" s="34">
        <f t="shared" si="56"/>
        <v>1</v>
      </c>
      <c r="E614" s="34" t="str">
        <f t="shared" si="57"/>
        <v>January</v>
      </c>
      <c r="F614" s="44">
        <v>43847</v>
      </c>
      <c r="G614" t="s">
        <v>1443</v>
      </c>
      <c r="H614" t="s">
        <v>1444</v>
      </c>
      <c r="I614" t="s">
        <v>29</v>
      </c>
      <c r="J614" t="s">
        <v>43</v>
      </c>
      <c r="K614" t="s">
        <v>100</v>
      </c>
      <c r="L614" t="s">
        <v>101</v>
      </c>
      <c r="M614" t="s">
        <v>33</v>
      </c>
      <c r="N614" t="s">
        <v>110</v>
      </c>
      <c r="O614" t="s">
        <v>35</v>
      </c>
      <c r="P614" t="s">
        <v>111</v>
      </c>
      <c r="Q614" t="s">
        <v>112</v>
      </c>
      <c r="R614">
        <v>796</v>
      </c>
      <c r="S614">
        <v>4</v>
      </c>
      <c r="T614">
        <v>0</v>
      </c>
      <c r="U614" s="34" t="str">
        <f t="shared" si="58"/>
        <v>No Discount</v>
      </c>
      <c r="V614">
        <v>82.27</v>
      </c>
      <c r="W614" s="29">
        <f t="shared" si="59"/>
        <v>0.103354271356784</v>
      </c>
      <c r="X614">
        <v>44.15</v>
      </c>
      <c r="Y614" t="s">
        <v>62</v>
      </c>
      <c r="Z614" s="34" t="str">
        <f t="shared" si="60"/>
        <v>Medium</v>
      </c>
    </row>
    <row r="615" spans="1:26">
      <c r="A615" t="s">
        <v>1445</v>
      </c>
      <c r="B615" s="44">
        <v>44447</v>
      </c>
      <c r="C615" s="34">
        <f t="shared" si="55"/>
        <v>2021</v>
      </c>
      <c r="D615" s="34">
        <f t="shared" si="56"/>
        <v>9</v>
      </c>
      <c r="E615" s="34" t="str">
        <f t="shared" si="57"/>
        <v>September</v>
      </c>
      <c r="F615" s="44">
        <v>44450</v>
      </c>
      <c r="G615" t="s">
        <v>403</v>
      </c>
      <c r="H615" t="s">
        <v>404</v>
      </c>
      <c r="I615" t="s">
        <v>29</v>
      </c>
      <c r="J615" t="s">
        <v>43</v>
      </c>
      <c r="K615" t="s">
        <v>187</v>
      </c>
      <c r="L615" t="s">
        <v>188</v>
      </c>
      <c r="M615" t="s">
        <v>33</v>
      </c>
      <c r="N615" t="s">
        <v>110</v>
      </c>
      <c r="O615" t="s">
        <v>35</v>
      </c>
      <c r="P615" t="s">
        <v>111</v>
      </c>
      <c r="Q615" t="s">
        <v>112</v>
      </c>
      <c r="R615">
        <v>179.1</v>
      </c>
      <c r="S615">
        <v>1</v>
      </c>
      <c r="T615">
        <v>0.1</v>
      </c>
      <c r="U615" s="34" t="str">
        <f t="shared" si="58"/>
        <v>Low</v>
      </c>
      <c r="V615">
        <v>8.76</v>
      </c>
      <c r="W615" s="29">
        <f t="shared" si="59"/>
        <v>0.0489112227805695</v>
      </c>
      <c r="X615">
        <v>30.5</v>
      </c>
      <c r="Y615" t="s">
        <v>51</v>
      </c>
      <c r="Z615" s="34" t="str">
        <f t="shared" si="60"/>
        <v>Small</v>
      </c>
    </row>
    <row r="616" spans="1:26">
      <c r="A616" t="s">
        <v>1446</v>
      </c>
      <c r="B616" s="44">
        <v>44286</v>
      </c>
      <c r="C616" s="34">
        <f t="shared" si="55"/>
        <v>2021</v>
      </c>
      <c r="D616" s="34">
        <f t="shared" si="56"/>
        <v>3</v>
      </c>
      <c r="E616" s="34" t="str">
        <f t="shared" si="57"/>
        <v>March</v>
      </c>
      <c r="F616" s="44">
        <v>44291</v>
      </c>
      <c r="G616" t="s">
        <v>364</v>
      </c>
      <c r="H616" t="s">
        <v>365</v>
      </c>
      <c r="I616" t="s">
        <v>42</v>
      </c>
      <c r="J616" t="s">
        <v>30</v>
      </c>
      <c r="K616" t="s">
        <v>84</v>
      </c>
      <c r="L616" t="s">
        <v>366</v>
      </c>
      <c r="M616" t="s">
        <v>33</v>
      </c>
      <c r="N616" t="s">
        <v>215</v>
      </c>
      <c r="O616" t="s">
        <v>35</v>
      </c>
      <c r="P616" t="s">
        <v>36</v>
      </c>
      <c r="Q616" t="s">
        <v>216</v>
      </c>
      <c r="R616">
        <v>2598</v>
      </c>
      <c r="S616">
        <v>2</v>
      </c>
      <c r="T616">
        <v>0</v>
      </c>
      <c r="U616" s="34" t="str">
        <f t="shared" si="58"/>
        <v>No Discount</v>
      </c>
      <c r="V616">
        <v>382.56</v>
      </c>
      <c r="W616" s="29">
        <f t="shared" si="59"/>
        <v>0.147251732101617</v>
      </c>
      <c r="X616">
        <v>23.8</v>
      </c>
      <c r="Y616" t="s">
        <v>80</v>
      </c>
      <c r="Z616" s="34" t="str">
        <f t="shared" si="60"/>
        <v>Large</v>
      </c>
    </row>
    <row r="617" spans="1:26">
      <c r="A617" t="s">
        <v>1447</v>
      </c>
      <c r="B617" s="44">
        <v>43872</v>
      </c>
      <c r="C617" s="34">
        <f t="shared" si="55"/>
        <v>2020</v>
      </c>
      <c r="D617" s="34">
        <f t="shared" si="56"/>
        <v>2</v>
      </c>
      <c r="E617" s="34" t="str">
        <f t="shared" si="57"/>
        <v>February</v>
      </c>
      <c r="F617" s="44">
        <v>43879</v>
      </c>
      <c r="G617" t="s">
        <v>255</v>
      </c>
      <c r="H617" t="s">
        <v>256</v>
      </c>
      <c r="I617" t="s">
        <v>29</v>
      </c>
      <c r="J617" t="s">
        <v>43</v>
      </c>
      <c r="K617" t="s">
        <v>257</v>
      </c>
      <c r="L617" t="s">
        <v>258</v>
      </c>
      <c r="M617" t="s">
        <v>76</v>
      </c>
      <c r="N617" t="s">
        <v>59</v>
      </c>
      <c r="O617" t="s">
        <v>48</v>
      </c>
      <c r="P617" t="s">
        <v>60</v>
      </c>
      <c r="Q617" t="s">
        <v>61</v>
      </c>
      <c r="R617">
        <v>130.5</v>
      </c>
      <c r="S617">
        <v>1</v>
      </c>
      <c r="T617">
        <v>0.25</v>
      </c>
      <c r="U617" s="34" t="str">
        <f t="shared" si="58"/>
        <v>High</v>
      </c>
      <c r="V617">
        <v>12.29</v>
      </c>
      <c r="W617" s="29">
        <f t="shared" si="59"/>
        <v>0.094176245210728</v>
      </c>
      <c r="X617">
        <v>46.02</v>
      </c>
      <c r="Y617" t="s">
        <v>80</v>
      </c>
      <c r="Z617" s="34" t="str">
        <f t="shared" si="60"/>
        <v>Small</v>
      </c>
    </row>
    <row r="618" spans="1:26">
      <c r="A618" t="s">
        <v>1448</v>
      </c>
      <c r="B618" s="44">
        <v>43851</v>
      </c>
      <c r="C618" s="34">
        <f t="shared" si="55"/>
        <v>2020</v>
      </c>
      <c r="D618" s="34">
        <f t="shared" si="56"/>
        <v>1</v>
      </c>
      <c r="E618" s="34" t="str">
        <f t="shared" si="57"/>
        <v>January</v>
      </c>
      <c r="F618" s="44">
        <v>43853</v>
      </c>
      <c r="G618" t="s">
        <v>1449</v>
      </c>
      <c r="H618" t="s">
        <v>1450</v>
      </c>
      <c r="I618" t="s">
        <v>29</v>
      </c>
      <c r="J618" t="s">
        <v>43</v>
      </c>
      <c r="K618" t="s">
        <v>100</v>
      </c>
      <c r="L618" t="s">
        <v>420</v>
      </c>
      <c r="M618" t="s">
        <v>33</v>
      </c>
      <c r="N618" t="s">
        <v>533</v>
      </c>
      <c r="O618" t="s">
        <v>67</v>
      </c>
      <c r="P618" t="s">
        <v>119</v>
      </c>
      <c r="Q618" t="s">
        <v>534</v>
      </c>
      <c r="R618">
        <v>5495</v>
      </c>
      <c r="S618">
        <v>5</v>
      </c>
      <c r="T618">
        <v>0</v>
      </c>
      <c r="U618" s="34" t="str">
        <f t="shared" si="58"/>
        <v>No Discount</v>
      </c>
      <c r="V618">
        <v>-277.83</v>
      </c>
      <c r="W618" s="29">
        <f t="shared" si="59"/>
        <v>-0.0505605095541401</v>
      </c>
      <c r="X618">
        <v>10.27</v>
      </c>
      <c r="Y618" t="s">
        <v>70</v>
      </c>
      <c r="Z618" s="34" t="str">
        <f t="shared" si="60"/>
        <v>Large</v>
      </c>
    </row>
    <row r="619" spans="1:26">
      <c r="A619" t="s">
        <v>1451</v>
      </c>
      <c r="B619" s="44">
        <v>44835</v>
      </c>
      <c r="C619" s="34">
        <f t="shared" si="55"/>
        <v>2022</v>
      </c>
      <c r="D619" s="34">
        <f t="shared" si="56"/>
        <v>10</v>
      </c>
      <c r="E619" s="34" t="str">
        <f t="shared" si="57"/>
        <v>October</v>
      </c>
      <c r="F619" s="44">
        <v>44837</v>
      </c>
      <c r="G619" t="s">
        <v>819</v>
      </c>
      <c r="H619" t="s">
        <v>820</v>
      </c>
      <c r="I619" t="s">
        <v>29</v>
      </c>
      <c r="J619" t="s">
        <v>43</v>
      </c>
      <c r="K619" t="s">
        <v>180</v>
      </c>
      <c r="L619" t="s">
        <v>821</v>
      </c>
      <c r="M619" t="s">
        <v>46</v>
      </c>
      <c r="N619" t="s">
        <v>397</v>
      </c>
      <c r="O619" t="s">
        <v>48</v>
      </c>
      <c r="P619" t="s">
        <v>128</v>
      </c>
      <c r="Q619" t="s">
        <v>398</v>
      </c>
      <c r="R619">
        <v>52.5</v>
      </c>
      <c r="S619">
        <v>3</v>
      </c>
      <c r="T619">
        <v>0.3</v>
      </c>
      <c r="U619" s="34" t="str">
        <f t="shared" si="58"/>
        <v>High</v>
      </c>
      <c r="V619">
        <v>-18.41</v>
      </c>
      <c r="W619" s="29">
        <f t="shared" si="59"/>
        <v>-0.350666666666667</v>
      </c>
      <c r="X619">
        <v>47.35</v>
      </c>
      <c r="Y619" t="s">
        <v>51</v>
      </c>
      <c r="Z619" s="34" t="str">
        <f t="shared" si="60"/>
        <v>Small</v>
      </c>
    </row>
    <row r="620" spans="1:26">
      <c r="A620" t="s">
        <v>1452</v>
      </c>
      <c r="B620" s="44">
        <v>45495</v>
      </c>
      <c r="C620" s="34">
        <f t="shared" si="55"/>
        <v>2024</v>
      </c>
      <c r="D620" s="34">
        <f t="shared" si="56"/>
        <v>7</v>
      </c>
      <c r="E620" s="34" t="str">
        <f t="shared" si="57"/>
        <v>July</v>
      </c>
      <c r="F620" s="44">
        <v>45502</v>
      </c>
      <c r="G620" t="s">
        <v>1248</v>
      </c>
      <c r="H620" t="s">
        <v>392</v>
      </c>
      <c r="I620" t="s">
        <v>42</v>
      </c>
      <c r="J620" t="s">
        <v>43</v>
      </c>
      <c r="K620" t="s">
        <v>133</v>
      </c>
      <c r="L620" t="s">
        <v>134</v>
      </c>
      <c r="M620" t="s">
        <v>33</v>
      </c>
      <c r="N620" t="s">
        <v>357</v>
      </c>
      <c r="O620" t="s">
        <v>48</v>
      </c>
      <c r="P620" t="s">
        <v>49</v>
      </c>
      <c r="Q620" t="s">
        <v>358</v>
      </c>
      <c r="R620">
        <v>276</v>
      </c>
      <c r="S620">
        <v>4</v>
      </c>
      <c r="T620">
        <v>0</v>
      </c>
      <c r="U620" s="34" t="str">
        <f t="shared" si="58"/>
        <v>No Discount</v>
      </c>
      <c r="V620">
        <v>19.95</v>
      </c>
      <c r="W620" s="29">
        <f t="shared" si="59"/>
        <v>0.0722826086956522</v>
      </c>
      <c r="X620">
        <v>25.5</v>
      </c>
      <c r="Y620" t="s">
        <v>62</v>
      </c>
      <c r="Z620" s="34" t="str">
        <f t="shared" si="60"/>
        <v>Small</v>
      </c>
    </row>
    <row r="621" spans="1:26">
      <c r="A621" t="s">
        <v>1453</v>
      </c>
      <c r="B621" s="44">
        <v>44733</v>
      </c>
      <c r="C621" s="34">
        <f t="shared" si="55"/>
        <v>2022</v>
      </c>
      <c r="D621" s="34">
        <f t="shared" si="56"/>
        <v>6</v>
      </c>
      <c r="E621" s="34" t="str">
        <f t="shared" si="57"/>
        <v>June</v>
      </c>
      <c r="F621" s="44">
        <v>44736</v>
      </c>
      <c r="G621" t="s">
        <v>1454</v>
      </c>
      <c r="H621" t="s">
        <v>1455</v>
      </c>
      <c r="I621" t="s">
        <v>55</v>
      </c>
      <c r="J621" t="s">
        <v>43</v>
      </c>
      <c r="K621" t="s">
        <v>380</v>
      </c>
      <c r="L621" t="s">
        <v>1456</v>
      </c>
      <c r="M621" t="s">
        <v>58</v>
      </c>
      <c r="N621" t="s">
        <v>208</v>
      </c>
      <c r="O621" t="s">
        <v>48</v>
      </c>
      <c r="P621" t="s">
        <v>128</v>
      </c>
      <c r="Q621" t="s">
        <v>209</v>
      </c>
      <c r="R621">
        <v>66.5</v>
      </c>
      <c r="S621">
        <v>2</v>
      </c>
      <c r="T621">
        <v>0.05</v>
      </c>
      <c r="U621" s="34" t="str">
        <f t="shared" si="58"/>
        <v>Low</v>
      </c>
      <c r="V621">
        <v>-3.17</v>
      </c>
      <c r="W621" s="29">
        <f t="shared" si="59"/>
        <v>-0.0476691729323308</v>
      </c>
      <c r="X621">
        <v>37.15</v>
      </c>
      <c r="Y621" t="s">
        <v>121</v>
      </c>
      <c r="Z621" s="34" t="str">
        <f t="shared" si="60"/>
        <v>Small</v>
      </c>
    </row>
    <row r="622" spans="1:26">
      <c r="A622" t="s">
        <v>1457</v>
      </c>
      <c r="B622" s="44">
        <v>44670</v>
      </c>
      <c r="C622" s="34">
        <f t="shared" si="55"/>
        <v>2022</v>
      </c>
      <c r="D622" s="34">
        <f t="shared" si="56"/>
        <v>4</v>
      </c>
      <c r="E622" s="34" t="str">
        <f t="shared" si="57"/>
        <v>April</v>
      </c>
      <c r="F622" s="44">
        <v>44674</v>
      </c>
      <c r="G622" t="s">
        <v>1458</v>
      </c>
      <c r="H622" t="s">
        <v>1012</v>
      </c>
      <c r="I622" t="s">
        <v>29</v>
      </c>
      <c r="J622" t="s">
        <v>43</v>
      </c>
      <c r="K622" t="s">
        <v>438</v>
      </c>
      <c r="L622" t="s">
        <v>1227</v>
      </c>
      <c r="M622" t="s">
        <v>76</v>
      </c>
      <c r="N622" t="s">
        <v>148</v>
      </c>
      <c r="O622" t="s">
        <v>48</v>
      </c>
      <c r="P622" t="s">
        <v>60</v>
      </c>
      <c r="Q622" t="s">
        <v>149</v>
      </c>
      <c r="R622">
        <v>55</v>
      </c>
      <c r="S622">
        <v>1</v>
      </c>
      <c r="T622">
        <v>0</v>
      </c>
      <c r="U622" s="34" t="str">
        <f t="shared" si="58"/>
        <v>No Discount</v>
      </c>
      <c r="V622">
        <v>1.8</v>
      </c>
      <c r="W622" s="29">
        <f t="shared" si="59"/>
        <v>0.0327272727272727</v>
      </c>
      <c r="X622">
        <v>16.01</v>
      </c>
      <c r="Y622" t="s">
        <v>96</v>
      </c>
      <c r="Z622" s="34" t="str">
        <f t="shared" si="60"/>
        <v>Small</v>
      </c>
    </row>
    <row r="623" spans="1:26">
      <c r="A623" t="s">
        <v>1459</v>
      </c>
      <c r="B623" s="44">
        <v>45001</v>
      </c>
      <c r="C623" s="34">
        <f t="shared" si="55"/>
        <v>2023</v>
      </c>
      <c r="D623" s="34">
        <f t="shared" si="56"/>
        <v>3</v>
      </c>
      <c r="E623" s="34" t="str">
        <f t="shared" si="57"/>
        <v>March</v>
      </c>
      <c r="F623" s="44">
        <v>45007</v>
      </c>
      <c r="G623" t="s">
        <v>64</v>
      </c>
      <c r="H623" t="s">
        <v>65</v>
      </c>
      <c r="I623" t="s">
        <v>42</v>
      </c>
      <c r="J623" t="s">
        <v>43</v>
      </c>
      <c r="K623" t="s">
        <v>31</v>
      </c>
      <c r="L623" t="s">
        <v>32</v>
      </c>
      <c r="M623" t="s">
        <v>33</v>
      </c>
      <c r="N623" t="s">
        <v>321</v>
      </c>
      <c r="O623" t="s">
        <v>48</v>
      </c>
      <c r="P623" t="s">
        <v>190</v>
      </c>
      <c r="Q623" t="s">
        <v>322</v>
      </c>
      <c r="R623">
        <v>295</v>
      </c>
      <c r="S623">
        <v>5</v>
      </c>
      <c r="T623">
        <v>0</v>
      </c>
      <c r="U623" s="34" t="str">
        <f t="shared" si="58"/>
        <v>No Discount</v>
      </c>
      <c r="V623">
        <v>65.72</v>
      </c>
      <c r="W623" s="29">
        <f t="shared" si="59"/>
        <v>0.222779661016949</v>
      </c>
      <c r="X623">
        <v>26.76</v>
      </c>
      <c r="Y623" t="s">
        <v>38</v>
      </c>
      <c r="Z623" s="34" t="str">
        <f t="shared" si="60"/>
        <v>Small</v>
      </c>
    </row>
    <row r="624" spans="1:26">
      <c r="A624" t="s">
        <v>1460</v>
      </c>
      <c r="B624" s="44">
        <v>44364</v>
      </c>
      <c r="C624" s="34">
        <f t="shared" si="55"/>
        <v>2021</v>
      </c>
      <c r="D624" s="34">
        <f t="shared" si="56"/>
        <v>6</v>
      </c>
      <c r="E624" s="34" t="str">
        <f t="shared" si="57"/>
        <v>June</v>
      </c>
      <c r="F624" s="44">
        <v>44371</v>
      </c>
      <c r="G624" t="s">
        <v>856</v>
      </c>
      <c r="H624" t="s">
        <v>857</v>
      </c>
      <c r="I624" t="s">
        <v>29</v>
      </c>
      <c r="J624" t="s">
        <v>43</v>
      </c>
      <c r="K624" t="s">
        <v>245</v>
      </c>
      <c r="L624" t="s">
        <v>511</v>
      </c>
      <c r="M624" t="s">
        <v>76</v>
      </c>
      <c r="N624" t="s">
        <v>47</v>
      </c>
      <c r="O624" t="s">
        <v>48</v>
      </c>
      <c r="P624" t="s">
        <v>49</v>
      </c>
      <c r="Q624" t="s">
        <v>50</v>
      </c>
      <c r="R624">
        <v>201.45</v>
      </c>
      <c r="S624">
        <v>3</v>
      </c>
      <c r="T624">
        <v>0.15</v>
      </c>
      <c r="U624" s="34" t="str">
        <f t="shared" si="58"/>
        <v>Medium</v>
      </c>
      <c r="V624">
        <v>30.52</v>
      </c>
      <c r="W624" s="29">
        <f t="shared" si="59"/>
        <v>0.151501613303549</v>
      </c>
      <c r="X624">
        <v>19.12</v>
      </c>
      <c r="Y624" t="s">
        <v>38</v>
      </c>
      <c r="Z624" s="34" t="str">
        <f t="shared" si="60"/>
        <v>Small</v>
      </c>
    </row>
    <row r="625" spans="1:26">
      <c r="A625" t="s">
        <v>1461</v>
      </c>
      <c r="B625" s="44">
        <v>45320</v>
      </c>
      <c r="C625" s="34">
        <f t="shared" si="55"/>
        <v>2024</v>
      </c>
      <c r="D625" s="34">
        <f t="shared" si="56"/>
        <v>1</v>
      </c>
      <c r="E625" s="34" t="str">
        <f t="shared" si="57"/>
        <v>January</v>
      </c>
      <c r="F625" s="44">
        <v>45321</v>
      </c>
      <c r="G625" t="s">
        <v>231</v>
      </c>
      <c r="H625" t="s">
        <v>232</v>
      </c>
      <c r="I625" t="s">
        <v>55</v>
      </c>
      <c r="J625" t="s">
        <v>43</v>
      </c>
      <c r="K625" t="s">
        <v>233</v>
      </c>
      <c r="L625" t="s">
        <v>234</v>
      </c>
      <c r="M625" t="s">
        <v>46</v>
      </c>
      <c r="N625" t="s">
        <v>474</v>
      </c>
      <c r="O625" t="s">
        <v>35</v>
      </c>
      <c r="P625" t="s">
        <v>78</v>
      </c>
      <c r="Q625" t="s">
        <v>475</v>
      </c>
      <c r="R625">
        <v>3597</v>
      </c>
      <c r="S625">
        <v>3</v>
      </c>
      <c r="T625">
        <v>0</v>
      </c>
      <c r="U625" s="34" t="str">
        <f t="shared" si="58"/>
        <v>No Discount</v>
      </c>
      <c r="V625">
        <v>890.9</v>
      </c>
      <c r="W625" s="29">
        <f t="shared" si="59"/>
        <v>0.247678621073116</v>
      </c>
      <c r="X625">
        <v>27.82</v>
      </c>
      <c r="Y625" t="s">
        <v>62</v>
      </c>
      <c r="Z625" s="34" t="str">
        <f t="shared" si="60"/>
        <v>Large</v>
      </c>
    </row>
    <row r="626" spans="1:26">
      <c r="A626" t="s">
        <v>1462</v>
      </c>
      <c r="B626" s="44">
        <v>45554</v>
      </c>
      <c r="C626" s="34">
        <f t="shared" si="55"/>
        <v>2024</v>
      </c>
      <c r="D626" s="34">
        <f t="shared" si="56"/>
        <v>9</v>
      </c>
      <c r="E626" s="34" t="str">
        <f t="shared" si="57"/>
        <v>September</v>
      </c>
      <c r="F626" s="44">
        <v>45557</v>
      </c>
      <c r="G626" t="s">
        <v>1463</v>
      </c>
      <c r="H626" t="s">
        <v>1464</v>
      </c>
      <c r="I626" t="s">
        <v>55</v>
      </c>
      <c r="J626" t="s">
        <v>43</v>
      </c>
      <c r="K626" t="s">
        <v>640</v>
      </c>
      <c r="L626" t="s">
        <v>1465</v>
      </c>
      <c r="M626" t="s">
        <v>76</v>
      </c>
      <c r="N626" t="s">
        <v>315</v>
      </c>
      <c r="O626" t="s">
        <v>67</v>
      </c>
      <c r="P626" t="s">
        <v>252</v>
      </c>
      <c r="Q626" t="s">
        <v>316</v>
      </c>
      <c r="R626">
        <v>950.6</v>
      </c>
      <c r="S626">
        <v>2</v>
      </c>
      <c r="T626">
        <v>0.3</v>
      </c>
      <c r="U626" s="34" t="str">
        <f t="shared" si="58"/>
        <v>High</v>
      </c>
      <c r="V626">
        <v>166.96</v>
      </c>
      <c r="W626" s="29">
        <f t="shared" si="59"/>
        <v>0.175636440143068</v>
      </c>
      <c r="X626">
        <v>13.84</v>
      </c>
      <c r="Y626" t="s">
        <v>137</v>
      </c>
      <c r="Z626" s="34" t="str">
        <f t="shared" si="60"/>
        <v>Medium</v>
      </c>
    </row>
    <row r="627" spans="1:26">
      <c r="A627" t="s">
        <v>1466</v>
      </c>
      <c r="B627" s="44">
        <v>44356</v>
      </c>
      <c r="C627" s="34">
        <f t="shared" si="55"/>
        <v>2021</v>
      </c>
      <c r="D627" s="34">
        <f t="shared" si="56"/>
        <v>6</v>
      </c>
      <c r="E627" s="34" t="str">
        <f t="shared" si="57"/>
        <v>June</v>
      </c>
      <c r="F627" s="44">
        <v>44361</v>
      </c>
      <c r="G627" t="s">
        <v>1467</v>
      </c>
      <c r="H627" t="s">
        <v>1468</v>
      </c>
      <c r="I627" t="s">
        <v>42</v>
      </c>
      <c r="J627" t="s">
        <v>43</v>
      </c>
      <c r="K627" t="s">
        <v>233</v>
      </c>
      <c r="L627" t="s">
        <v>1469</v>
      </c>
      <c r="M627" t="s">
        <v>46</v>
      </c>
      <c r="N627" t="s">
        <v>339</v>
      </c>
      <c r="O627" t="s">
        <v>35</v>
      </c>
      <c r="P627" t="s">
        <v>78</v>
      </c>
      <c r="Q627" t="s">
        <v>340</v>
      </c>
      <c r="R627">
        <v>687</v>
      </c>
      <c r="S627">
        <v>3</v>
      </c>
      <c r="T627">
        <v>0</v>
      </c>
      <c r="U627" s="34" t="str">
        <f t="shared" si="58"/>
        <v>No Discount</v>
      </c>
      <c r="V627">
        <v>-48.15</v>
      </c>
      <c r="W627" s="29">
        <f t="shared" si="59"/>
        <v>-0.0700873362445415</v>
      </c>
      <c r="X627">
        <v>46.01</v>
      </c>
      <c r="Y627" t="s">
        <v>62</v>
      </c>
      <c r="Z627" s="34" t="str">
        <f t="shared" si="60"/>
        <v>Medium</v>
      </c>
    </row>
    <row r="628" spans="1:26">
      <c r="A628" t="s">
        <v>1470</v>
      </c>
      <c r="B628" s="44">
        <v>45376</v>
      </c>
      <c r="C628" s="34">
        <f t="shared" si="55"/>
        <v>2024</v>
      </c>
      <c r="D628" s="34">
        <f t="shared" si="56"/>
        <v>3</v>
      </c>
      <c r="E628" s="34" t="str">
        <f t="shared" si="57"/>
        <v>March</v>
      </c>
      <c r="F628" s="44">
        <v>45381</v>
      </c>
      <c r="G628" t="s">
        <v>1471</v>
      </c>
      <c r="H628" t="s">
        <v>1472</v>
      </c>
      <c r="I628" t="s">
        <v>55</v>
      </c>
      <c r="J628" t="s">
        <v>30</v>
      </c>
      <c r="K628" t="s">
        <v>56</v>
      </c>
      <c r="L628" t="s">
        <v>519</v>
      </c>
      <c r="M628" t="s">
        <v>58</v>
      </c>
      <c r="N628" t="s">
        <v>698</v>
      </c>
      <c r="O628" t="s">
        <v>35</v>
      </c>
      <c r="P628" t="s">
        <v>36</v>
      </c>
      <c r="Q628" t="s">
        <v>699</v>
      </c>
      <c r="R628">
        <v>2261</v>
      </c>
      <c r="S628">
        <v>4</v>
      </c>
      <c r="T628">
        <v>0.05</v>
      </c>
      <c r="U628" s="34" t="str">
        <f t="shared" si="58"/>
        <v>Low</v>
      </c>
      <c r="V628">
        <v>552.28</v>
      </c>
      <c r="W628" s="29">
        <f t="shared" si="59"/>
        <v>0.244263600176913</v>
      </c>
      <c r="X628">
        <v>43.22</v>
      </c>
      <c r="Y628" t="s">
        <v>51</v>
      </c>
      <c r="Z628" s="34" t="str">
        <f t="shared" si="60"/>
        <v>Large</v>
      </c>
    </row>
    <row r="629" spans="1:26">
      <c r="A629" t="s">
        <v>1473</v>
      </c>
      <c r="B629" s="44">
        <v>43998</v>
      </c>
      <c r="C629" s="34">
        <f t="shared" si="55"/>
        <v>2020</v>
      </c>
      <c r="D629" s="34">
        <f t="shared" si="56"/>
        <v>6</v>
      </c>
      <c r="E629" s="34" t="str">
        <f t="shared" si="57"/>
        <v>June</v>
      </c>
      <c r="F629" s="44">
        <v>44001</v>
      </c>
      <c r="G629" t="s">
        <v>503</v>
      </c>
      <c r="H629" t="s">
        <v>1152</v>
      </c>
      <c r="I629" t="s">
        <v>29</v>
      </c>
      <c r="J629" t="s">
        <v>43</v>
      </c>
      <c r="K629" t="s">
        <v>74</v>
      </c>
      <c r="L629" t="s">
        <v>75</v>
      </c>
      <c r="M629" t="s">
        <v>76</v>
      </c>
      <c r="N629" t="s">
        <v>623</v>
      </c>
      <c r="O629" t="s">
        <v>67</v>
      </c>
      <c r="P629" t="s">
        <v>87</v>
      </c>
      <c r="Q629" t="s">
        <v>624</v>
      </c>
      <c r="R629">
        <v>796.8</v>
      </c>
      <c r="S629">
        <v>4</v>
      </c>
      <c r="T629">
        <v>0.2</v>
      </c>
      <c r="U629" s="34" t="str">
        <f t="shared" si="58"/>
        <v>Medium</v>
      </c>
      <c r="V629">
        <v>190.61</v>
      </c>
      <c r="W629" s="29">
        <f t="shared" si="59"/>
        <v>0.23921937751004</v>
      </c>
      <c r="X629">
        <v>28.62</v>
      </c>
      <c r="Y629" t="s">
        <v>51</v>
      </c>
      <c r="Z629" s="34" t="str">
        <f t="shared" si="60"/>
        <v>Medium</v>
      </c>
    </row>
    <row r="630" spans="1:26">
      <c r="A630" t="s">
        <v>1474</v>
      </c>
      <c r="B630" s="44">
        <v>44412</v>
      </c>
      <c r="C630" s="34">
        <f t="shared" si="55"/>
        <v>2021</v>
      </c>
      <c r="D630" s="34">
        <f t="shared" si="56"/>
        <v>8</v>
      </c>
      <c r="E630" s="34" t="str">
        <f t="shared" si="57"/>
        <v>August</v>
      </c>
      <c r="F630" s="44">
        <v>44414</v>
      </c>
      <c r="G630" t="s">
        <v>1031</v>
      </c>
      <c r="H630" t="s">
        <v>1032</v>
      </c>
      <c r="I630" t="s">
        <v>55</v>
      </c>
      <c r="J630" t="s">
        <v>43</v>
      </c>
      <c r="K630" t="s">
        <v>125</v>
      </c>
      <c r="L630" t="s">
        <v>808</v>
      </c>
      <c r="M630" t="s">
        <v>58</v>
      </c>
      <c r="N630" t="s">
        <v>351</v>
      </c>
      <c r="O630" t="s">
        <v>67</v>
      </c>
      <c r="P630" t="s">
        <v>68</v>
      </c>
      <c r="Q630" t="s">
        <v>352</v>
      </c>
      <c r="R630">
        <v>1078.2</v>
      </c>
      <c r="S630">
        <v>2</v>
      </c>
      <c r="T630">
        <v>0.1</v>
      </c>
      <c r="U630" s="34" t="str">
        <f t="shared" si="58"/>
        <v>Low</v>
      </c>
      <c r="V630">
        <v>183.67</v>
      </c>
      <c r="W630" s="29">
        <f t="shared" si="59"/>
        <v>0.170348729363754</v>
      </c>
      <c r="X630">
        <v>34.68</v>
      </c>
      <c r="Y630" t="s">
        <v>62</v>
      </c>
      <c r="Z630" s="34" t="str">
        <f t="shared" si="60"/>
        <v>Medium</v>
      </c>
    </row>
    <row r="631" spans="1:26">
      <c r="A631" t="s">
        <v>1475</v>
      </c>
      <c r="B631" s="44">
        <v>45273</v>
      </c>
      <c r="C631" s="34">
        <f t="shared" si="55"/>
        <v>2023</v>
      </c>
      <c r="D631" s="34">
        <f t="shared" si="56"/>
        <v>12</v>
      </c>
      <c r="E631" s="34" t="str">
        <f t="shared" si="57"/>
        <v>December</v>
      </c>
      <c r="F631" s="44">
        <v>45280</v>
      </c>
      <c r="G631" t="s">
        <v>619</v>
      </c>
      <c r="H631" t="s">
        <v>620</v>
      </c>
      <c r="I631" t="s">
        <v>55</v>
      </c>
      <c r="J631" t="s">
        <v>43</v>
      </c>
      <c r="K631" t="s">
        <v>168</v>
      </c>
      <c r="L631" t="s">
        <v>621</v>
      </c>
      <c r="M631" t="s">
        <v>76</v>
      </c>
      <c r="N631" t="s">
        <v>375</v>
      </c>
      <c r="O631" t="s">
        <v>35</v>
      </c>
      <c r="P631" t="s">
        <v>163</v>
      </c>
      <c r="Q631" t="s">
        <v>376</v>
      </c>
      <c r="R631">
        <v>1849.65</v>
      </c>
      <c r="S631">
        <v>3</v>
      </c>
      <c r="T631">
        <v>0.05</v>
      </c>
      <c r="U631" s="34" t="str">
        <f t="shared" si="58"/>
        <v>Low</v>
      </c>
      <c r="V631">
        <v>458.6</v>
      </c>
      <c r="W631" s="29">
        <f t="shared" si="59"/>
        <v>0.247938799232287</v>
      </c>
      <c r="X631">
        <v>12.71</v>
      </c>
      <c r="Y631" t="s">
        <v>70</v>
      </c>
      <c r="Z631" s="34" t="str">
        <f t="shared" si="60"/>
        <v>Medium</v>
      </c>
    </row>
    <row r="632" spans="1:26">
      <c r="A632" t="s">
        <v>1476</v>
      </c>
      <c r="B632" s="44">
        <v>45258</v>
      </c>
      <c r="C632" s="34">
        <f t="shared" si="55"/>
        <v>2023</v>
      </c>
      <c r="D632" s="34">
        <f t="shared" si="56"/>
        <v>11</v>
      </c>
      <c r="E632" s="34" t="str">
        <f t="shared" si="57"/>
        <v>November</v>
      </c>
      <c r="F632" s="44">
        <v>45262</v>
      </c>
      <c r="G632" t="s">
        <v>336</v>
      </c>
      <c r="H632" t="s">
        <v>337</v>
      </c>
      <c r="I632" t="s">
        <v>55</v>
      </c>
      <c r="J632" t="s">
        <v>43</v>
      </c>
      <c r="K632" t="s">
        <v>153</v>
      </c>
      <c r="L632" t="s">
        <v>338</v>
      </c>
      <c r="M632" t="s">
        <v>58</v>
      </c>
      <c r="N632" t="s">
        <v>182</v>
      </c>
      <c r="O632" t="s">
        <v>48</v>
      </c>
      <c r="P632" t="s">
        <v>128</v>
      </c>
      <c r="Q632" t="s">
        <v>183</v>
      </c>
      <c r="R632">
        <v>158</v>
      </c>
      <c r="S632">
        <v>2</v>
      </c>
      <c r="T632">
        <v>0</v>
      </c>
      <c r="U632" s="34" t="str">
        <f t="shared" si="58"/>
        <v>No Discount</v>
      </c>
      <c r="V632">
        <v>-16.74</v>
      </c>
      <c r="W632" s="29">
        <f t="shared" si="59"/>
        <v>-0.105949367088608</v>
      </c>
      <c r="X632">
        <v>29.46</v>
      </c>
      <c r="Y632" t="s">
        <v>62</v>
      </c>
      <c r="Z632" s="34" t="str">
        <f t="shared" si="60"/>
        <v>Small</v>
      </c>
    </row>
    <row r="633" spans="1:26">
      <c r="A633" t="s">
        <v>1477</v>
      </c>
      <c r="B633" s="44">
        <v>44636</v>
      </c>
      <c r="C633" s="34">
        <f t="shared" si="55"/>
        <v>2022</v>
      </c>
      <c r="D633" s="34">
        <f t="shared" si="56"/>
        <v>3</v>
      </c>
      <c r="E633" s="34" t="str">
        <f t="shared" si="57"/>
        <v>March</v>
      </c>
      <c r="F633" s="44">
        <v>44640</v>
      </c>
      <c r="G633" t="s">
        <v>681</v>
      </c>
      <c r="H633" t="s">
        <v>682</v>
      </c>
      <c r="I633" t="s">
        <v>55</v>
      </c>
      <c r="J633" t="s">
        <v>43</v>
      </c>
      <c r="K633" t="s">
        <v>187</v>
      </c>
      <c r="L633" t="s">
        <v>662</v>
      </c>
      <c r="M633" t="s">
        <v>33</v>
      </c>
      <c r="N633" t="s">
        <v>155</v>
      </c>
      <c r="O633" t="s">
        <v>67</v>
      </c>
      <c r="P633" t="s">
        <v>119</v>
      </c>
      <c r="Q633" t="s">
        <v>156</v>
      </c>
      <c r="R633">
        <v>2547</v>
      </c>
      <c r="S633">
        <v>4</v>
      </c>
      <c r="T633">
        <v>0.25</v>
      </c>
      <c r="U633" s="34" t="str">
        <f t="shared" si="58"/>
        <v>High</v>
      </c>
      <c r="V633">
        <v>299.35</v>
      </c>
      <c r="W633" s="29">
        <f t="shared" si="59"/>
        <v>0.117530427954456</v>
      </c>
      <c r="X633">
        <v>20.97</v>
      </c>
      <c r="Y633" t="s">
        <v>70</v>
      </c>
      <c r="Z633" s="34" t="str">
        <f t="shared" si="60"/>
        <v>Large</v>
      </c>
    </row>
    <row r="634" spans="1:26">
      <c r="A634" t="s">
        <v>1478</v>
      </c>
      <c r="B634" s="44">
        <v>44918</v>
      </c>
      <c r="C634" s="34">
        <f t="shared" si="55"/>
        <v>2022</v>
      </c>
      <c r="D634" s="34">
        <f t="shared" si="56"/>
        <v>12</v>
      </c>
      <c r="E634" s="34" t="str">
        <f t="shared" si="57"/>
        <v>December</v>
      </c>
      <c r="F634" s="44">
        <v>44922</v>
      </c>
      <c r="G634" t="s">
        <v>1341</v>
      </c>
      <c r="H634" t="s">
        <v>1342</v>
      </c>
      <c r="I634" t="s">
        <v>29</v>
      </c>
      <c r="J634" t="s">
        <v>43</v>
      </c>
      <c r="K634" t="s">
        <v>297</v>
      </c>
      <c r="L634" t="s">
        <v>1343</v>
      </c>
      <c r="M634" t="s">
        <v>46</v>
      </c>
      <c r="N634" t="s">
        <v>388</v>
      </c>
      <c r="O634" t="s">
        <v>48</v>
      </c>
      <c r="P634" t="s">
        <v>190</v>
      </c>
      <c r="Q634" t="s">
        <v>389</v>
      </c>
      <c r="R634">
        <v>356</v>
      </c>
      <c r="S634">
        <v>4</v>
      </c>
      <c r="T634">
        <v>0</v>
      </c>
      <c r="U634" s="34" t="str">
        <f t="shared" si="58"/>
        <v>No Discount</v>
      </c>
      <c r="V634">
        <v>70.71</v>
      </c>
      <c r="W634" s="29">
        <f t="shared" si="59"/>
        <v>0.198623595505618</v>
      </c>
      <c r="X634">
        <v>25.36</v>
      </c>
      <c r="Y634" t="s">
        <v>137</v>
      </c>
      <c r="Z634" s="34" t="str">
        <f t="shared" si="60"/>
        <v>Small</v>
      </c>
    </row>
    <row r="635" spans="1:26">
      <c r="A635" t="s">
        <v>1479</v>
      </c>
      <c r="B635" s="44">
        <v>44516</v>
      </c>
      <c r="C635" s="34">
        <f t="shared" si="55"/>
        <v>2021</v>
      </c>
      <c r="D635" s="34">
        <f t="shared" si="56"/>
        <v>11</v>
      </c>
      <c r="E635" s="34" t="str">
        <f t="shared" si="57"/>
        <v>November</v>
      </c>
      <c r="F635" s="44">
        <v>44517</v>
      </c>
      <c r="G635" t="s">
        <v>1199</v>
      </c>
      <c r="H635" t="s">
        <v>1200</v>
      </c>
      <c r="I635" t="s">
        <v>55</v>
      </c>
      <c r="J635" t="s">
        <v>43</v>
      </c>
      <c r="K635" t="s">
        <v>233</v>
      </c>
      <c r="L635" t="s">
        <v>234</v>
      </c>
      <c r="M635" t="s">
        <v>46</v>
      </c>
      <c r="N635" t="s">
        <v>424</v>
      </c>
      <c r="O635" t="s">
        <v>67</v>
      </c>
      <c r="P635" t="s">
        <v>103</v>
      </c>
      <c r="Q635" t="s">
        <v>425</v>
      </c>
      <c r="R635">
        <v>3245</v>
      </c>
      <c r="S635">
        <v>5</v>
      </c>
      <c r="T635">
        <v>0</v>
      </c>
      <c r="U635" s="34" t="str">
        <f t="shared" si="58"/>
        <v>No Discount</v>
      </c>
      <c r="V635">
        <v>699.03</v>
      </c>
      <c r="W635" s="29">
        <f t="shared" si="59"/>
        <v>0.215417565485362</v>
      </c>
      <c r="X635">
        <v>49.56</v>
      </c>
      <c r="Y635" t="s">
        <v>38</v>
      </c>
      <c r="Z635" s="34" t="str">
        <f t="shared" si="60"/>
        <v>Large</v>
      </c>
    </row>
    <row r="636" spans="1:26">
      <c r="A636" t="s">
        <v>1480</v>
      </c>
      <c r="B636" s="44">
        <v>44802</v>
      </c>
      <c r="C636" s="34">
        <f t="shared" si="55"/>
        <v>2022</v>
      </c>
      <c r="D636" s="34">
        <f t="shared" si="56"/>
        <v>8</v>
      </c>
      <c r="E636" s="34" t="str">
        <f t="shared" si="57"/>
        <v>August</v>
      </c>
      <c r="F636" s="44">
        <v>44804</v>
      </c>
      <c r="G636" t="s">
        <v>139</v>
      </c>
      <c r="H636" t="s">
        <v>140</v>
      </c>
      <c r="I636" t="s">
        <v>29</v>
      </c>
      <c r="J636" t="s">
        <v>43</v>
      </c>
      <c r="K636" t="s">
        <v>84</v>
      </c>
      <c r="L636" t="s">
        <v>85</v>
      </c>
      <c r="M636" t="s">
        <v>33</v>
      </c>
      <c r="N636" t="s">
        <v>118</v>
      </c>
      <c r="O636" t="s">
        <v>67</v>
      </c>
      <c r="P636" t="s">
        <v>119</v>
      </c>
      <c r="Q636" t="s">
        <v>120</v>
      </c>
      <c r="R636">
        <v>4196.5</v>
      </c>
      <c r="S636">
        <v>5</v>
      </c>
      <c r="T636">
        <v>0.3</v>
      </c>
      <c r="U636" s="34" t="str">
        <f t="shared" si="58"/>
        <v>High</v>
      </c>
      <c r="V636">
        <v>407.92</v>
      </c>
      <c r="W636" s="29">
        <f t="shared" si="59"/>
        <v>0.0972048135350888</v>
      </c>
      <c r="X636">
        <v>39.09</v>
      </c>
      <c r="Y636" t="s">
        <v>70</v>
      </c>
      <c r="Z636" s="34" t="str">
        <f t="shared" si="60"/>
        <v>Large</v>
      </c>
    </row>
    <row r="637" spans="1:26">
      <c r="A637" t="s">
        <v>1481</v>
      </c>
      <c r="B637" s="44">
        <v>44026</v>
      </c>
      <c r="C637" s="34">
        <f t="shared" si="55"/>
        <v>2020</v>
      </c>
      <c r="D637" s="34">
        <f t="shared" si="56"/>
        <v>7</v>
      </c>
      <c r="E637" s="34" t="str">
        <f t="shared" si="57"/>
        <v>July</v>
      </c>
      <c r="F637" s="44">
        <v>44031</v>
      </c>
      <c r="G637" t="s">
        <v>394</v>
      </c>
      <c r="H637" t="s">
        <v>395</v>
      </c>
      <c r="I637" t="s">
        <v>29</v>
      </c>
      <c r="J637" t="s">
        <v>30</v>
      </c>
      <c r="K637" t="s">
        <v>199</v>
      </c>
      <c r="L637" t="s">
        <v>396</v>
      </c>
      <c r="M637" t="s">
        <v>46</v>
      </c>
      <c r="N637" t="s">
        <v>235</v>
      </c>
      <c r="O637" t="s">
        <v>35</v>
      </c>
      <c r="P637" t="s">
        <v>78</v>
      </c>
      <c r="Q637" t="s">
        <v>236</v>
      </c>
      <c r="R637">
        <v>878.4</v>
      </c>
      <c r="S637">
        <v>2</v>
      </c>
      <c r="T637">
        <v>0.2</v>
      </c>
      <c r="U637" s="34" t="str">
        <f t="shared" si="58"/>
        <v>Medium</v>
      </c>
      <c r="V637">
        <v>129.25</v>
      </c>
      <c r="W637" s="29">
        <f t="shared" si="59"/>
        <v>0.147142531876138</v>
      </c>
      <c r="X637">
        <v>8.37</v>
      </c>
      <c r="Y637" t="s">
        <v>38</v>
      </c>
      <c r="Z637" s="34" t="str">
        <f t="shared" si="60"/>
        <v>Medium</v>
      </c>
    </row>
    <row r="638" spans="1:26">
      <c r="A638" t="s">
        <v>1482</v>
      </c>
      <c r="B638" s="44">
        <v>45362</v>
      </c>
      <c r="C638" s="34">
        <f t="shared" si="55"/>
        <v>2024</v>
      </c>
      <c r="D638" s="34">
        <f t="shared" si="56"/>
        <v>3</v>
      </c>
      <c r="E638" s="34" t="str">
        <f t="shared" si="57"/>
        <v>March</v>
      </c>
      <c r="F638" s="44">
        <v>45365</v>
      </c>
      <c r="G638" t="s">
        <v>950</v>
      </c>
      <c r="H638" t="s">
        <v>951</v>
      </c>
      <c r="I638" t="s">
        <v>55</v>
      </c>
      <c r="J638" t="s">
        <v>43</v>
      </c>
      <c r="K638" t="s">
        <v>74</v>
      </c>
      <c r="L638" t="s">
        <v>387</v>
      </c>
      <c r="M638" t="s">
        <v>76</v>
      </c>
      <c r="N638" t="s">
        <v>228</v>
      </c>
      <c r="O638" t="s">
        <v>67</v>
      </c>
      <c r="P638" t="s">
        <v>103</v>
      </c>
      <c r="Q638" t="s">
        <v>229</v>
      </c>
      <c r="R638">
        <v>536.4</v>
      </c>
      <c r="S638">
        <v>4</v>
      </c>
      <c r="T638">
        <v>0.1</v>
      </c>
      <c r="U638" s="34" t="str">
        <f t="shared" si="58"/>
        <v>Low</v>
      </c>
      <c r="V638">
        <v>120.41</v>
      </c>
      <c r="W638" s="29">
        <f t="shared" si="59"/>
        <v>0.224478001491424</v>
      </c>
      <c r="X638">
        <v>45.63</v>
      </c>
      <c r="Y638" t="s">
        <v>96</v>
      </c>
      <c r="Z638" s="34" t="str">
        <f t="shared" si="60"/>
        <v>Medium</v>
      </c>
    </row>
    <row r="639" spans="1:26">
      <c r="A639" t="s">
        <v>1483</v>
      </c>
      <c r="B639" s="44">
        <v>45379</v>
      </c>
      <c r="C639" s="34">
        <f t="shared" si="55"/>
        <v>2024</v>
      </c>
      <c r="D639" s="34">
        <f t="shared" si="56"/>
        <v>3</v>
      </c>
      <c r="E639" s="34" t="str">
        <f t="shared" si="57"/>
        <v>March</v>
      </c>
      <c r="F639" s="44">
        <v>45385</v>
      </c>
      <c r="G639" t="s">
        <v>72</v>
      </c>
      <c r="H639" t="s">
        <v>73</v>
      </c>
      <c r="I639" t="s">
        <v>55</v>
      </c>
      <c r="J639" t="s">
        <v>30</v>
      </c>
      <c r="K639" t="s">
        <v>74</v>
      </c>
      <c r="L639" t="s">
        <v>75</v>
      </c>
      <c r="M639" t="s">
        <v>76</v>
      </c>
      <c r="N639" t="s">
        <v>315</v>
      </c>
      <c r="O639" t="s">
        <v>67</v>
      </c>
      <c r="P639" t="s">
        <v>252</v>
      </c>
      <c r="Q639" t="s">
        <v>316</v>
      </c>
      <c r="R639">
        <v>3395</v>
      </c>
      <c r="S639">
        <v>5</v>
      </c>
      <c r="T639">
        <v>0</v>
      </c>
      <c r="U639" s="34" t="str">
        <f t="shared" si="58"/>
        <v>No Discount</v>
      </c>
      <c r="V639">
        <v>600.14</v>
      </c>
      <c r="W639" s="29">
        <f t="shared" si="59"/>
        <v>0.176771723122239</v>
      </c>
      <c r="X639">
        <v>36.54</v>
      </c>
      <c r="Y639" t="s">
        <v>70</v>
      </c>
      <c r="Z639" s="34" t="str">
        <f t="shared" si="60"/>
        <v>Large</v>
      </c>
    </row>
    <row r="640" spans="1:26">
      <c r="A640" t="s">
        <v>1484</v>
      </c>
      <c r="B640" s="44">
        <v>44735</v>
      </c>
      <c r="C640" s="34">
        <f t="shared" si="55"/>
        <v>2022</v>
      </c>
      <c r="D640" s="34">
        <f t="shared" si="56"/>
        <v>6</v>
      </c>
      <c r="E640" s="34" t="str">
        <f t="shared" si="57"/>
        <v>June</v>
      </c>
      <c r="F640" s="44">
        <v>44737</v>
      </c>
      <c r="G640" t="s">
        <v>945</v>
      </c>
      <c r="H640" t="s">
        <v>946</v>
      </c>
      <c r="I640" t="s">
        <v>29</v>
      </c>
      <c r="J640" t="s">
        <v>30</v>
      </c>
      <c r="K640" t="s">
        <v>84</v>
      </c>
      <c r="L640" t="s">
        <v>366</v>
      </c>
      <c r="M640" t="s">
        <v>33</v>
      </c>
      <c r="N640" t="s">
        <v>474</v>
      </c>
      <c r="O640" t="s">
        <v>35</v>
      </c>
      <c r="P640" t="s">
        <v>78</v>
      </c>
      <c r="Q640" t="s">
        <v>475</v>
      </c>
      <c r="R640">
        <v>3597</v>
      </c>
      <c r="S640">
        <v>3</v>
      </c>
      <c r="T640">
        <v>0</v>
      </c>
      <c r="U640" s="34" t="str">
        <f t="shared" si="58"/>
        <v>No Discount</v>
      </c>
      <c r="V640">
        <v>641.11</v>
      </c>
      <c r="W640" s="29">
        <f t="shared" si="59"/>
        <v>0.178234639977759</v>
      </c>
      <c r="X640">
        <v>21.16</v>
      </c>
      <c r="Y640" t="s">
        <v>96</v>
      </c>
      <c r="Z640" s="34" t="str">
        <f t="shared" si="60"/>
        <v>Large</v>
      </c>
    </row>
    <row r="641" spans="1:26">
      <c r="A641" t="s">
        <v>1485</v>
      </c>
      <c r="B641" s="44">
        <v>44251</v>
      </c>
      <c r="C641" s="34">
        <f t="shared" si="55"/>
        <v>2021</v>
      </c>
      <c r="D641" s="34">
        <f t="shared" si="56"/>
        <v>2</v>
      </c>
      <c r="E641" s="34" t="str">
        <f t="shared" si="57"/>
        <v>February</v>
      </c>
      <c r="F641" s="44">
        <v>44253</v>
      </c>
      <c r="G641" t="s">
        <v>1103</v>
      </c>
      <c r="H641" t="s">
        <v>1104</v>
      </c>
      <c r="I641" t="s">
        <v>29</v>
      </c>
      <c r="J641" t="s">
        <v>43</v>
      </c>
      <c r="K641" t="s">
        <v>297</v>
      </c>
      <c r="L641" t="s">
        <v>298</v>
      </c>
      <c r="M641" t="s">
        <v>46</v>
      </c>
      <c r="N641" t="s">
        <v>135</v>
      </c>
      <c r="O641" t="s">
        <v>67</v>
      </c>
      <c r="P641" t="s">
        <v>68</v>
      </c>
      <c r="Q641" t="s">
        <v>136</v>
      </c>
      <c r="R641">
        <v>1817.2</v>
      </c>
      <c r="S641">
        <v>4</v>
      </c>
      <c r="T641">
        <v>0.3</v>
      </c>
      <c r="U641" s="34" t="str">
        <f t="shared" si="58"/>
        <v>High</v>
      </c>
      <c r="V641">
        <v>206.82</v>
      </c>
      <c r="W641" s="29">
        <f t="shared" si="59"/>
        <v>0.113812458727713</v>
      </c>
      <c r="X641">
        <v>37.49</v>
      </c>
      <c r="Y641" t="s">
        <v>96</v>
      </c>
      <c r="Z641" s="34" t="str">
        <f t="shared" si="60"/>
        <v>Medium</v>
      </c>
    </row>
    <row r="642" spans="1:26">
      <c r="A642" t="s">
        <v>1486</v>
      </c>
      <c r="B642" s="44">
        <v>44976</v>
      </c>
      <c r="C642" s="34">
        <f t="shared" ref="C642:C705" si="61">YEAR(B642)</f>
        <v>2023</v>
      </c>
      <c r="D642" s="34">
        <f t="shared" ref="D642:D705" si="62">MONTH(B642)</f>
        <v>2</v>
      </c>
      <c r="E642" s="34" t="str">
        <f t="shared" ref="E642:E705" si="63">TEXT(B642,"mmmm")</f>
        <v>February</v>
      </c>
      <c r="F642" s="44">
        <v>44977</v>
      </c>
      <c r="G642" t="s">
        <v>1377</v>
      </c>
      <c r="H642" t="s">
        <v>1378</v>
      </c>
      <c r="I642" t="s">
        <v>55</v>
      </c>
      <c r="J642" t="s">
        <v>43</v>
      </c>
      <c r="K642" t="s">
        <v>257</v>
      </c>
      <c r="L642" t="s">
        <v>1379</v>
      </c>
      <c r="M642" t="s">
        <v>76</v>
      </c>
      <c r="N642" t="s">
        <v>375</v>
      </c>
      <c r="O642" t="s">
        <v>35</v>
      </c>
      <c r="P642" t="s">
        <v>163</v>
      </c>
      <c r="Q642" t="s">
        <v>376</v>
      </c>
      <c r="R642">
        <v>3245</v>
      </c>
      <c r="S642">
        <v>5</v>
      </c>
      <c r="T642">
        <v>0</v>
      </c>
      <c r="U642" s="34" t="str">
        <f t="shared" ref="U642:U705" si="64">IF(T642=0,"No Discount",IF(T642&lt;=0.1,"Low",IF(T642&lt;=0.2,"Medium","High")))</f>
        <v>No Discount</v>
      </c>
      <c r="V642">
        <v>384.39</v>
      </c>
      <c r="W642" s="29">
        <f t="shared" ref="W642:W705" si="65">V642/R642</f>
        <v>0.118456086286595</v>
      </c>
      <c r="X642">
        <v>16.71</v>
      </c>
      <c r="Y642" t="s">
        <v>62</v>
      </c>
      <c r="Z642" s="34" t="str">
        <f t="shared" ref="Z642:Z705" si="66">IF(R642&lt;500,"Small",IF(R642&lt;=2000,"Medium","Large"))</f>
        <v>Large</v>
      </c>
    </row>
    <row r="643" spans="1:26">
      <c r="A643" t="s">
        <v>1487</v>
      </c>
      <c r="B643" s="44">
        <v>44516</v>
      </c>
      <c r="C643" s="34">
        <f t="shared" si="61"/>
        <v>2021</v>
      </c>
      <c r="D643" s="34">
        <f t="shared" si="62"/>
        <v>11</v>
      </c>
      <c r="E643" s="34" t="str">
        <f t="shared" si="63"/>
        <v>November</v>
      </c>
      <c r="F643" s="44">
        <v>44519</v>
      </c>
      <c r="G643" t="s">
        <v>98</v>
      </c>
      <c r="H643" t="s">
        <v>99</v>
      </c>
      <c r="I643" t="s">
        <v>55</v>
      </c>
      <c r="J643" t="s">
        <v>43</v>
      </c>
      <c r="K643" t="s">
        <v>100</v>
      </c>
      <c r="L643" t="s">
        <v>101</v>
      </c>
      <c r="M643" t="s">
        <v>33</v>
      </c>
      <c r="N643" t="s">
        <v>102</v>
      </c>
      <c r="O643" t="s">
        <v>67</v>
      </c>
      <c r="P643" t="s">
        <v>103</v>
      </c>
      <c r="Q643" t="s">
        <v>104</v>
      </c>
      <c r="R643">
        <v>399</v>
      </c>
      <c r="S643">
        <v>1</v>
      </c>
      <c r="T643">
        <v>0</v>
      </c>
      <c r="U643" s="34" t="str">
        <f t="shared" si="64"/>
        <v>No Discount</v>
      </c>
      <c r="V643">
        <v>85.92</v>
      </c>
      <c r="W643" s="29">
        <f t="shared" si="65"/>
        <v>0.215338345864662</v>
      </c>
      <c r="X643">
        <v>46.09</v>
      </c>
      <c r="Y643" t="s">
        <v>51</v>
      </c>
      <c r="Z643" s="34" t="str">
        <f t="shared" si="66"/>
        <v>Small</v>
      </c>
    </row>
    <row r="644" spans="1:26">
      <c r="A644" t="s">
        <v>1488</v>
      </c>
      <c r="B644" s="44">
        <v>45232</v>
      </c>
      <c r="C644" s="34">
        <f t="shared" si="61"/>
        <v>2023</v>
      </c>
      <c r="D644" s="34">
        <f t="shared" si="62"/>
        <v>11</v>
      </c>
      <c r="E644" s="34" t="str">
        <f t="shared" si="63"/>
        <v>November</v>
      </c>
      <c r="F644" s="44">
        <v>45233</v>
      </c>
      <c r="G644" t="s">
        <v>600</v>
      </c>
      <c r="H644" t="s">
        <v>601</v>
      </c>
      <c r="I644" t="s">
        <v>55</v>
      </c>
      <c r="J644" t="s">
        <v>43</v>
      </c>
      <c r="K644" t="s">
        <v>602</v>
      </c>
      <c r="L644" t="s">
        <v>603</v>
      </c>
      <c r="M644" t="s">
        <v>46</v>
      </c>
      <c r="N644" t="s">
        <v>127</v>
      </c>
      <c r="O644" t="s">
        <v>48</v>
      </c>
      <c r="P644" t="s">
        <v>128</v>
      </c>
      <c r="Q644" t="s">
        <v>129</v>
      </c>
      <c r="R644">
        <v>260</v>
      </c>
      <c r="S644">
        <v>4</v>
      </c>
      <c r="T644">
        <v>0</v>
      </c>
      <c r="U644" s="34" t="str">
        <f t="shared" si="64"/>
        <v>No Discount</v>
      </c>
      <c r="V644">
        <v>58.96</v>
      </c>
      <c r="W644" s="29">
        <f t="shared" si="65"/>
        <v>0.226769230769231</v>
      </c>
      <c r="X644">
        <v>20.13</v>
      </c>
      <c r="Y644" t="s">
        <v>70</v>
      </c>
      <c r="Z644" s="34" t="str">
        <f t="shared" si="66"/>
        <v>Small</v>
      </c>
    </row>
    <row r="645" spans="1:26">
      <c r="A645" t="s">
        <v>1489</v>
      </c>
      <c r="B645" s="44">
        <v>44117</v>
      </c>
      <c r="C645" s="34">
        <f t="shared" si="61"/>
        <v>2020</v>
      </c>
      <c r="D645" s="34">
        <f t="shared" si="62"/>
        <v>10</v>
      </c>
      <c r="E645" s="34" t="str">
        <f t="shared" si="63"/>
        <v>October</v>
      </c>
      <c r="F645" s="44">
        <v>44120</v>
      </c>
      <c r="G645" t="s">
        <v>1463</v>
      </c>
      <c r="H645" t="s">
        <v>1464</v>
      </c>
      <c r="I645" t="s">
        <v>55</v>
      </c>
      <c r="J645" t="s">
        <v>43</v>
      </c>
      <c r="K645" t="s">
        <v>640</v>
      </c>
      <c r="L645" t="s">
        <v>1465</v>
      </c>
      <c r="M645" t="s">
        <v>76</v>
      </c>
      <c r="N645" t="s">
        <v>698</v>
      </c>
      <c r="O645" t="s">
        <v>35</v>
      </c>
      <c r="P645" t="s">
        <v>36</v>
      </c>
      <c r="Q645" t="s">
        <v>699</v>
      </c>
      <c r="R645">
        <v>2380</v>
      </c>
      <c r="S645">
        <v>4</v>
      </c>
      <c r="T645">
        <v>0</v>
      </c>
      <c r="U645" s="34" t="str">
        <f t="shared" si="64"/>
        <v>No Discount</v>
      </c>
      <c r="V645">
        <v>517.25</v>
      </c>
      <c r="W645" s="29">
        <f t="shared" si="65"/>
        <v>0.217331932773109</v>
      </c>
      <c r="X645">
        <v>21.17</v>
      </c>
      <c r="Y645" t="s">
        <v>137</v>
      </c>
      <c r="Z645" s="34" t="str">
        <f t="shared" si="66"/>
        <v>Large</v>
      </c>
    </row>
    <row r="646" spans="1:26">
      <c r="A646" t="s">
        <v>1490</v>
      </c>
      <c r="B646" s="44">
        <v>45488</v>
      </c>
      <c r="C646" s="34">
        <f t="shared" si="61"/>
        <v>2024</v>
      </c>
      <c r="D646" s="34">
        <f t="shared" si="62"/>
        <v>7</v>
      </c>
      <c r="E646" s="34" t="str">
        <f t="shared" si="63"/>
        <v>July</v>
      </c>
      <c r="F646" s="44">
        <v>45494</v>
      </c>
      <c r="G646" t="s">
        <v>114</v>
      </c>
      <c r="H646" t="s">
        <v>115</v>
      </c>
      <c r="I646" t="s">
        <v>55</v>
      </c>
      <c r="J646" t="s">
        <v>43</v>
      </c>
      <c r="K646" t="s">
        <v>116</v>
      </c>
      <c r="L646" t="s">
        <v>117</v>
      </c>
      <c r="M646" t="s">
        <v>33</v>
      </c>
      <c r="N646" t="s">
        <v>321</v>
      </c>
      <c r="O646" t="s">
        <v>48</v>
      </c>
      <c r="P646" t="s">
        <v>190</v>
      </c>
      <c r="Q646" t="s">
        <v>322</v>
      </c>
      <c r="R646">
        <v>236</v>
      </c>
      <c r="S646">
        <v>4</v>
      </c>
      <c r="T646">
        <v>0</v>
      </c>
      <c r="U646" s="34" t="str">
        <f t="shared" si="64"/>
        <v>No Discount</v>
      </c>
      <c r="V646">
        <v>37.73</v>
      </c>
      <c r="W646" s="29">
        <f t="shared" si="65"/>
        <v>0.159872881355932</v>
      </c>
      <c r="X646">
        <v>15.83</v>
      </c>
      <c r="Y646" t="s">
        <v>137</v>
      </c>
      <c r="Z646" s="34" t="str">
        <f t="shared" si="66"/>
        <v>Small</v>
      </c>
    </row>
    <row r="647" spans="1:26">
      <c r="A647" t="s">
        <v>1491</v>
      </c>
      <c r="B647" s="44">
        <v>43884</v>
      </c>
      <c r="C647" s="34">
        <f t="shared" si="61"/>
        <v>2020</v>
      </c>
      <c r="D647" s="34">
        <f t="shared" si="62"/>
        <v>2</v>
      </c>
      <c r="E647" s="34" t="str">
        <f t="shared" si="63"/>
        <v>February</v>
      </c>
      <c r="F647" s="44">
        <v>43891</v>
      </c>
      <c r="G647" t="s">
        <v>477</v>
      </c>
      <c r="H647" t="s">
        <v>478</v>
      </c>
      <c r="I647" t="s">
        <v>55</v>
      </c>
      <c r="J647" t="s">
        <v>43</v>
      </c>
      <c r="K647" t="s">
        <v>84</v>
      </c>
      <c r="L647" t="s">
        <v>366</v>
      </c>
      <c r="M647" t="s">
        <v>33</v>
      </c>
      <c r="N647" t="s">
        <v>441</v>
      </c>
      <c r="O647" t="s">
        <v>67</v>
      </c>
      <c r="P647" t="s">
        <v>68</v>
      </c>
      <c r="Q647" t="s">
        <v>442</v>
      </c>
      <c r="R647">
        <v>1258.6</v>
      </c>
      <c r="S647">
        <v>2</v>
      </c>
      <c r="T647">
        <v>0.3</v>
      </c>
      <c r="U647" s="34" t="str">
        <f t="shared" si="64"/>
        <v>High</v>
      </c>
      <c r="V647">
        <v>-110.4</v>
      </c>
      <c r="W647" s="29">
        <f t="shared" si="65"/>
        <v>-0.0877165104083903</v>
      </c>
      <c r="X647">
        <v>32.37</v>
      </c>
      <c r="Y647" t="s">
        <v>80</v>
      </c>
      <c r="Z647" s="34" t="str">
        <f t="shared" si="66"/>
        <v>Medium</v>
      </c>
    </row>
    <row r="648" spans="1:26">
      <c r="A648" t="s">
        <v>1492</v>
      </c>
      <c r="B648" s="44">
        <v>44806</v>
      </c>
      <c r="C648" s="34">
        <f t="shared" si="61"/>
        <v>2022</v>
      </c>
      <c r="D648" s="34">
        <f t="shared" si="62"/>
        <v>9</v>
      </c>
      <c r="E648" s="34" t="str">
        <f t="shared" si="63"/>
        <v>September</v>
      </c>
      <c r="F648" s="44">
        <v>44807</v>
      </c>
      <c r="G648" t="s">
        <v>1127</v>
      </c>
      <c r="H648" t="s">
        <v>1128</v>
      </c>
      <c r="I648" t="s">
        <v>42</v>
      </c>
      <c r="J648" t="s">
        <v>43</v>
      </c>
      <c r="K648" t="s">
        <v>199</v>
      </c>
      <c r="L648" t="s">
        <v>200</v>
      </c>
      <c r="M648" t="s">
        <v>46</v>
      </c>
      <c r="N648" t="s">
        <v>868</v>
      </c>
      <c r="O648" t="s">
        <v>48</v>
      </c>
      <c r="P648" t="s">
        <v>190</v>
      </c>
      <c r="Q648" t="s">
        <v>869</v>
      </c>
      <c r="R648">
        <v>149</v>
      </c>
      <c r="S648">
        <v>1</v>
      </c>
      <c r="T648">
        <v>0</v>
      </c>
      <c r="U648" s="34" t="str">
        <f t="shared" si="64"/>
        <v>No Discount</v>
      </c>
      <c r="V648">
        <v>7.82</v>
      </c>
      <c r="W648" s="29">
        <f t="shared" si="65"/>
        <v>0.0524832214765101</v>
      </c>
      <c r="X648">
        <v>23.59</v>
      </c>
      <c r="Y648" t="s">
        <v>38</v>
      </c>
      <c r="Z648" s="34" t="str">
        <f t="shared" si="66"/>
        <v>Small</v>
      </c>
    </row>
    <row r="649" spans="1:26">
      <c r="A649" t="s">
        <v>1493</v>
      </c>
      <c r="B649" s="44">
        <v>44228</v>
      </c>
      <c r="C649" s="34">
        <f t="shared" si="61"/>
        <v>2021</v>
      </c>
      <c r="D649" s="34">
        <f t="shared" si="62"/>
        <v>2</v>
      </c>
      <c r="E649" s="34" t="str">
        <f t="shared" si="63"/>
        <v>February</v>
      </c>
      <c r="F649" s="44">
        <v>44231</v>
      </c>
      <c r="G649" t="s">
        <v>1042</v>
      </c>
      <c r="H649" t="s">
        <v>206</v>
      </c>
      <c r="I649" t="s">
        <v>55</v>
      </c>
      <c r="J649" t="s">
        <v>30</v>
      </c>
      <c r="K649" t="s">
        <v>273</v>
      </c>
      <c r="L649" t="s">
        <v>274</v>
      </c>
      <c r="M649" t="s">
        <v>46</v>
      </c>
      <c r="N649" t="s">
        <v>189</v>
      </c>
      <c r="O649" t="s">
        <v>48</v>
      </c>
      <c r="P649" t="s">
        <v>190</v>
      </c>
      <c r="Q649" t="s">
        <v>191</v>
      </c>
      <c r="R649">
        <v>78.75</v>
      </c>
      <c r="S649">
        <v>3</v>
      </c>
      <c r="T649">
        <v>0.25</v>
      </c>
      <c r="U649" s="34" t="str">
        <f t="shared" si="64"/>
        <v>High</v>
      </c>
      <c r="V649">
        <v>-2.06</v>
      </c>
      <c r="W649" s="29">
        <f t="shared" si="65"/>
        <v>-0.0261587301587302</v>
      </c>
      <c r="X649">
        <v>46.23</v>
      </c>
      <c r="Y649" t="s">
        <v>51</v>
      </c>
      <c r="Z649" s="34" t="str">
        <f t="shared" si="66"/>
        <v>Small</v>
      </c>
    </row>
    <row r="650" spans="1:26">
      <c r="A650" t="s">
        <v>1494</v>
      </c>
      <c r="B650" s="44">
        <v>44110</v>
      </c>
      <c r="C650" s="34">
        <f t="shared" si="61"/>
        <v>2020</v>
      </c>
      <c r="D650" s="34">
        <f t="shared" si="62"/>
        <v>10</v>
      </c>
      <c r="E650" s="34" t="str">
        <f t="shared" si="63"/>
        <v>October</v>
      </c>
      <c r="F650" s="44">
        <v>44113</v>
      </c>
      <c r="G650" t="s">
        <v>248</v>
      </c>
      <c r="H650" t="s">
        <v>249</v>
      </c>
      <c r="I650" t="s">
        <v>55</v>
      </c>
      <c r="J650" t="s">
        <v>30</v>
      </c>
      <c r="K650" t="s">
        <v>31</v>
      </c>
      <c r="L650" t="s">
        <v>246</v>
      </c>
      <c r="M650" t="s">
        <v>33</v>
      </c>
      <c r="N650" t="s">
        <v>66</v>
      </c>
      <c r="O650" t="s">
        <v>67</v>
      </c>
      <c r="P650" t="s">
        <v>68</v>
      </c>
      <c r="Q650" t="s">
        <v>69</v>
      </c>
      <c r="R650">
        <v>599.25</v>
      </c>
      <c r="S650">
        <v>1</v>
      </c>
      <c r="T650">
        <v>0.25</v>
      </c>
      <c r="U650" s="34" t="str">
        <f t="shared" si="64"/>
        <v>High</v>
      </c>
      <c r="V650">
        <v>139.97</v>
      </c>
      <c r="W650" s="29">
        <f t="shared" si="65"/>
        <v>0.23357530246141</v>
      </c>
      <c r="X650">
        <v>32.8</v>
      </c>
      <c r="Y650" t="s">
        <v>62</v>
      </c>
      <c r="Z650" s="34" t="str">
        <f t="shared" si="66"/>
        <v>Medium</v>
      </c>
    </row>
    <row r="651" spans="1:26">
      <c r="A651" t="s">
        <v>1495</v>
      </c>
      <c r="B651" s="44">
        <v>44456</v>
      </c>
      <c r="C651" s="34">
        <f t="shared" si="61"/>
        <v>2021</v>
      </c>
      <c r="D651" s="34">
        <f t="shared" si="62"/>
        <v>9</v>
      </c>
      <c r="E651" s="34" t="str">
        <f t="shared" si="63"/>
        <v>September</v>
      </c>
      <c r="F651" s="44">
        <v>44457</v>
      </c>
      <c r="G651" t="s">
        <v>1127</v>
      </c>
      <c r="H651" t="s">
        <v>1128</v>
      </c>
      <c r="I651" t="s">
        <v>42</v>
      </c>
      <c r="J651" t="s">
        <v>43</v>
      </c>
      <c r="K651" t="s">
        <v>199</v>
      </c>
      <c r="L651" t="s">
        <v>200</v>
      </c>
      <c r="M651" t="s">
        <v>46</v>
      </c>
      <c r="N651" t="s">
        <v>474</v>
      </c>
      <c r="O651" t="s">
        <v>35</v>
      </c>
      <c r="P651" t="s">
        <v>78</v>
      </c>
      <c r="Q651" t="s">
        <v>475</v>
      </c>
      <c r="R651">
        <v>2038.3</v>
      </c>
      <c r="S651">
        <v>2</v>
      </c>
      <c r="T651">
        <v>0.15</v>
      </c>
      <c r="U651" s="34" t="str">
        <f t="shared" si="64"/>
        <v>Medium</v>
      </c>
      <c r="V651">
        <v>233.74</v>
      </c>
      <c r="W651" s="29">
        <f t="shared" si="65"/>
        <v>0.11467399303341</v>
      </c>
      <c r="X651">
        <v>36.2</v>
      </c>
      <c r="Y651" t="s">
        <v>38</v>
      </c>
      <c r="Z651" s="34" t="str">
        <f t="shared" si="66"/>
        <v>Large</v>
      </c>
    </row>
    <row r="652" spans="1:26">
      <c r="A652" t="s">
        <v>1496</v>
      </c>
      <c r="B652" s="44">
        <v>44337</v>
      </c>
      <c r="C652" s="34">
        <f t="shared" si="61"/>
        <v>2021</v>
      </c>
      <c r="D652" s="34">
        <f t="shared" si="62"/>
        <v>5</v>
      </c>
      <c r="E652" s="34" t="str">
        <f t="shared" si="63"/>
        <v>May</v>
      </c>
      <c r="F652" s="44">
        <v>44342</v>
      </c>
      <c r="G652" t="s">
        <v>600</v>
      </c>
      <c r="H652" t="s">
        <v>601</v>
      </c>
      <c r="I652" t="s">
        <v>55</v>
      </c>
      <c r="J652" t="s">
        <v>43</v>
      </c>
      <c r="K652" t="s">
        <v>602</v>
      </c>
      <c r="L652" t="s">
        <v>603</v>
      </c>
      <c r="M652" t="s">
        <v>46</v>
      </c>
      <c r="N652" t="s">
        <v>321</v>
      </c>
      <c r="O652" t="s">
        <v>48</v>
      </c>
      <c r="P652" t="s">
        <v>190</v>
      </c>
      <c r="Q652" t="s">
        <v>322</v>
      </c>
      <c r="R652">
        <v>150.45</v>
      </c>
      <c r="S652">
        <v>3</v>
      </c>
      <c r="T652">
        <v>0.15</v>
      </c>
      <c r="U652" s="34" t="str">
        <f t="shared" si="64"/>
        <v>Medium</v>
      </c>
      <c r="V652">
        <v>21.98</v>
      </c>
      <c r="W652" s="29">
        <f t="shared" si="65"/>
        <v>0.146095048188767</v>
      </c>
      <c r="X652">
        <v>27.05</v>
      </c>
      <c r="Y652" t="s">
        <v>80</v>
      </c>
      <c r="Z652" s="34" t="str">
        <f t="shared" si="66"/>
        <v>Small</v>
      </c>
    </row>
    <row r="653" spans="1:26">
      <c r="A653" t="s">
        <v>1497</v>
      </c>
      <c r="B653" s="44">
        <v>44517</v>
      </c>
      <c r="C653" s="34">
        <f t="shared" si="61"/>
        <v>2021</v>
      </c>
      <c r="D653" s="34">
        <f t="shared" si="62"/>
        <v>11</v>
      </c>
      <c r="E653" s="34" t="str">
        <f t="shared" si="63"/>
        <v>November</v>
      </c>
      <c r="F653" s="44">
        <v>44520</v>
      </c>
      <c r="G653" t="s">
        <v>98</v>
      </c>
      <c r="H653" t="s">
        <v>99</v>
      </c>
      <c r="I653" t="s">
        <v>55</v>
      </c>
      <c r="J653" t="s">
        <v>43</v>
      </c>
      <c r="K653" t="s">
        <v>100</v>
      </c>
      <c r="L653" t="s">
        <v>101</v>
      </c>
      <c r="M653" t="s">
        <v>33</v>
      </c>
      <c r="N653" t="s">
        <v>141</v>
      </c>
      <c r="O653" t="s">
        <v>35</v>
      </c>
      <c r="P653" t="s">
        <v>111</v>
      </c>
      <c r="Q653" t="s">
        <v>142</v>
      </c>
      <c r="R653">
        <v>417.2</v>
      </c>
      <c r="S653">
        <v>4</v>
      </c>
      <c r="T653">
        <v>0.3</v>
      </c>
      <c r="U653" s="34" t="str">
        <f t="shared" si="64"/>
        <v>High</v>
      </c>
      <c r="V653">
        <v>74.86</v>
      </c>
      <c r="W653" s="29">
        <f t="shared" si="65"/>
        <v>0.179434324065197</v>
      </c>
      <c r="X653">
        <v>28.59</v>
      </c>
      <c r="Y653" t="s">
        <v>62</v>
      </c>
      <c r="Z653" s="34" t="str">
        <f t="shared" si="66"/>
        <v>Small</v>
      </c>
    </row>
    <row r="654" spans="1:26">
      <c r="A654" t="s">
        <v>1498</v>
      </c>
      <c r="B654" s="44">
        <v>44742</v>
      </c>
      <c r="C654" s="34">
        <f t="shared" si="61"/>
        <v>2022</v>
      </c>
      <c r="D654" s="34">
        <f t="shared" si="62"/>
        <v>6</v>
      </c>
      <c r="E654" s="34" t="str">
        <f t="shared" si="63"/>
        <v>June</v>
      </c>
      <c r="F654" s="44">
        <v>44748</v>
      </c>
      <c r="G654" t="s">
        <v>1199</v>
      </c>
      <c r="H654" t="s">
        <v>1200</v>
      </c>
      <c r="I654" t="s">
        <v>55</v>
      </c>
      <c r="J654" t="s">
        <v>43</v>
      </c>
      <c r="K654" t="s">
        <v>233</v>
      </c>
      <c r="L654" t="s">
        <v>234</v>
      </c>
      <c r="M654" t="s">
        <v>46</v>
      </c>
      <c r="N654" t="s">
        <v>189</v>
      </c>
      <c r="O654" t="s">
        <v>48</v>
      </c>
      <c r="P654" t="s">
        <v>190</v>
      </c>
      <c r="Q654" t="s">
        <v>191</v>
      </c>
      <c r="R654">
        <v>119</v>
      </c>
      <c r="S654">
        <v>4</v>
      </c>
      <c r="T654">
        <v>0.15</v>
      </c>
      <c r="U654" s="34" t="str">
        <f t="shared" si="64"/>
        <v>Medium</v>
      </c>
      <c r="V654">
        <v>11.7</v>
      </c>
      <c r="W654" s="29">
        <f t="shared" si="65"/>
        <v>0.0983193277310924</v>
      </c>
      <c r="X654">
        <v>8.59</v>
      </c>
      <c r="Y654" t="s">
        <v>137</v>
      </c>
      <c r="Z654" s="34" t="str">
        <f t="shared" si="66"/>
        <v>Small</v>
      </c>
    </row>
    <row r="655" spans="1:26">
      <c r="A655" t="s">
        <v>1499</v>
      </c>
      <c r="B655" s="44">
        <v>43941</v>
      </c>
      <c r="C655" s="34">
        <f t="shared" si="61"/>
        <v>2020</v>
      </c>
      <c r="D655" s="34">
        <f t="shared" si="62"/>
        <v>4</v>
      </c>
      <c r="E655" s="34" t="str">
        <f t="shared" si="63"/>
        <v>April</v>
      </c>
      <c r="F655" s="44">
        <v>43946</v>
      </c>
      <c r="G655" t="s">
        <v>139</v>
      </c>
      <c r="H655" t="s">
        <v>140</v>
      </c>
      <c r="I655" t="s">
        <v>29</v>
      </c>
      <c r="J655" t="s">
        <v>43</v>
      </c>
      <c r="K655" t="s">
        <v>84</v>
      </c>
      <c r="L655" t="s">
        <v>85</v>
      </c>
      <c r="M655" t="s">
        <v>33</v>
      </c>
      <c r="N655" t="s">
        <v>251</v>
      </c>
      <c r="O655" t="s">
        <v>67</v>
      </c>
      <c r="P655" t="s">
        <v>252</v>
      </c>
      <c r="Q655" t="s">
        <v>253</v>
      </c>
      <c r="R655">
        <v>2244</v>
      </c>
      <c r="S655">
        <v>4</v>
      </c>
      <c r="T655">
        <v>0.25</v>
      </c>
      <c r="U655" s="34" t="str">
        <f t="shared" si="64"/>
        <v>High</v>
      </c>
      <c r="V655">
        <v>322.42</v>
      </c>
      <c r="W655" s="29">
        <f t="shared" si="65"/>
        <v>0.143680926916221</v>
      </c>
      <c r="X655">
        <v>47.28</v>
      </c>
      <c r="Y655" t="s">
        <v>70</v>
      </c>
      <c r="Z655" s="34" t="str">
        <f t="shared" si="66"/>
        <v>Large</v>
      </c>
    </row>
    <row r="656" spans="1:26">
      <c r="A656" t="s">
        <v>1500</v>
      </c>
      <c r="B656" s="44">
        <v>45102</v>
      </c>
      <c r="C656" s="34">
        <f t="shared" si="61"/>
        <v>2023</v>
      </c>
      <c r="D656" s="34">
        <f t="shared" si="62"/>
        <v>6</v>
      </c>
      <c r="E656" s="34" t="str">
        <f t="shared" si="63"/>
        <v>June</v>
      </c>
      <c r="F656" s="44">
        <v>45105</v>
      </c>
      <c r="G656" t="s">
        <v>554</v>
      </c>
      <c r="H656" t="s">
        <v>555</v>
      </c>
      <c r="I656" t="s">
        <v>55</v>
      </c>
      <c r="J656" t="s">
        <v>43</v>
      </c>
      <c r="K656" t="s">
        <v>284</v>
      </c>
      <c r="L656" t="s">
        <v>414</v>
      </c>
      <c r="M656" t="s">
        <v>76</v>
      </c>
      <c r="N656" t="s">
        <v>228</v>
      </c>
      <c r="O656" t="s">
        <v>67</v>
      </c>
      <c r="P656" t="s">
        <v>103</v>
      </c>
      <c r="Q656" t="s">
        <v>229</v>
      </c>
      <c r="R656">
        <v>536.4</v>
      </c>
      <c r="S656">
        <v>4</v>
      </c>
      <c r="T656">
        <v>0.1</v>
      </c>
      <c r="U656" s="34" t="str">
        <f t="shared" si="64"/>
        <v>Low</v>
      </c>
      <c r="V656">
        <v>56.24</v>
      </c>
      <c r="W656" s="29">
        <f t="shared" si="65"/>
        <v>0.104847129008203</v>
      </c>
      <c r="X656">
        <v>27.09</v>
      </c>
      <c r="Y656" t="s">
        <v>96</v>
      </c>
      <c r="Z656" s="34" t="str">
        <f t="shared" si="66"/>
        <v>Medium</v>
      </c>
    </row>
    <row r="657" spans="1:26">
      <c r="A657" t="s">
        <v>1501</v>
      </c>
      <c r="B657" s="44">
        <v>45145</v>
      </c>
      <c r="C657" s="34">
        <f t="shared" si="61"/>
        <v>2023</v>
      </c>
      <c r="D657" s="34">
        <f t="shared" si="62"/>
        <v>8</v>
      </c>
      <c r="E657" s="34" t="str">
        <f t="shared" si="63"/>
        <v>August</v>
      </c>
      <c r="F657" s="44">
        <v>45149</v>
      </c>
      <c r="G657" t="s">
        <v>780</v>
      </c>
      <c r="H657" t="s">
        <v>41</v>
      </c>
      <c r="I657" t="s">
        <v>42</v>
      </c>
      <c r="J657" t="s">
        <v>43</v>
      </c>
      <c r="K657" t="s">
        <v>74</v>
      </c>
      <c r="L657" t="s">
        <v>613</v>
      </c>
      <c r="M657" t="s">
        <v>76</v>
      </c>
      <c r="N657" t="s">
        <v>546</v>
      </c>
      <c r="O657" t="s">
        <v>35</v>
      </c>
      <c r="P657" t="s">
        <v>36</v>
      </c>
      <c r="Q657" t="s">
        <v>547</v>
      </c>
      <c r="R657">
        <v>6285</v>
      </c>
      <c r="S657">
        <v>3</v>
      </c>
      <c r="T657">
        <v>0</v>
      </c>
      <c r="U657" s="34" t="str">
        <f t="shared" si="64"/>
        <v>No Discount</v>
      </c>
      <c r="V657">
        <v>-316.08</v>
      </c>
      <c r="W657" s="29">
        <f t="shared" si="65"/>
        <v>-0.050291169451074</v>
      </c>
      <c r="X657">
        <v>6.11</v>
      </c>
      <c r="Y657" t="s">
        <v>70</v>
      </c>
      <c r="Z657" s="34" t="str">
        <f t="shared" si="66"/>
        <v>Large</v>
      </c>
    </row>
    <row r="658" spans="1:26">
      <c r="A658" t="s">
        <v>1502</v>
      </c>
      <c r="B658" s="44">
        <v>44133</v>
      </c>
      <c r="C658" s="34">
        <f t="shared" si="61"/>
        <v>2020</v>
      </c>
      <c r="D658" s="34">
        <f t="shared" si="62"/>
        <v>10</v>
      </c>
      <c r="E658" s="34" t="str">
        <f t="shared" si="63"/>
        <v>October</v>
      </c>
      <c r="F658" s="44">
        <v>44139</v>
      </c>
      <c r="G658" t="s">
        <v>842</v>
      </c>
      <c r="H658" t="s">
        <v>843</v>
      </c>
      <c r="I658" t="s">
        <v>42</v>
      </c>
      <c r="J658" t="s">
        <v>43</v>
      </c>
      <c r="K658" t="s">
        <v>92</v>
      </c>
      <c r="L658" t="s">
        <v>93</v>
      </c>
      <c r="M658" t="s">
        <v>76</v>
      </c>
      <c r="N658" t="s">
        <v>623</v>
      </c>
      <c r="O658" t="s">
        <v>67</v>
      </c>
      <c r="P658" t="s">
        <v>87</v>
      </c>
      <c r="Q658" t="s">
        <v>624</v>
      </c>
      <c r="R658">
        <v>846.6</v>
      </c>
      <c r="S658">
        <v>4</v>
      </c>
      <c r="T658">
        <v>0.15</v>
      </c>
      <c r="U658" s="34" t="str">
        <f t="shared" si="64"/>
        <v>Medium</v>
      </c>
      <c r="V658">
        <v>120.28</v>
      </c>
      <c r="W658" s="29">
        <f t="shared" si="65"/>
        <v>0.142074179069218</v>
      </c>
      <c r="X658">
        <v>22.38</v>
      </c>
      <c r="Y658" t="s">
        <v>96</v>
      </c>
      <c r="Z658" s="34" t="str">
        <f t="shared" si="66"/>
        <v>Medium</v>
      </c>
    </row>
    <row r="659" spans="1:26">
      <c r="A659" t="s">
        <v>1503</v>
      </c>
      <c r="B659" s="44">
        <v>45308</v>
      </c>
      <c r="C659" s="34">
        <f t="shared" si="61"/>
        <v>2024</v>
      </c>
      <c r="D659" s="34">
        <f t="shared" si="62"/>
        <v>1</v>
      </c>
      <c r="E659" s="34" t="str">
        <f t="shared" si="63"/>
        <v>January</v>
      </c>
      <c r="F659" s="44">
        <v>45315</v>
      </c>
      <c r="G659" t="s">
        <v>849</v>
      </c>
      <c r="H659" t="s">
        <v>850</v>
      </c>
      <c r="I659" t="s">
        <v>55</v>
      </c>
      <c r="J659" t="s">
        <v>43</v>
      </c>
      <c r="K659" t="s">
        <v>199</v>
      </c>
      <c r="L659" t="s">
        <v>851</v>
      </c>
      <c r="M659" t="s">
        <v>46</v>
      </c>
      <c r="N659" t="s">
        <v>102</v>
      </c>
      <c r="O659" t="s">
        <v>67</v>
      </c>
      <c r="P659" t="s">
        <v>103</v>
      </c>
      <c r="Q659" t="s">
        <v>104</v>
      </c>
      <c r="R659">
        <v>1596</v>
      </c>
      <c r="S659">
        <v>4</v>
      </c>
      <c r="T659">
        <v>0</v>
      </c>
      <c r="U659" s="34" t="str">
        <f t="shared" si="64"/>
        <v>No Discount</v>
      </c>
      <c r="V659">
        <v>-130.71</v>
      </c>
      <c r="W659" s="29">
        <f t="shared" si="65"/>
        <v>-0.0818984962406015</v>
      </c>
      <c r="X659">
        <v>10.09</v>
      </c>
      <c r="Y659" t="s">
        <v>96</v>
      </c>
      <c r="Z659" s="34" t="str">
        <f t="shared" si="66"/>
        <v>Medium</v>
      </c>
    </row>
    <row r="660" spans="1:26">
      <c r="A660" t="s">
        <v>1504</v>
      </c>
      <c r="B660" s="44">
        <v>44778</v>
      </c>
      <c r="C660" s="34">
        <f t="shared" si="61"/>
        <v>2022</v>
      </c>
      <c r="D660" s="34">
        <f t="shared" si="62"/>
        <v>8</v>
      </c>
      <c r="E660" s="34" t="str">
        <f t="shared" si="63"/>
        <v>August</v>
      </c>
      <c r="F660" s="44">
        <v>44785</v>
      </c>
      <c r="G660" t="s">
        <v>1251</v>
      </c>
      <c r="H660" t="s">
        <v>1252</v>
      </c>
      <c r="I660" t="s">
        <v>55</v>
      </c>
      <c r="J660" t="s">
        <v>43</v>
      </c>
      <c r="K660" t="s">
        <v>349</v>
      </c>
      <c r="L660" t="s">
        <v>350</v>
      </c>
      <c r="M660" t="s">
        <v>33</v>
      </c>
      <c r="N660" t="s">
        <v>228</v>
      </c>
      <c r="O660" t="s">
        <v>67</v>
      </c>
      <c r="P660" t="s">
        <v>103</v>
      </c>
      <c r="Q660" t="s">
        <v>229</v>
      </c>
      <c r="R660">
        <v>596</v>
      </c>
      <c r="S660">
        <v>4</v>
      </c>
      <c r="T660">
        <v>0</v>
      </c>
      <c r="U660" s="34" t="str">
        <f t="shared" si="64"/>
        <v>No Discount</v>
      </c>
      <c r="V660">
        <v>136.23</v>
      </c>
      <c r="W660" s="29">
        <f t="shared" si="65"/>
        <v>0.228573825503356</v>
      </c>
      <c r="X660">
        <v>42.58</v>
      </c>
      <c r="Y660" t="s">
        <v>70</v>
      </c>
      <c r="Z660" s="34" t="str">
        <f t="shared" si="66"/>
        <v>Medium</v>
      </c>
    </row>
    <row r="661" spans="1:26">
      <c r="A661" t="s">
        <v>1505</v>
      </c>
      <c r="B661" s="44">
        <v>45565</v>
      </c>
      <c r="C661" s="34">
        <f t="shared" si="61"/>
        <v>2024</v>
      </c>
      <c r="D661" s="34">
        <f t="shared" si="62"/>
        <v>9</v>
      </c>
      <c r="E661" s="34" t="str">
        <f t="shared" si="63"/>
        <v>September</v>
      </c>
      <c r="F661" s="44">
        <v>45568</v>
      </c>
      <c r="G661" t="s">
        <v>289</v>
      </c>
      <c r="H661" t="s">
        <v>290</v>
      </c>
      <c r="I661" t="s">
        <v>29</v>
      </c>
      <c r="J661" t="s">
        <v>43</v>
      </c>
      <c r="K661" t="s">
        <v>180</v>
      </c>
      <c r="L661" t="s">
        <v>291</v>
      </c>
      <c r="M661" t="s">
        <v>46</v>
      </c>
      <c r="N661" t="s">
        <v>388</v>
      </c>
      <c r="O661" t="s">
        <v>48</v>
      </c>
      <c r="P661" t="s">
        <v>190</v>
      </c>
      <c r="Q661" t="s">
        <v>389</v>
      </c>
      <c r="R661">
        <v>62.3</v>
      </c>
      <c r="S661">
        <v>1</v>
      </c>
      <c r="T661">
        <v>0.3</v>
      </c>
      <c r="U661" s="34" t="str">
        <f t="shared" si="64"/>
        <v>High</v>
      </c>
      <c r="V661">
        <v>2.42</v>
      </c>
      <c r="W661" s="29">
        <f t="shared" si="65"/>
        <v>0.0388443017656501</v>
      </c>
      <c r="X661">
        <v>37.61</v>
      </c>
      <c r="Y661" t="s">
        <v>80</v>
      </c>
      <c r="Z661" s="34" t="str">
        <f t="shared" si="66"/>
        <v>Small</v>
      </c>
    </row>
    <row r="662" spans="1:26">
      <c r="A662" t="s">
        <v>1506</v>
      </c>
      <c r="B662" s="44">
        <v>44077</v>
      </c>
      <c r="C662" s="34">
        <f t="shared" si="61"/>
        <v>2020</v>
      </c>
      <c r="D662" s="34">
        <f t="shared" si="62"/>
        <v>9</v>
      </c>
      <c r="E662" s="34" t="str">
        <f t="shared" si="63"/>
        <v>September</v>
      </c>
      <c r="F662" s="44">
        <v>44078</v>
      </c>
      <c r="G662" t="s">
        <v>1507</v>
      </c>
      <c r="H662" t="s">
        <v>1508</v>
      </c>
      <c r="I662" t="s">
        <v>42</v>
      </c>
      <c r="J662" t="s">
        <v>43</v>
      </c>
      <c r="K662" t="s">
        <v>302</v>
      </c>
      <c r="L662" t="s">
        <v>303</v>
      </c>
      <c r="M662" t="s">
        <v>76</v>
      </c>
      <c r="N662" t="s">
        <v>155</v>
      </c>
      <c r="O662" t="s">
        <v>67</v>
      </c>
      <c r="P662" t="s">
        <v>119</v>
      </c>
      <c r="Q662" t="s">
        <v>156</v>
      </c>
      <c r="R662">
        <v>4032.75</v>
      </c>
      <c r="S662">
        <v>5</v>
      </c>
      <c r="T662">
        <v>0.05</v>
      </c>
      <c r="U662" s="34" t="str">
        <f t="shared" si="64"/>
        <v>Low</v>
      </c>
      <c r="V662">
        <v>399.17</v>
      </c>
      <c r="W662" s="29">
        <f t="shared" si="65"/>
        <v>0.0989820841857293</v>
      </c>
      <c r="X662">
        <v>13.68</v>
      </c>
      <c r="Y662" t="s">
        <v>137</v>
      </c>
      <c r="Z662" s="34" t="str">
        <f t="shared" si="66"/>
        <v>Large</v>
      </c>
    </row>
    <row r="663" spans="1:26">
      <c r="A663" t="s">
        <v>1509</v>
      </c>
      <c r="B663" s="44">
        <v>43932</v>
      </c>
      <c r="C663" s="34">
        <f t="shared" si="61"/>
        <v>2020</v>
      </c>
      <c r="D663" s="34">
        <f t="shared" si="62"/>
        <v>4</v>
      </c>
      <c r="E663" s="34" t="str">
        <f t="shared" si="63"/>
        <v>April</v>
      </c>
      <c r="F663" s="44">
        <v>43934</v>
      </c>
      <c r="G663" t="s">
        <v>488</v>
      </c>
      <c r="H663" t="s">
        <v>489</v>
      </c>
      <c r="I663" t="s">
        <v>55</v>
      </c>
      <c r="J663" t="s">
        <v>43</v>
      </c>
      <c r="K663" t="s">
        <v>380</v>
      </c>
      <c r="L663" t="s">
        <v>381</v>
      </c>
      <c r="M663" t="s">
        <v>58</v>
      </c>
      <c r="N663" t="s">
        <v>339</v>
      </c>
      <c r="O663" t="s">
        <v>35</v>
      </c>
      <c r="P663" t="s">
        <v>78</v>
      </c>
      <c r="Q663" t="s">
        <v>340</v>
      </c>
      <c r="R663">
        <v>1087.75</v>
      </c>
      <c r="S663">
        <v>5</v>
      </c>
      <c r="T663">
        <v>0.05</v>
      </c>
      <c r="U663" s="34" t="str">
        <f t="shared" si="64"/>
        <v>Low</v>
      </c>
      <c r="V663">
        <v>226.23</v>
      </c>
      <c r="W663" s="29">
        <f t="shared" si="65"/>
        <v>0.207979774764422</v>
      </c>
      <c r="X663">
        <v>43.57</v>
      </c>
      <c r="Y663" t="s">
        <v>121</v>
      </c>
      <c r="Z663" s="34" t="str">
        <f t="shared" si="66"/>
        <v>Medium</v>
      </c>
    </row>
    <row r="664" spans="1:26">
      <c r="A664" t="s">
        <v>1510</v>
      </c>
      <c r="B664" s="44">
        <v>45259</v>
      </c>
      <c r="C664" s="34">
        <f t="shared" si="61"/>
        <v>2023</v>
      </c>
      <c r="D664" s="34">
        <f t="shared" si="62"/>
        <v>11</v>
      </c>
      <c r="E664" s="34" t="str">
        <f t="shared" si="63"/>
        <v>November</v>
      </c>
      <c r="F664" s="44">
        <v>45260</v>
      </c>
      <c r="G664" t="s">
        <v>883</v>
      </c>
      <c r="H664" t="s">
        <v>729</v>
      </c>
      <c r="I664" t="s">
        <v>29</v>
      </c>
      <c r="J664" t="s">
        <v>43</v>
      </c>
      <c r="K664" t="s">
        <v>472</v>
      </c>
      <c r="L664" t="s">
        <v>473</v>
      </c>
      <c r="M664" t="s">
        <v>58</v>
      </c>
      <c r="N664" t="s">
        <v>868</v>
      </c>
      <c r="O664" t="s">
        <v>48</v>
      </c>
      <c r="P664" t="s">
        <v>190</v>
      </c>
      <c r="Q664" t="s">
        <v>869</v>
      </c>
      <c r="R664">
        <v>558.75</v>
      </c>
      <c r="S664">
        <v>5</v>
      </c>
      <c r="T664">
        <v>0.25</v>
      </c>
      <c r="U664" s="34" t="str">
        <f t="shared" si="64"/>
        <v>High</v>
      </c>
      <c r="V664">
        <v>125.54</v>
      </c>
      <c r="W664" s="29">
        <f t="shared" si="65"/>
        <v>0.224680089485459</v>
      </c>
      <c r="X664">
        <v>47.16</v>
      </c>
      <c r="Y664" t="s">
        <v>80</v>
      </c>
      <c r="Z664" s="34" t="str">
        <f t="shared" si="66"/>
        <v>Medium</v>
      </c>
    </row>
    <row r="665" spans="1:26">
      <c r="A665" t="s">
        <v>1511</v>
      </c>
      <c r="B665" s="44">
        <v>45319</v>
      </c>
      <c r="C665" s="34">
        <f t="shared" si="61"/>
        <v>2024</v>
      </c>
      <c r="D665" s="34">
        <f t="shared" si="62"/>
        <v>1</v>
      </c>
      <c r="E665" s="34" t="str">
        <f t="shared" si="63"/>
        <v>January</v>
      </c>
      <c r="F665" s="44">
        <v>45325</v>
      </c>
      <c r="G665" t="s">
        <v>255</v>
      </c>
      <c r="H665" t="s">
        <v>256</v>
      </c>
      <c r="I665" t="s">
        <v>29</v>
      </c>
      <c r="J665" t="s">
        <v>43</v>
      </c>
      <c r="K665" t="s">
        <v>257</v>
      </c>
      <c r="L665" t="s">
        <v>258</v>
      </c>
      <c r="M665" t="s">
        <v>76</v>
      </c>
      <c r="N665" t="s">
        <v>59</v>
      </c>
      <c r="O665" t="s">
        <v>48</v>
      </c>
      <c r="P665" t="s">
        <v>60</v>
      </c>
      <c r="Q665" t="s">
        <v>61</v>
      </c>
      <c r="R665">
        <v>121.8</v>
      </c>
      <c r="S665">
        <v>1</v>
      </c>
      <c r="T665">
        <v>0.3</v>
      </c>
      <c r="U665" s="34" t="str">
        <f t="shared" si="64"/>
        <v>High</v>
      </c>
      <c r="V665">
        <v>7.97</v>
      </c>
      <c r="W665" s="29">
        <f t="shared" si="65"/>
        <v>0.0654351395730706</v>
      </c>
      <c r="X665">
        <v>14.03</v>
      </c>
      <c r="Y665" t="s">
        <v>51</v>
      </c>
      <c r="Z665" s="34" t="str">
        <f t="shared" si="66"/>
        <v>Small</v>
      </c>
    </row>
    <row r="666" spans="1:26">
      <c r="A666" t="s">
        <v>1512</v>
      </c>
      <c r="B666" s="44">
        <v>45215</v>
      </c>
      <c r="C666" s="34">
        <f t="shared" si="61"/>
        <v>2023</v>
      </c>
      <c r="D666" s="34">
        <f t="shared" si="62"/>
        <v>10</v>
      </c>
      <c r="E666" s="34" t="str">
        <f t="shared" si="63"/>
        <v>October</v>
      </c>
      <c r="F666" s="44">
        <v>45222</v>
      </c>
      <c r="G666" t="s">
        <v>211</v>
      </c>
      <c r="H666" t="s">
        <v>212</v>
      </c>
      <c r="I666" t="s">
        <v>42</v>
      </c>
      <c r="J666" t="s">
        <v>43</v>
      </c>
      <c r="K666" t="s">
        <v>213</v>
      </c>
      <c r="L666" t="s">
        <v>214</v>
      </c>
      <c r="M666" t="s">
        <v>33</v>
      </c>
      <c r="N666" t="s">
        <v>1074</v>
      </c>
      <c r="O666" t="s">
        <v>35</v>
      </c>
      <c r="P666" t="s">
        <v>111</v>
      </c>
      <c r="Q666" t="s">
        <v>1075</v>
      </c>
      <c r="R666">
        <v>650.25</v>
      </c>
      <c r="S666">
        <v>3</v>
      </c>
      <c r="T666">
        <v>0.25</v>
      </c>
      <c r="U666" s="34" t="str">
        <f t="shared" si="64"/>
        <v>High</v>
      </c>
      <c r="V666">
        <v>138.96</v>
      </c>
      <c r="W666" s="29">
        <f t="shared" si="65"/>
        <v>0.213702422145329</v>
      </c>
      <c r="X666">
        <v>13.65</v>
      </c>
      <c r="Y666" t="s">
        <v>96</v>
      </c>
      <c r="Z666" s="34" t="str">
        <f t="shared" si="66"/>
        <v>Medium</v>
      </c>
    </row>
    <row r="667" spans="1:26">
      <c r="A667" t="s">
        <v>1513</v>
      </c>
      <c r="B667" s="44">
        <v>44744</v>
      </c>
      <c r="C667" s="34">
        <f t="shared" si="61"/>
        <v>2022</v>
      </c>
      <c r="D667" s="34">
        <f t="shared" si="62"/>
        <v>7</v>
      </c>
      <c r="E667" s="34" t="str">
        <f t="shared" si="63"/>
        <v>July</v>
      </c>
      <c r="F667" s="44">
        <v>44746</v>
      </c>
      <c r="G667" t="s">
        <v>360</v>
      </c>
      <c r="H667" t="s">
        <v>361</v>
      </c>
      <c r="I667" t="s">
        <v>42</v>
      </c>
      <c r="J667" t="s">
        <v>30</v>
      </c>
      <c r="K667" t="s">
        <v>168</v>
      </c>
      <c r="L667" t="s">
        <v>362</v>
      </c>
      <c r="M667" t="s">
        <v>76</v>
      </c>
      <c r="N667" t="s">
        <v>215</v>
      </c>
      <c r="O667" t="s">
        <v>35</v>
      </c>
      <c r="P667" t="s">
        <v>36</v>
      </c>
      <c r="Q667" t="s">
        <v>216</v>
      </c>
      <c r="R667">
        <v>3637.2</v>
      </c>
      <c r="S667">
        <v>4</v>
      </c>
      <c r="T667">
        <v>0.3</v>
      </c>
      <c r="U667" s="34" t="str">
        <f t="shared" si="64"/>
        <v>High</v>
      </c>
      <c r="V667">
        <v>721.22</v>
      </c>
      <c r="W667" s="29">
        <f t="shared" si="65"/>
        <v>0.198289893324535</v>
      </c>
      <c r="X667">
        <v>20.74</v>
      </c>
      <c r="Y667" t="s">
        <v>96</v>
      </c>
      <c r="Z667" s="34" t="str">
        <f t="shared" si="66"/>
        <v>Large</v>
      </c>
    </row>
    <row r="668" spans="1:26">
      <c r="A668" t="s">
        <v>1514</v>
      </c>
      <c r="B668" s="44">
        <v>44060</v>
      </c>
      <c r="C668" s="34">
        <f t="shared" si="61"/>
        <v>2020</v>
      </c>
      <c r="D668" s="34">
        <f t="shared" si="62"/>
        <v>8</v>
      </c>
      <c r="E668" s="34" t="str">
        <f t="shared" si="63"/>
        <v>August</v>
      </c>
      <c r="F668" s="44">
        <v>44066</v>
      </c>
      <c r="G668" t="s">
        <v>660</v>
      </c>
      <c r="H668" t="s">
        <v>661</v>
      </c>
      <c r="I668" t="s">
        <v>42</v>
      </c>
      <c r="J668" t="s">
        <v>43</v>
      </c>
      <c r="K668" t="s">
        <v>187</v>
      </c>
      <c r="L668" t="s">
        <v>662</v>
      </c>
      <c r="M668" t="s">
        <v>33</v>
      </c>
      <c r="N668" t="s">
        <v>533</v>
      </c>
      <c r="O668" t="s">
        <v>67</v>
      </c>
      <c r="P668" t="s">
        <v>119</v>
      </c>
      <c r="Q668" t="s">
        <v>534</v>
      </c>
      <c r="R668">
        <v>1648.5</v>
      </c>
      <c r="S668">
        <v>2</v>
      </c>
      <c r="T668">
        <v>0.25</v>
      </c>
      <c r="U668" s="34" t="str">
        <f t="shared" si="64"/>
        <v>High</v>
      </c>
      <c r="V668">
        <v>359.14</v>
      </c>
      <c r="W668" s="29">
        <f t="shared" si="65"/>
        <v>0.217858659387322</v>
      </c>
      <c r="X668">
        <v>11.77</v>
      </c>
      <c r="Y668" t="s">
        <v>80</v>
      </c>
      <c r="Z668" s="34" t="str">
        <f t="shared" si="66"/>
        <v>Medium</v>
      </c>
    </row>
    <row r="669" spans="1:26">
      <c r="A669" t="s">
        <v>1515</v>
      </c>
      <c r="B669" s="44">
        <v>45245</v>
      </c>
      <c r="C669" s="34">
        <f t="shared" si="61"/>
        <v>2023</v>
      </c>
      <c r="D669" s="34">
        <f t="shared" si="62"/>
        <v>11</v>
      </c>
      <c r="E669" s="34" t="str">
        <f t="shared" si="63"/>
        <v>November</v>
      </c>
      <c r="F669" s="44">
        <v>45252</v>
      </c>
      <c r="G669" t="s">
        <v>1177</v>
      </c>
      <c r="H669" t="s">
        <v>1178</v>
      </c>
      <c r="I669" t="s">
        <v>29</v>
      </c>
      <c r="J669" t="s">
        <v>43</v>
      </c>
      <c r="K669" t="s">
        <v>168</v>
      </c>
      <c r="L669" t="s">
        <v>362</v>
      </c>
      <c r="M669" t="s">
        <v>76</v>
      </c>
      <c r="N669" t="s">
        <v>321</v>
      </c>
      <c r="O669" t="s">
        <v>48</v>
      </c>
      <c r="P669" t="s">
        <v>190</v>
      </c>
      <c r="Q669" t="s">
        <v>322</v>
      </c>
      <c r="R669">
        <v>106.2</v>
      </c>
      <c r="S669">
        <v>2</v>
      </c>
      <c r="T669">
        <v>0.1</v>
      </c>
      <c r="U669" s="34" t="str">
        <f t="shared" si="64"/>
        <v>Low</v>
      </c>
      <c r="V669">
        <v>17.59</v>
      </c>
      <c r="W669" s="29">
        <f t="shared" si="65"/>
        <v>0.165630885122411</v>
      </c>
      <c r="X669">
        <v>29.87</v>
      </c>
      <c r="Y669" t="s">
        <v>70</v>
      </c>
      <c r="Z669" s="34" t="str">
        <f t="shared" si="66"/>
        <v>Small</v>
      </c>
    </row>
    <row r="670" spans="1:26">
      <c r="A670" t="s">
        <v>1516</v>
      </c>
      <c r="B670" s="44">
        <v>45178</v>
      </c>
      <c r="C670" s="34">
        <f t="shared" si="61"/>
        <v>2023</v>
      </c>
      <c r="D670" s="34">
        <f t="shared" si="62"/>
        <v>9</v>
      </c>
      <c r="E670" s="34" t="str">
        <f t="shared" si="63"/>
        <v>September</v>
      </c>
      <c r="F670" s="44">
        <v>45179</v>
      </c>
      <c r="G670" t="s">
        <v>406</v>
      </c>
      <c r="H670" t="s">
        <v>407</v>
      </c>
      <c r="I670" t="s">
        <v>55</v>
      </c>
      <c r="J670" t="s">
        <v>43</v>
      </c>
      <c r="K670" t="s">
        <v>213</v>
      </c>
      <c r="L670" t="s">
        <v>408</v>
      </c>
      <c r="M670" t="s">
        <v>33</v>
      </c>
      <c r="N670" t="s">
        <v>182</v>
      </c>
      <c r="O670" t="s">
        <v>48</v>
      </c>
      <c r="P670" t="s">
        <v>128</v>
      </c>
      <c r="Q670" t="s">
        <v>183</v>
      </c>
      <c r="R670">
        <v>237</v>
      </c>
      <c r="S670">
        <v>3</v>
      </c>
      <c r="T670">
        <v>0</v>
      </c>
      <c r="U670" s="34" t="str">
        <f t="shared" si="64"/>
        <v>No Discount</v>
      </c>
      <c r="V670">
        <v>13.34</v>
      </c>
      <c r="W670" s="29">
        <f t="shared" si="65"/>
        <v>0.0562869198312236</v>
      </c>
      <c r="X670">
        <v>34.53</v>
      </c>
      <c r="Y670" t="s">
        <v>70</v>
      </c>
      <c r="Z670" s="34" t="str">
        <f t="shared" si="66"/>
        <v>Small</v>
      </c>
    </row>
    <row r="671" spans="1:26">
      <c r="A671" t="s">
        <v>1517</v>
      </c>
      <c r="B671" s="44">
        <v>44621</v>
      </c>
      <c r="C671" s="34">
        <f t="shared" si="61"/>
        <v>2022</v>
      </c>
      <c r="D671" s="34">
        <f t="shared" si="62"/>
        <v>3</v>
      </c>
      <c r="E671" s="34" t="str">
        <f t="shared" si="63"/>
        <v>March</v>
      </c>
      <c r="F671" s="44">
        <v>44625</v>
      </c>
      <c r="G671" t="s">
        <v>1353</v>
      </c>
      <c r="H671" t="s">
        <v>1354</v>
      </c>
      <c r="I671" t="s">
        <v>42</v>
      </c>
      <c r="J671" t="s">
        <v>43</v>
      </c>
      <c r="K671" t="s">
        <v>44</v>
      </c>
      <c r="L671" t="s">
        <v>195</v>
      </c>
      <c r="M671" t="s">
        <v>46</v>
      </c>
      <c r="N671" t="s">
        <v>441</v>
      </c>
      <c r="O671" t="s">
        <v>67</v>
      </c>
      <c r="P671" t="s">
        <v>68</v>
      </c>
      <c r="Q671" t="s">
        <v>442</v>
      </c>
      <c r="R671">
        <v>3596</v>
      </c>
      <c r="S671">
        <v>4</v>
      </c>
      <c r="T671">
        <v>0</v>
      </c>
      <c r="U671" s="34" t="str">
        <f t="shared" si="64"/>
        <v>No Discount</v>
      </c>
      <c r="V671">
        <v>346.16</v>
      </c>
      <c r="W671" s="29">
        <f t="shared" si="65"/>
        <v>0.0962625139043382</v>
      </c>
      <c r="X671">
        <v>44.8</v>
      </c>
      <c r="Y671" t="s">
        <v>38</v>
      </c>
      <c r="Z671" s="34" t="str">
        <f t="shared" si="66"/>
        <v>Large</v>
      </c>
    </row>
    <row r="672" spans="1:26">
      <c r="A672" t="s">
        <v>1518</v>
      </c>
      <c r="B672" s="44">
        <v>45373</v>
      </c>
      <c r="C672" s="34">
        <f t="shared" si="61"/>
        <v>2024</v>
      </c>
      <c r="D672" s="34">
        <f t="shared" si="62"/>
        <v>3</v>
      </c>
      <c r="E672" s="34" t="str">
        <f t="shared" si="63"/>
        <v>March</v>
      </c>
      <c r="F672" s="44">
        <v>45376</v>
      </c>
      <c r="G672" t="s">
        <v>803</v>
      </c>
      <c r="H672" t="s">
        <v>804</v>
      </c>
      <c r="I672" t="s">
        <v>55</v>
      </c>
      <c r="J672" t="s">
        <v>43</v>
      </c>
      <c r="K672" t="s">
        <v>551</v>
      </c>
      <c r="L672" t="s">
        <v>718</v>
      </c>
      <c r="M672" t="s">
        <v>33</v>
      </c>
      <c r="N672" t="s">
        <v>228</v>
      </c>
      <c r="O672" t="s">
        <v>67</v>
      </c>
      <c r="P672" t="s">
        <v>103</v>
      </c>
      <c r="Q672" t="s">
        <v>229</v>
      </c>
      <c r="R672">
        <v>283.1</v>
      </c>
      <c r="S672">
        <v>2</v>
      </c>
      <c r="T672">
        <v>0.05</v>
      </c>
      <c r="U672" s="34" t="str">
        <f t="shared" si="64"/>
        <v>Low</v>
      </c>
      <c r="V672">
        <v>-28.86</v>
      </c>
      <c r="W672" s="29">
        <f t="shared" si="65"/>
        <v>-0.101942776404097</v>
      </c>
      <c r="X672">
        <v>20.72</v>
      </c>
      <c r="Y672" t="s">
        <v>62</v>
      </c>
      <c r="Z672" s="34" t="str">
        <f t="shared" si="66"/>
        <v>Small</v>
      </c>
    </row>
    <row r="673" spans="1:26">
      <c r="A673" t="s">
        <v>1519</v>
      </c>
      <c r="B673" s="44">
        <v>43884</v>
      </c>
      <c r="C673" s="34">
        <f t="shared" si="61"/>
        <v>2020</v>
      </c>
      <c r="D673" s="34">
        <f t="shared" si="62"/>
        <v>2</v>
      </c>
      <c r="E673" s="34" t="str">
        <f t="shared" si="63"/>
        <v>February</v>
      </c>
      <c r="F673" s="44">
        <v>43886</v>
      </c>
      <c r="G673" t="s">
        <v>509</v>
      </c>
      <c r="H673" t="s">
        <v>510</v>
      </c>
      <c r="I673" t="s">
        <v>55</v>
      </c>
      <c r="J673" t="s">
        <v>43</v>
      </c>
      <c r="K673" t="s">
        <v>245</v>
      </c>
      <c r="L673" t="s">
        <v>511</v>
      </c>
      <c r="M673" t="s">
        <v>76</v>
      </c>
      <c r="N673" t="s">
        <v>77</v>
      </c>
      <c r="O673" t="s">
        <v>35</v>
      </c>
      <c r="P673" t="s">
        <v>78</v>
      </c>
      <c r="Q673" t="s">
        <v>79</v>
      </c>
      <c r="R673">
        <v>2929.5</v>
      </c>
      <c r="S673">
        <v>3</v>
      </c>
      <c r="T673">
        <v>0.3</v>
      </c>
      <c r="U673" s="34" t="str">
        <f t="shared" si="64"/>
        <v>High</v>
      </c>
      <c r="V673">
        <v>-159.04</v>
      </c>
      <c r="W673" s="29">
        <f t="shared" si="65"/>
        <v>-0.0542891278375149</v>
      </c>
      <c r="X673">
        <v>41.9</v>
      </c>
      <c r="Y673" t="s">
        <v>70</v>
      </c>
      <c r="Z673" s="34" t="str">
        <f t="shared" si="66"/>
        <v>Large</v>
      </c>
    </row>
    <row r="674" spans="1:26">
      <c r="A674" t="s">
        <v>1520</v>
      </c>
      <c r="B674" s="44">
        <v>44712</v>
      </c>
      <c r="C674" s="34">
        <f t="shared" si="61"/>
        <v>2022</v>
      </c>
      <c r="D674" s="34">
        <f t="shared" si="62"/>
        <v>5</v>
      </c>
      <c r="E674" s="34" t="str">
        <f t="shared" si="63"/>
        <v>May</v>
      </c>
      <c r="F674" s="44">
        <v>44719</v>
      </c>
      <c r="G674" t="s">
        <v>585</v>
      </c>
      <c r="H674" t="s">
        <v>586</v>
      </c>
      <c r="I674" t="s">
        <v>29</v>
      </c>
      <c r="J674" t="s">
        <v>43</v>
      </c>
      <c r="K674" t="s">
        <v>320</v>
      </c>
      <c r="L674" t="s">
        <v>181</v>
      </c>
      <c r="M674" t="s">
        <v>46</v>
      </c>
      <c r="N674" t="s">
        <v>34</v>
      </c>
      <c r="O674" t="s">
        <v>35</v>
      </c>
      <c r="P674" t="s">
        <v>36</v>
      </c>
      <c r="Q674" t="s">
        <v>37</v>
      </c>
      <c r="R674">
        <v>2245</v>
      </c>
      <c r="S674">
        <v>5</v>
      </c>
      <c r="T674">
        <v>0</v>
      </c>
      <c r="U674" s="34" t="str">
        <f t="shared" si="64"/>
        <v>No Discount</v>
      </c>
      <c r="V674">
        <v>488.34</v>
      </c>
      <c r="W674" s="29">
        <f t="shared" si="65"/>
        <v>0.217523385300668</v>
      </c>
      <c r="X674">
        <v>18.52</v>
      </c>
      <c r="Y674" t="s">
        <v>62</v>
      </c>
      <c r="Z674" s="34" t="str">
        <f t="shared" si="66"/>
        <v>Large</v>
      </c>
    </row>
    <row r="675" spans="1:26">
      <c r="A675" t="s">
        <v>1521</v>
      </c>
      <c r="B675" s="44">
        <v>44813</v>
      </c>
      <c r="C675" s="34">
        <f t="shared" si="61"/>
        <v>2022</v>
      </c>
      <c r="D675" s="34">
        <f t="shared" si="62"/>
        <v>9</v>
      </c>
      <c r="E675" s="34" t="str">
        <f t="shared" si="63"/>
        <v>September</v>
      </c>
      <c r="F675" s="44">
        <v>44818</v>
      </c>
      <c r="G675" t="s">
        <v>306</v>
      </c>
      <c r="H675" t="s">
        <v>307</v>
      </c>
      <c r="I675" t="s">
        <v>55</v>
      </c>
      <c r="J675" t="s">
        <v>43</v>
      </c>
      <c r="K675" t="s">
        <v>116</v>
      </c>
      <c r="L675" t="s">
        <v>117</v>
      </c>
      <c r="M675" t="s">
        <v>33</v>
      </c>
      <c r="N675" t="s">
        <v>228</v>
      </c>
      <c r="O675" t="s">
        <v>67</v>
      </c>
      <c r="P675" t="s">
        <v>103</v>
      </c>
      <c r="Q675" t="s">
        <v>229</v>
      </c>
      <c r="R675">
        <v>506.6</v>
      </c>
      <c r="S675">
        <v>4</v>
      </c>
      <c r="T675">
        <v>0.15</v>
      </c>
      <c r="U675" s="34" t="str">
        <f t="shared" si="64"/>
        <v>Medium</v>
      </c>
      <c r="V675">
        <v>46.97</v>
      </c>
      <c r="W675" s="29">
        <f t="shared" si="65"/>
        <v>0.0927161468614291</v>
      </c>
      <c r="X675">
        <v>46.07</v>
      </c>
      <c r="Y675" t="s">
        <v>70</v>
      </c>
      <c r="Z675" s="34" t="str">
        <f t="shared" si="66"/>
        <v>Medium</v>
      </c>
    </row>
    <row r="676" spans="1:26">
      <c r="A676" t="s">
        <v>1522</v>
      </c>
      <c r="B676" s="44">
        <v>45225</v>
      </c>
      <c r="C676" s="34">
        <f t="shared" si="61"/>
        <v>2023</v>
      </c>
      <c r="D676" s="34">
        <f t="shared" si="62"/>
        <v>10</v>
      </c>
      <c r="E676" s="34" t="str">
        <f t="shared" si="63"/>
        <v>October</v>
      </c>
      <c r="F676" s="44">
        <v>45227</v>
      </c>
      <c r="G676" t="s">
        <v>1523</v>
      </c>
      <c r="H676" t="s">
        <v>1524</v>
      </c>
      <c r="I676" t="s">
        <v>42</v>
      </c>
      <c r="J676" t="s">
        <v>43</v>
      </c>
      <c r="K676" t="s">
        <v>640</v>
      </c>
      <c r="L676" t="s">
        <v>863</v>
      </c>
      <c r="M676" t="s">
        <v>76</v>
      </c>
      <c r="N676" t="s">
        <v>837</v>
      </c>
      <c r="O676" t="s">
        <v>35</v>
      </c>
      <c r="P676" t="s">
        <v>111</v>
      </c>
      <c r="Q676" t="s">
        <v>838</v>
      </c>
      <c r="R676">
        <v>510.15</v>
      </c>
      <c r="S676">
        <v>3</v>
      </c>
      <c r="T676">
        <v>0.05</v>
      </c>
      <c r="U676" s="34" t="str">
        <f t="shared" si="64"/>
        <v>Low</v>
      </c>
      <c r="V676">
        <v>92.4</v>
      </c>
      <c r="W676" s="29">
        <f t="shared" si="65"/>
        <v>0.1811231990591</v>
      </c>
      <c r="X676">
        <v>32.1</v>
      </c>
      <c r="Y676" t="s">
        <v>80</v>
      </c>
      <c r="Z676" s="34" t="str">
        <f t="shared" si="66"/>
        <v>Medium</v>
      </c>
    </row>
    <row r="677" spans="1:26">
      <c r="A677" t="s">
        <v>1525</v>
      </c>
      <c r="B677" s="44">
        <v>44533</v>
      </c>
      <c r="C677" s="34">
        <f t="shared" si="61"/>
        <v>2021</v>
      </c>
      <c r="D677" s="34">
        <f t="shared" si="62"/>
        <v>12</v>
      </c>
      <c r="E677" s="34" t="str">
        <f t="shared" si="63"/>
        <v>December</v>
      </c>
      <c r="F677" s="44">
        <v>44536</v>
      </c>
      <c r="G677" t="s">
        <v>1523</v>
      </c>
      <c r="H677" t="s">
        <v>1524</v>
      </c>
      <c r="I677" t="s">
        <v>42</v>
      </c>
      <c r="J677" t="s">
        <v>43</v>
      </c>
      <c r="K677" t="s">
        <v>640</v>
      </c>
      <c r="L677" t="s">
        <v>863</v>
      </c>
      <c r="M677" t="s">
        <v>76</v>
      </c>
      <c r="N677" t="s">
        <v>292</v>
      </c>
      <c r="O677" t="s">
        <v>35</v>
      </c>
      <c r="P677" t="s">
        <v>163</v>
      </c>
      <c r="Q677" t="s">
        <v>293</v>
      </c>
      <c r="R677">
        <v>3897</v>
      </c>
      <c r="S677">
        <v>3</v>
      </c>
      <c r="T677">
        <v>0</v>
      </c>
      <c r="U677" s="34" t="str">
        <f t="shared" si="64"/>
        <v>No Discount</v>
      </c>
      <c r="V677">
        <v>770.91</v>
      </c>
      <c r="W677" s="29">
        <f t="shared" si="65"/>
        <v>0.197821401077752</v>
      </c>
      <c r="X677">
        <v>28.3</v>
      </c>
      <c r="Y677" t="s">
        <v>80</v>
      </c>
      <c r="Z677" s="34" t="str">
        <f t="shared" si="66"/>
        <v>Large</v>
      </c>
    </row>
    <row r="678" spans="1:26">
      <c r="A678" t="s">
        <v>1526</v>
      </c>
      <c r="B678" s="44">
        <v>44922</v>
      </c>
      <c r="C678" s="34">
        <f t="shared" si="61"/>
        <v>2022</v>
      </c>
      <c r="D678" s="34">
        <f t="shared" si="62"/>
        <v>12</v>
      </c>
      <c r="E678" s="34" t="str">
        <f t="shared" si="63"/>
        <v>December</v>
      </c>
      <c r="F678" s="44">
        <v>44928</v>
      </c>
      <c r="G678" t="s">
        <v>391</v>
      </c>
      <c r="H678" t="s">
        <v>392</v>
      </c>
      <c r="I678" t="s">
        <v>42</v>
      </c>
      <c r="J678" t="s">
        <v>43</v>
      </c>
      <c r="K678" t="s">
        <v>320</v>
      </c>
      <c r="L678" t="s">
        <v>181</v>
      </c>
      <c r="M678" t="s">
        <v>46</v>
      </c>
      <c r="N678" t="s">
        <v>292</v>
      </c>
      <c r="O678" t="s">
        <v>35</v>
      </c>
      <c r="P678" t="s">
        <v>163</v>
      </c>
      <c r="Q678" t="s">
        <v>293</v>
      </c>
      <c r="R678">
        <v>4676.4</v>
      </c>
      <c r="S678">
        <v>4</v>
      </c>
      <c r="T678">
        <v>0.1</v>
      </c>
      <c r="U678" s="34" t="str">
        <f t="shared" si="64"/>
        <v>Low</v>
      </c>
      <c r="V678">
        <v>830.34</v>
      </c>
      <c r="W678" s="29">
        <f t="shared" si="65"/>
        <v>0.177559661277906</v>
      </c>
      <c r="X678">
        <v>38.03</v>
      </c>
      <c r="Y678" t="s">
        <v>137</v>
      </c>
      <c r="Z678" s="34" t="str">
        <f t="shared" si="66"/>
        <v>Large</v>
      </c>
    </row>
    <row r="679" spans="1:26">
      <c r="A679" t="s">
        <v>1527</v>
      </c>
      <c r="B679" s="44">
        <v>43984</v>
      </c>
      <c r="C679" s="34">
        <f t="shared" si="61"/>
        <v>2020</v>
      </c>
      <c r="D679" s="34">
        <f t="shared" si="62"/>
        <v>6</v>
      </c>
      <c r="E679" s="34" t="str">
        <f t="shared" si="63"/>
        <v>June</v>
      </c>
      <c r="F679" s="44">
        <v>43987</v>
      </c>
      <c r="G679" t="s">
        <v>950</v>
      </c>
      <c r="H679" t="s">
        <v>951</v>
      </c>
      <c r="I679" t="s">
        <v>55</v>
      </c>
      <c r="J679" t="s">
        <v>43</v>
      </c>
      <c r="K679" t="s">
        <v>74</v>
      </c>
      <c r="L679" t="s">
        <v>387</v>
      </c>
      <c r="M679" t="s">
        <v>76</v>
      </c>
      <c r="N679" t="s">
        <v>135</v>
      </c>
      <c r="O679" t="s">
        <v>67</v>
      </c>
      <c r="P679" t="s">
        <v>68</v>
      </c>
      <c r="Q679" t="s">
        <v>136</v>
      </c>
      <c r="R679">
        <v>1557.6</v>
      </c>
      <c r="S679">
        <v>3</v>
      </c>
      <c r="T679">
        <v>0.2</v>
      </c>
      <c r="U679" s="34" t="str">
        <f t="shared" si="64"/>
        <v>Medium</v>
      </c>
      <c r="V679">
        <v>306.38</v>
      </c>
      <c r="W679" s="29">
        <f t="shared" si="65"/>
        <v>0.196700051361068</v>
      </c>
      <c r="X679">
        <v>17.15</v>
      </c>
      <c r="Y679" t="s">
        <v>51</v>
      </c>
      <c r="Z679" s="34" t="str">
        <f t="shared" si="66"/>
        <v>Medium</v>
      </c>
    </row>
    <row r="680" spans="1:26">
      <c r="A680" t="s">
        <v>1528</v>
      </c>
      <c r="B680" s="44">
        <v>44780</v>
      </c>
      <c r="C680" s="34">
        <f t="shared" si="61"/>
        <v>2022</v>
      </c>
      <c r="D680" s="34">
        <f t="shared" si="62"/>
        <v>8</v>
      </c>
      <c r="E680" s="34" t="str">
        <f t="shared" si="63"/>
        <v>August</v>
      </c>
      <c r="F680" s="44">
        <v>44784</v>
      </c>
      <c r="G680" t="s">
        <v>558</v>
      </c>
      <c r="H680" t="s">
        <v>559</v>
      </c>
      <c r="I680" t="s">
        <v>42</v>
      </c>
      <c r="J680" t="s">
        <v>43</v>
      </c>
      <c r="K680" t="s">
        <v>233</v>
      </c>
      <c r="L680" t="s">
        <v>234</v>
      </c>
      <c r="M680" t="s">
        <v>46</v>
      </c>
      <c r="N680" t="s">
        <v>292</v>
      </c>
      <c r="O680" t="s">
        <v>35</v>
      </c>
      <c r="P680" t="s">
        <v>163</v>
      </c>
      <c r="Q680" t="s">
        <v>293</v>
      </c>
      <c r="R680">
        <v>4546.5</v>
      </c>
      <c r="S680">
        <v>5</v>
      </c>
      <c r="T680">
        <v>0.3</v>
      </c>
      <c r="U680" s="34" t="str">
        <f t="shared" si="64"/>
        <v>High</v>
      </c>
      <c r="V680">
        <v>-368.73</v>
      </c>
      <c r="W680" s="29">
        <f t="shared" si="65"/>
        <v>-0.081101946552293</v>
      </c>
      <c r="X680">
        <v>16.7</v>
      </c>
      <c r="Y680" t="s">
        <v>62</v>
      </c>
      <c r="Z680" s="34" t="str">
        <f t="shared" si="66"/>
        <v>Large</v>
      </c>
    </row>
    <row r="681" spans="1:26">
      <c r="A681" t="s">
        <v>1529</v>
      </c>
      <c r="B681" s="44">
        <v>43993</v>
      </c>
      <c r="C681" s="34">
        <f t="shared" si="61"/>
        <v>2020</v>
      </c>
      <c r="D681" s="34">
        <f t="shared" si="62"/>
        <v>6</v>
      </c>
      <c r="E681" s="34" t="str">
        <f t="shared" si="63"/>
        <v>June</v>
      </c>
      <c r="F681" s="44">
        <v>43999</v>
      </c>
      <c r="G681" t="s">
        <v>151</v>
      </c>
      <c r="H681" t="s">
        <v>152</v>
      </c>
      <c r="I681" t="s">
        <v>29</v>
      </c>
      <c r="J681" t="s">
        <v>43</v>
      </c>
      <c r="K681" t="s">
        <v>153</v>
      </c>
      <c r="L681" t="s">
        <v>154</v>
      </c>
      <c r="M681" t="s">
        <v>58</v>
      </c>
      <c r="N681" t="s">
        <v>333</v>
      </c>
      <c r="O681" t="s">
        <v>48</v>
      </c>
      <c r="P681" t="s">
        <v>190</v>
      </c>
      <c r="Q681" t="s">
        <v>334</v>
      </c>
      <c r="R681">
        <v>756</v>
      </c>
      <c r="S681">
        <v>4</v>
      </c>
      <c r="T681">
        <v>0</v>
      </c>
      <c r="U681" s="34" t="str">
        <f t="shared" si="64"/>
        <v>No Discount</v>
      </c>
      <c r="V681">
        <v>67.32</v>
      </c>
      <c r="W681" s="29">
        <f t="shared" si="65"/>
        <v>0.089047619047619</v>
      </c>
      <c r="X681">
        <v>27.6</v>
      </c>
      <c r="Y681" t="s">
        <v>70</v>
      </c>
      <c r="Z681" s="34" t="str">
        <f t="shared" si="66"/>
        <v>Medium</v>
      </c>
    </row>
    <row r="682" spans="1:26">
      <c r="A682" t="s">
        <v>1530</v>
      </c>
      <c r="B682" s="44">
        <v>43999</v>
      </c>
      <c r="C682" s="34">
        <f t="shared" si="61"/>
        <v>2020</v>
      </c>
      <c r="D682" s="34">
        <f t="shared" si="62"/>
        <v>6</v>
      </c>
      <c r="E682" s="34" t="str">
        <f t="shared" si="63"/>
        <v>June</v>
      </c>
      <c r="F682" s="44">
        <v>44002</v>
      </c>
      <c r="G682" t="s">
        <v>354</v>
      </c>
      <c r="H682" t="s">
        <v>355</v>
      </c>
      <c r="I682" t="s">
        <v>29</v>
      </c>
      <c r="J682" t="s">
        <v>43</v>
      </c>
      <c r="K682" t="s">
        <v>213</v>
      </c>
      <c r="L682" t="s">
        <v>356</v>
      </c>
      <c r="M682" t="s">
        <v>33</v>
      </c>
      <c r="N682" t="s">
        <v>86</v>
      </c>
      <c r="O682" t="s">
        <v>67</v>
      </c>
      <c r="P682" t="s">
        <v>87</v>
      </c>
      <c r="Q682" t="s">
        <v>88</v>
      </c>
      <c r="R682">
        <v>98</v>
      </c>
      <c r="S682">
        <v>2</v>
      </c>
      <c r="T682">
        <v>0</v>
      </c>
      <c r="U682" s="34" t="str">
        <f t="shared" si="64"/>
        <v>No Discount</v>
      </c>
      <c r="V682">
        <v>17.65</v>
      </c>
      <c r="W682" s="29">
        <f t="shared" si="65"/>
        <v>0.180102040816327</v>
      </c>
      <c r="X682">
        <v>22.84</v>
      </c>
      <c r="Y682" t="s">
        <v>121</v>
      </c>
      <c r="Z682" s="34" t="str">
        <f t="shared" si="66"/>
        <v>Small</v>
      </c>
    </row>
    <row r="683" spans="1:26">
      <c r="A683" t="s">
        <v>1531</v>
      </c>
      <c r="B683" s="44">
        <v>45500</v>
      </c>
      <c r="C683" s="34">
        <f t="shared" si="61"/>
        <v>2024</v>
      </c>
      <c r="D683" s="34">
        <f t="shared" si="62"/>
        <v>7</v>
      </c>
      <c r="E683" s="34" t="str">
        <f t="shared" si="63"/>
        <v>July</v>
      </c>
      <c r="F683" s="44">
        <v>45503</v>
      </c>
      <c r="G683" t="s">
        <v>360</v>
      </c>
      <c r="H683" t="s">
        <v>361</v>
      </c>
      <c r="I683" t="s">
        <v>42</v>
      </c>
      <c r="J683" t="s">
        <v>30</v>
      </c>
      <c r="K683" t="s">
        <v>168</v>
      </c>
      <c r="L683" t="s">
        <v>362</v>
      </c>
      <c r="M683" t="s">
        <v>76</v>
      </c>
      <c r="N683" t="s">
        <v>415</v>
      </c>
      <c r="O683" t="s">
        <v>67</v>
      </c>
      <c r="P683" t="s">
        <v>252</v>
      </c>
      <c r="Q683" t="s">
        <v>416</v>
      </c>
      <c r="R683">
        <v>957.6</v>
      </c>
      <c r="S683">
        <v>3</v>
      </c>
      <c r="T683">
        <v>0.2</v>
      </c>
      <c r="U683" s="34" t="str">
        <f t="shared" si="64"/>
        <v>Medium</v>
      </c>
      <c r="V683">
        <v>-79.18</v>
      </c>
      <c r="W683" s="29">
        <f t="shared" si="65"/>
        <v>-0.0826858813700919</v>
      </c>
      <c r="X683">
        <v>8.56</v>
      </c>
      <c r="Y683" t="s">
        <v>62</v>
      </c>
      <c r="Z683" s="34" t="str">
        <f t="shared" si="66"/>
        <v>Medium</v>
      </c>
    </row>
    <row r="684" spans="1:26">
      <c r="A684" t="s">
        <v>1532</v>
      </c>
      <c r="B684" s="44">
        <v>45394</v>
      </c>
      <c r="C684" s="34">
        <f t="shared" si="61"/>
        <v>2024</v>
      </c>
      <c r="D684" s="34">
        <f t="shared" si="62"/>
        <v>4</v>
      </c>
      <c r="E684" s="34" t="str">
        <f t="shared" si="63"/>
        <v>April</v>
      </c>
      <c r="F684" s="44">
        <v>45401</v>
      </c>
      <c r="G684" t="s">
        <v>619</v>
      </c>
      <c r="H684" t="s">
        <v>620</v>
      </c>
      <c r="I684" t="s">
        <v>55</v>
      </c>
      <c r="J684" t="s">
        <v>43</v>
      </c>
      <c r="K684" t="s">
        <v>168</v>
      </c>
      <c r="L684" t="s">
        <v>621</v>
      </c>
      <c r="M684" t="s">
        <v>76</v>
      </c>
      <c r="N684" t="s">
        <v>127</v>
      </c>
      <c r="O684" t="s">
        <v>48</v>
      </c>
      <c r="P684" t="s">
        <v>128</v>
      </c>
      <c r="Q684" t="s">
        <v>129</v>
      </c>
      <c r="R684">
        <v>195</v>
      </c>
      <c r="S684">
        <v>4</v>
      </c>
      <c r="T684">
        <v>0.25</v>
      </c>
      <c r="U684" s="34" t="str">
        <f t="shared" si="64"/>
        <v>High</v>
      </c>
      <c r="V684">
        <v>-17.47</v>
      </c>
      <c r="W684" s="29">
        <f t="shared" si="65"/>
        <v>-0.0895897435897436</v>
      </c>
      <c r="X684">
        <v>25.74</v>
      </c>
      <c r="Y684" t="s">
        <v>51</v>
      </c>
      <c r="Z684" s="34" t="str">
        <f t="shared" si="66"/>
        <v>Small</v>
      </c>
    </row>
    <row r="685" spans="1:26">
      <c r="A685" t="s">
        <v>1533</v>
      </c>
      <c r="B685" s="44">
        <v>44897</v>
      </c>
      <c r="C685" s="34">
        <f t="shared" si="61"/>
        <v>2022</v>
      </c>
      <c r="D685" s="34">
        <f t="shared" si="62"/>
        <v>12</v>
      </c>
      <c r="E685" s="34" t="str">
        <f t="shared" si="63"/>
        <v>December</v>
      </c>
      <c r="F685" s="44">
        <v>44904</v>
      </c>
      <c r="G685" t="s">
        <v>1127</v>
      </c>
      <c r="H685" t="s">
        <v>1128</v>
      </c>
      <c r="I685" t="s">
        <v>42</v>
      </c>
      <c r="J685" t="s">
        <v>43</v>
      </c>
      <c r="K685" t="s">
        <v>199</v>
      </c>
      <c r="L685" t="s">
        <v>200</v>
      </c>
      <c r="M685" t="s">
        <v>46</v>
      </c>
      <c r="N685" t="s">
        <v>344</v>
      </c>
      <c r="O685" t="s">
        <v>35</v>
      </c>
      <c r="P685" t="s">
        <v>163</v>
      </c>
      <c r="Q685" t="s">
        <v>345</v>
      </c>
      <c r="R685">
        <v>2876.4</v>
      </c>
      <c r="S685">
        <v>4</v>
      </c>
      <c r="T685">
        <v>0.1</v>
      </c>
      <c r="U685" s="34" t="str">
        <f t="shared" si="64"/>
        <v>Low</v>
      </c>
      <c r="V685">
        <v>621.18</v>
      </c>
      <c r="W685" s="29">
        <f t="shared" si="65"/>
        <v>0.215957446808511</v>
      </c>
      <c r="X685">
        <v>38.77</v>
      </c>
      <c r="Y685" t="s">
        <v>70</v>
      </c>
      <c r="Z685" s="34" t="str">
        <f t="shared" si="66"/>
        <v>Large</v>
      </c>
    </row>
    <row r="686" spans="1:26">
      <c r="A686" t="s">
        <v>1534</v>
      </c>
      <c r="B686" s="44">
        <v>44477</v>
      </c>
      <c r="C686" s="34">
        <f t="shared" si="61"/>
        <v>2021</v>
      </c>
      <c r="D686" s="34">
        <f t="shared" si="62"/>
        <v>10</v>
      </c>
      <c r="E686" s="34" t="str">
        <f t="shared" si="63"/>
        <v>October</v>
      </c>
      <c r="F686" s="44">
        <v>44483</v>
      </c>
      <c r="G686" t="s">
        <v>185</v>
      </c>
      <c r="H686" t="s">
        <v>186</v>
      </c>
      <c r="I686" t="s">
        <v>42</v>
      </c>
      <c r="J686" t="s">
        <v>43</v>
      </c>
      <c r="K686" t="s">
        <v>187</v>
      </c>
      <c r="L686" t="s">
        <v>188</v>
      </c>
      <c r="M686" t="s">
        <v>33</v>
      </c>
      <c r="N686" t="s">
        <v>698</v>
      </c>
      <c r="O686" t="s">
        <v>35</v>
      </c>
      <c r="P686" t="s">
        <v>36</v>
      </c>
      <c r="Q686" t="s">
        <v>699</v>
      </c>
      <c r="R686">
        <v>2380</v>
      </c>
      <c r="S686">
        <v>4</v>
      </c>
      <c r="T686">
        <v>0</v>
      </c>
      <c r="U686" s="34" t="str">
        <f t="shared" si="64"/>
        <v>No Discount</v>
      </c>
      <c r="V686">
        <v>229</v>
      </c>
      <c r="W686" s="29">
        <f t="shared" si="65"/>
        <v>0.096218487394958</v>
      </c>
      <c r="X686">
        <v>30.01</v>
      </c>
      <c r="Y686" t="s">
        <v>80</v>
      </c>
      <c r="Z686" s="34" t="str">
        <f t="shared" si="66"/>
        <v>Large</v>
      </c>
    </row>
    <row r="687" spans="1:26">
      <c r="A687" t="s">
        <v>1535</v>
      </c>
      <c r="B687" s="44">
        <v>45219</v>
      </c>
      <c r="C687" s="34">
        <f t="shared" si="61"/>
        <v>2023</v>
      </c>
      <c r="D687" s="34">
        <f t="shared" si="62"/>
        <v>10</v>
      </c>
      <c r="E687" s="34" t="str">
        <f t="shared" si="63"/>
        <v>October</v>
      </c>
      <c r="F687" s="44">
        <v>45226</v>
      </c>
      <c r="G687" t="s">
        <v>347</v>
      </c>
      <c r="H687" t="s">
        <v>348</v>
      </c>
      <c r="I687" t="s">
        <v>55</v>
      </c>
      <c r="J687" t="s">
        <v>43</v>
      </c>
      <c r="K687" t="s">
        <v>349</v>
      </c>
      <c r="L687" t="s">
        <v>350</v>
      </c>
      <c r="M687" t="s">
        <v>33</v>
      </c>
      <c r="N687" t="s">
        <v>421</v>
      </c>
      <c r="O687" t="s">
        <v>67</v>
      </c>
      <c r="P687" t="s">
        <v>252</v>
      </c>
      <c r="Q687" t="s">
        <v>422</v>
      </c>
      <c r="R687">
        <v>4280</v>
      </c>
      <c r="S687">
        <v>5</v>
      </c>
      <c r="T687">
        <v>0</v>
      </c>
      <c r="U687" s="34" t="str">
        <f t="shared" si="64"/>
        <v>No Discount</v>
      </c>
      <c r="V687">
        <v>930.1</v>
      </c>
      <c r="W687" s="29">
        <f t="shared" si="65"/>
        <v>0.21731308411215</v>
      </c>
      <c r="X687">
        <v>38.35</v>
      </c>
      <c r="Y687" t="s">
        <v>137</v>
      </c>
      <c r="Z687" s="34" t="str">
        <f t="shared" si="66"/>
        <v>Large</v>
      </c>
    </row>
    <row r="688" spans="1:26">
      <c r="A688" t="s">
        <v>1536</v>
      </c>
      <c r="B688" s="44">
        <v>44479</v>
      </c>
      <c r="C688" s="34">
        <f t="shared" si="61"/>
        <v>2021</v>
      </c>
      <c r="D688" s="34">
        <f t="shared" si="62"/>
        <v>10</v>
      </c>
      <c r="E688" s="34" t="str">
        <f t="shared" si="63"/>
        <v>October</v>
      </c>
      <c r="F688" s="44">
        <v>44483</v>
      </c>
      <c r="G688" t="s">
        <v>783</v>
      </c>
      <c r="H688" t="s">
        <v>784</v>
      </c>
      <c r="I688" t="s">
        <v>42</v>
      </c>
      <c r="J688" t="s">
        <v>30</v>
      </c>
      <c r="K688" t="s">
        <v>175</v>
      </c>
      <c r="L688" t="s">
        <v>311</v>
      </c>
      <c r="M688" t="s">
        <v>46</v>
      </c>
      <c r="N688" t="s">
        <v>275</v>
      </c>
      <c r="O688" t="s">
        <v>67</v>
      </c>
      <c r="P688" t="s">
        <v>103</v>
      </c>
      <c r="Q688" t="s">
        <v>276</v>
      </c>
      <c r="R688">
        <v>2996</v>
      </c>
      <c r="S688">
        <v>5</v>
      </c>
      <c r="T688">
        <v>0.2</v>
      </c>
      <c r="U688" s="34" t="str">
        <f t="shared" si="64"/>
        <v>Medium</v>
      </c>
      <c r="V688">
        <v>533.43</v>
      </c>
      <c r="W688" s="29">
        <f t="shared" si="65"/>
        <v>0.178047396528705</v>
      </c>
      <c r="X688">
        <v>19.51</v>
      </c>
      <c r="Y688" t="s">
        <v>62</v>
      </c>
      <c r="Z688" s="34" t="str">
        <f t="shared" si="66"/>
        <v>Large</v>
      </c>
    </row>
    <row r="689" spans="1:26">
      <c r="A689" t="s">
        <v>1537</v>
      </c>
      <c r="B689" s="44">
        <v>44394</v>
      </c>
      <c r="C689" s="34">
        <f t="shared" si="61"/>
        <v>2021</v>
      </c>
      <c r="D689" s="34">
        <f t="shared" si="62"/>
        <v>7</v>
      </c>
      <c r="E689" s="34" t="str">
        <f t="shared" si="63"/>
        <v>July</v>
      </c>
      <c r="F689" s="44">
        <v>44401</v>
      </c>
      <c r="G689" t="s">
        <v>806</v>
      </c>
      <c r="H689" t="s">
        <v>807</v>
      </c>
      <c r="I689" t="s">
        <v>29</v>
      </c>
      <c r="J689" t="s">
        <v>43</v>
      </c>
      <c r="K689" t="s">
        <v>125</v>
      </c>
      <c r="L689" t="s">
        <v>808</v>
      </c>
      <c r="M689" t="s">
        <v>58</v>
      </c>
      <c r="N689" t="s">
        <v>415</v>
      </c>
      <c r="O689" t="s">
        <v>67</v>
      </c>
      <c r="P689" t="s">
        <v>252</v>
      </c>
      <c r="Q689" t="s">
        <v>416</v>
      </c>
      <c r="R689">
        <v>1197</v>
      </c>
      <c r="S689">
        <v>3</v>
      </c>
      <c r="T689">
        <v>0</v>
      </c>
      <c r="U689" s="34" t="str">
        <f t="shared" si="64"/>
        <v>No Discount</v>
      </c>
      <c r="V689">
        <v>227.89</v>
      </c>
      <c r="W689" s="29">
        <f t="shared" si="65"/>
        <v>0.190384294068505</v>
      </c>
      <c r="X689">
        <v>38.36</v>
      </c>
      <c r="Y689" t="s">
        <v>51</v>
      </c>
      <c r="Z689" s="34" t="str">
        <f t="shared" si="66"/>
        <v>Medium</v>
      </c>
    </row>
    <row r="690" spans="1:26">
      <c r="A690" t="s">
        <v>1538</v>
      </c>
      <c r="B690" s="44">
        <v>45151</v>
      </c>
      <c r="C690" s="34">
        <f t="shared" si="61"/>
        <v>2023</v>
      </c>
      <c r="D690" s="34">
        <f t="shared" si="62"/>
        <v>8</v>
      </c>
      <c r="E690" s="34" t="str">
        <f t="shared" si="63"/>
        <v>August</v>
      </c>
      <c r="F690" s="44">
        <v>45154</v>
      </c>
      <c r="G690" t="s">
        <v>605</v>
      </c>
      <c r="H690" t="s">
        <v>606</v>
      </c>
      <c r="I690" t="s">
        <v>55</v>
      </c>
      <c r="J690" t="s">
        <v>43</v>
      </c>
      <c r="K690" t="s">
        <v>92</v>
      </c>
      <c r="L690" t="s">
        <v>607</v>
      </c>
      <c r="M690" t="s">
        <v>76</v>
      </c>
      <c r="N690" t="s">
        <v>441</v>
      </c>
      <c r="O690" t="s">
        <v>67</v>
      </c>
      <c r="P690" t="s">
        <v>68</v>
      </c>
      <c r="Q690" t="s">
        <v>442</v>
      </c>
      <c r="R690">
        <v>2562.15</v>
      </c>
      <c r="S690">
        <v>3</v>
      </c>
      <c r="T690">
        <v>0.05</v>
      </c>
      <c r="U690" s="34" t="str">
        <f t="shared" si="64"/>
        <v>Low</v>
      </c>
      <c r="V690">
        <v>-135.48</v>
      </c>
      <c r="W690" s="29">
        <f t="shared" si="65"/>
        <v>-0.0528774661905041</v>
      </c>
      <c r="X690">
        <v>24.56</v>
      </c>
      <c r="Y690" t="s">
        <v>62</v>
      </c>
      <c r="Z690" s="34" t="str">
        <f t="shared" si="66"/>
        <v>Large</v>
      </c>
    </row>
    <row r="691" spans="1:26">
      <c r="A691" t="s">
        <v>1539</v>
      </c>
      <c r="B691" s="44">
        <v>45609</v>
      </c>
      <c r="C691" s="34">
        <f t="shared" si="61"/>
        <v>2024</v>
      </c>
      <c r="D691" s="34">
        <f t="shared" si="62"/>
        <v>11</v>
      </c>
      <c r="E691" s="34" t="str">
        <f t="shared" si="63"/>
        <v>November</v>
      </c>
      <c r="F691" s="44">
        <v>45612</v>
      </c>
      <c r="G691" t="s">
        <v>1360</v>
      </c>
      <c r="H691" t="s">
        <v>413</v>
      </c>
      <c r="I691" t="s">
        <v>29</v>
      </c>
      <c r="J691" t="s">
        <v>30</v>
      </c>
      <c r="K691" t="s">
        <v>472</v>
      </c>
      <c r="L691" t="s">
        <v>1361</v>
      </c>
      <c r="M691" t="s">
        <v>58</v>
      </c>
      <c r="N691" t="s">
        <v>474</v>
      </c>
      <c r="O691" t="s">
        <v>35</v>
      </c>
      <c r="P691" t="s">
        <v>78</v>
      </c>
      <c r="Q691" t="s">
        <v>475</v>
      </c>
      <c r="R691">
        <v>2398</v>
      </c>
      <c r="S691">
        <v>2</v>
      </c>
      <c r="T691">
        <v>0</v>
      </c>
      <c r="U691" s="34" t="str">
        <f t="shared" si="64"/>
        <v>No Discount</v>
      </c>
      <c r="V691">
        <v>587.88</v>
      </c>
      <c r="W691" s="29">
        <f t="shared" si="65"/>
        <v>0.245154295246038</v>
      </c>
      <c r="X691">
        <v>38.75</v>
      </c>
      <c r="Y691" t="s">
        <v>121</v>
      </c>
      <c r="Z691" s="34" t="str">
        <f t="shared" si="66"/>
        <v>Large</v>
      </c>
    </row>
    <row r="692" spans="1:26">
      <c r="A692" t="s">
        <v>1540</v>
      </c>
      <c r="B692" s="44">
        <v>45588</v>
      </c>
      <c r="C692" s="34">
        <f t="shared" si="61"/>
        <v>2024</v>
      </c>
      <c r="D692" s="34">
        <f t="shared" si="62"/>
        <v>10</v>
      </c>
      <c r="E692" s="34" t="str">
        <f t="shared" si="63"/>
        <v>October</v>
      </c>
      <c r="F692" s="44">
        <v>45593</v>
      </c>
      <c r="G692" t="s">
        <v>1541</v>
      </c>
      <c r="H692" t="s">
        <v>1542</v>
      </c>
      <c r="I692" t="s">
        <v>42</v>
      </c>
      <c r="J692" t="s">
        <v>30</v>
      </c>
      <c r="K692" t="s">
        <v>297</v>
      </c>
      <c r="L692" t="s">
        <v>298</v>
      </c>
      <c r="M692" t="s">
        <v>46</v>
      </c>
      <c r="N692" t="s">
        <v>1074</v>
      </c>
      <c r="O692" t="s">
        <v>35</v>
      </c>
      <c r="P692" t="s">
        <v>111</v>
      </c>
      <c r="Q692" t="s">
        <v>1075</v>
      </c>
      <c r="R692">
        <v>289</v>
      </c>
      <c r="S692">
        <v>1</v>
      </c>
      <c r="T692">
        <v>0</v>
      </c>
      <c r="U692" s="34" t="str">
        <f t="shared" si="64"/>
        <v>No Discount</v>
      </c>
      <c r="V692">
        <v>-37.62</v>
      </c>
      <c r="W692" s="29">
        <f t="shared" si="65"/>
        <v>-0.130173010380623</v>
      </c>
      <c r="X692">
        <v>48.32</v>
      </c>
      <c r="Y692" t="s">
        <v>80</v>
      </c>
      <c r="Z692" s="34" t="str">
        <f t="shared" si="66"/>
        <v>Small</v>
      </c>
    </row>
    <row r="693" spans="1:26">
      <c r="A693" t="s">
        <v>1543</v>
      </c>
      <c r="B693" s="44">
        <v>44043</v>
      </c>
      <c r="C693" s="34">
        <f t="shared" si="61"/>
        <v>2020</v>
      </c>
      <c r="D693" s="34">
        <f t="shared" si="62"/>
        <v>7</v>
      </c>
      <c r="E693" s="34" t="str">
        <f t="shared" si="63"/>
        <v>July</v>
      </c>
      <c r="F693" s="44">
        <v>44047</v>
      </c>
      <c r="G693" t="s">
        <v>1268</v>
      </c>
      <c r="H693" t="s">
        <v>518</v>
      </c>
      <c r="I693" t="s">
        <v>29</v>
      </c>
      <c r="J693" t="s">
        <v>43</v>
      </c>
      <c r="K693" t="s">
        <v>297</v>
      </c>
      <c r="L693" t="s">
        <v>887</v>
      </c>
      <c r="M693" t="s">
        <v>46</v>
      </c>
      <c r="N693" t="s">
        <v>118</v>
      </c>
      <c r="O693" t="s">
        <v>67</v>
      </c>
      <c r="P693" t="s">
        <v>119</v>
      </c>
      <c r="Q693" t="s">
        <v>120</v>
      </c>
      <c r="R693">
        <v>839.3</v>
      </c>
      <c r="S693">
        <v>1</v>
      </c>
      <c r="T693">
        <v>0.3</v>
      </c>
      <c r="U693" s="34" t="str">
        <f t="shared" si="64"/>
        <v>High</v>
      </c>
      <c r="V693">
        <v>118.4</v>
      </c>
      <c r="W693" s="29">
        <f t="shared" si="65"/>
        <v>0.141069939235077</v>
      </c>
      <c r="X693">
        <v>24.97</v>
      </c>
      <c r="Y693" t="s">
        <v>137</v>
      </c>
      <c r="Z693" s="34" t="str">
        <f t="shared" si="66"/>
        <v>Medium</v>
      </c>
    </row>
    <row r="694" spans="1:26">
      <c r="A694" t="s">
        <v>1544</v>
      </c>
      <c r="B694" s="44">
        <v>44079</v>
      </c>
      <c r="C694" s="34">
        <f t="shared" si="61"/>
        <v>2020</v>
      </c>
      <c r="D694" s="34">
        <f t="shared" si="62"/>
        <v>9</v>
      </c>
      <c r="E694" s="34" t="str">
        <f t="shared" si="63"/>
        <v>September</v>
      </c>
      <c r="F694" s="44">
        <v>44080</v>
      </c>
      <c r="G694" t="s">
        <v>178</v>
      </c>
      <c r="H694" t="s">
        <v>179</v>
      </c>
      <c r="I694" t="s">
        <v>29</v>
      </c>
      <c r="J694" t="s">
        <v>43</v>
      </c>
      <c r="K694" t="s">
        <v>180</v>
      </c>
      <c r="L694" t="s">
        <v>181</v>
      </c>
      <c r="M694" t="s">
        <v>46</v>
      </c>
      <c r="N694" t="s">
        <v>474</v>
      </c>
      <c r="O694" t="s">
        <v>35</v>
      </c>
      <c r="P694" t="s">
        <v>78</v>
      </c>
      <c r="Q694" t="s">
        <v>475</v>
      </c>
      <c r="R694">
        <v>1139.05</v>
      </c>
      <c r="S694">
        <v>1</v>
      </c>
      <c r="T694">
        <v>0.05</v>
      </c>
      <c r="U694" s="34" t="str">
        <f t="shared" si="64"/>
        <v>Low</v>
      </c>
      <c r="V694">
        <v>-94.39</v>
      </c>
      <c r="W694" s="29">
        <f t="shared" si="65"/>
        <v>-0.0828673016987841</v>
      </c>
      <c r="X694">
        <v>10.88</v>
      </c>
      <c r="Y694" t="s">
        <v>70</v>
      </c>
      <c r="Z694" s="34" t="str">
        <f t="shared" si="66"/>
        <v>Medium</v>
      </c>
    </row>
    <row r="695" spans="1:26">
      <c r="A695" t="s">
        <v>1545</v>
      </c>
      <c r="B695" s="44">
        <v>44481</v>
      </c>
      <c r="C695" s="34">
        <f t="shared" si="61"/>
        <v>2021</v>
      </c>
      <c r="D695" s="34">
        <f t="shared" si="62"/>
        <v>10</v>
      </c>
      <c r="E695" s="34" t="str">
        <f t="shared" si="63"/>
        <v>October</v>
      </c>
      <c r="F695" s="44">
        <v>44482</v>
      </c>
      <c r="G695" t="s">
        <v>1546</v>
      </c>
      <c r="H695" t="s">
        <v>1547</v>
      </c>
      <c r="I695" t="s">
        <v>55</v>
      </c>
      <c r="J695" t="s">
        <v>30</v>
      </c>
      <c r="K695" t="s">
        <v>175</v>
      </c>
      <c r="L695" t="s">
        <v>176</v>
      </c>
      <c r="M695" t="s">
        <v>46</v>
      </c>
      <c r="N695" t="s">
        <v>251</v>
      </c>
      <c r="O695" t="s">
        <v>67</v>
      </c>
      <c r="P695" t="s">
        <v>252</v>
      </c>
      <c r="Q695" t="s">
        <v>253</v>
      </c>
      <c r="R695">
        <v>2618</v>
      </c>
      <c r="S695">
        <v>5</v>
      </c>
      <c r="T695">
        <v>0.3</v>
      </c>
      <c r="U695" s="34" t="str">
        <f t="shared" si="64"/>
        <v>High</v>
      </c>
      <c r="V695">
        <v>456.93</v>
      </c>
      <c r="W695" s="29">
        <f t="shared" si="65"/>
        <v>0.174533995416348</v>
      </c>
      <c r="X695">
        <v>47.69</v>
      </c>
      <c r="Y695" t="s">
        <v>51</v>
      </c>
      <c r="Z695" s="34" t="str">
        <f t="shared" si="66"/>
        <v>Large</v>
      </c>
    </row>
    <row r="696" spans="1:26">
      <c r="A696" t="s">
        <v>1548</v>
      </c>
      <c r="B696" s="44">
        <v>44320</v>
      </c>
      <c r="C696" s="34">
        <f t="shared" si="61"/>
        <v>2021</v>
      </c>
      <c r="D696" s="34">
        <f t="shared" si="62"/>
        <v>5</v>
      </c>
      <c r="E696" s="34" t="str">
        <f t="shared" si="63"/>
        <v>May</v>
      </c>
      <c r="F696" s="44">
        <v>44326</v>
      </c>
      <c r="G696" t="s">
        <v>991</v>
      </c>
      <c r="H696" t="s">
        <v>992</v>
      </c>
      <c r="I696" t="s">
        <v>29</v>
      </c>
      <c r="J696" t="s">
        <v>43</v>
      </c>
      <c r="K696" t="s">
        <v>116</v>
      </c>
      <c r="L696" t="s">
        <v>117</v>
      </c>
      <c r="M696" t="s">
        <v>33</v>
      </c>
      <c r="N696" t="s">
        <v>333</v>
      </c>
      <c r="O696" t="s">
        <v>48</v>
      </c>
      <c r="P696" t="s">
        <v>190</v>
      </c>
      <c r="Q696" t="s">
        <v>334</v>
      </c>
      <c r="R696">
        <v>189</v>
      </c>
      <c r="S696">
        <v>1</v>
      </c>
      <c r="T696">
        <v>0</v>
      </c>
      <c r="U696" s="34" t="str">
        <f t="shared" si="64"/>
        <v>No Discount</v>
      </c>
      <c r="V696">
        <v>44.58</v>
      </c>
      <c r="W696" s="29">
        <f t="shared" si="65"/>
        <v>0.235873015873016</v>
      </c>
      <c r="X696">
        <v>8.91</v>
      </c>
      <c r="Y696" t="s">
        <v>38</v>
      </c>
      <c r="Z696" s="34" t="str">
        <f t="shared" si="66"/>
        <v>Small</v>
      </c>
    </row>
    <row r="697" spans="1:26">
      <c r="A697" t="s">
        <v>1549</v>
      </c>
      <c r="B697" s="44">
        <v>44318</v>
      </c>
      <c r="C697" s="34">
        <f t="shared" si="61"/>
        <v>2021</v>
      </c>
      <c r="D697" s="34">
        <f t="shared" si="62"/>
        <v>5</v>
      </c>
      <c r="E697" s="34" t="str">
        <f t="shared" si="63"/>
        <v>May</v>
      </c>
      <c r="F697" s="44">
        <v>44319</v>
      </c>
      <c r="G697" t="s">
        <v>1357</v>
      </c>
      <c r="H697" t="s">
        <v>1358</v>
      </c>
      <c r="I697" t="s">
        <v>55</v>
      </c>
      <c r="J697" t="s">
        <v>43</v>
      </c>
      <c r="K697" t="s">
        <v>262</v>
      </c>
      <c r="L697" t="s">
        <v>263</v>
      </c>
      <c r="M697" t="s">
        <v>58</v>
      </c>
      <c r="N697" t="s">
        <v>118</v>
      </c>
      <c r="O697" t="s">
        <v>67</v>
      </c>
      <c r="P697" t="s">
        <v>119</v>
      </c>
      <c r="Q697" t="s">
        <v>120</v>
      </c>
      <c r="R697">
        <v>1019.15</v>
      </c>
      <c r="S697">
        <v>1</v>
      </c>
      <c r="T697">
        <v>0.15</v>
      </c>
      <c r="U697" s="34" t="str">
        <f t="shared" si="64"/>
        <v>Medium</v>
      </c>
      <c r="V697">
        <v>92.66</v>
      </c>
      <c r="W697" s="29">
        <f t="shared" si="65"/>
        <v>0.0909189030074081</v>
      </c>
      <c r="X697">
        <v>30.85</v>
      </c>
      <c r="Y697" t="s">
        <v>96</v>
      </c>
      <c r="Z697" s="34" t="str">
        <f t="shared" si="66"/>
        <v>Medium</v>
      </c>
    </row>
    <row r="698" spans="1:26">
      <c r="A698" t="s">
        <v>1550</v>
      </c>
      <c r="B698" s="44">
        <v>45228</v>
      </c>
      <c r="C698" s="34">
        <f t="shared" si="61"/>
        <v>2023</v>
      </c>
      <c r="D698" s="34">
        <f t="shared" si="62"/>
        <v>10</v>
      </c>
      <c r="E698" s="34" t="str">
        <f t="shared" si="63"/>
        <v>October</v>
      </c>
      <c r="F698" s="44">
        <v>45232</v>
      </c>
      <c r="G698" t="s">
        <v>318</v>
      </c>
      <c r="H698" t="s">
        <v>319</v>
      </c>
      <c r="I698" t="s">
        <v>42</v>
      </c>
      <c r="J698" t="s">
        <v>30</v>
      </c>
      <c r="K698" t="s">
        <v>320</v>
      </c>
      <c r="L698" t="s">
        <v>181</v>
      </c>
      <c r="M698" t="s">
        <v>46</v>
      </c>
      <c r="N698" t="s">
        <v>367</v>
      </c>
      <c r="O698" t="s">
        <v>35</v>
      </c>
      <c r="P698" t="s">
        <v>202</v>
      </c>
      <c r="Q698" t="s">
        <v>368</v>
      </c>
      <c r="R698">
        <v>599</v>
      </c>
      <c r="S698">
        <v>1</v>
      </c>
      <c r="T698">
        <v>0</v>
      </c>
      <c r="U698" s="34" t="str">
        <f t="shared" si="64"/>
        <v>No Discount</v>
      </c>
      <c r="V698">
        <v>117.42</v>
      </c>
      <c r="W698" s="29">
        <f t="shared" si="65"/>
        <v>0.196026711185309</v>
      </c>
      <c r="X698">
        <v>47.88</v>
      </c>
      <c r="Y698" t="s">
        <v>121</v>
      </c>
      <c r="Z698" s="34" t="str">
        <f t="shared" si="66"/>
        <v>Medium</v>
      </c>
    </row>
    <row r="699" spans="1:26">
      <c r="A699" t="s">
        <v>1551</v>
      </c>
      <c r="B699" s="44">
        <v>45260</v>
      </c>
      <c r="C699" s="34">
        <f t="shared" si="61"/>
        <v>2023</v>
      </c>
      <c r="D699" s="34">
        <f t="shared" si="62"/>
        <v>11</v>
      </c>
      <c r="E699" s="34" t="str">
        <f t="shared" si="63"/>
        <v>November</v>
      </c>
      <c r="F699" s="44">
        <v>45262</v>
      </c>
      <c r="G699" t="s">
        <v>1317</v>
      </c>
      <c r="H699" t="s">
        <v>1318</v>
      </c>
      <c r="I699" t="s">
        <v>55</v>
      </c>
      <c r="J699" t="s">
        <v>43</v>
      </c>
      <c r="K699" t="s">
        <v>302</v>
      </c>
      <c r="L699" t="s">
        <v>1232</v>
      </c>
      <c r="M699" t="s">
        <v>76</v>
      </c>
      <c r="N699" t="s">
        <v>264</v>
      </c>
      <c r="O699" t="s">
        <v>67</v>
      </c>
      <c r="P699" t="s">
        <v>87</v>
      </c>
      <c r="Q699" t="s">
        <v>265</v>
      </c>
      <c r="R699">
        <v>558</v>
      </c>
      <c r="S699">
        <v>2</v>
      </c>
      <c r="T699">
        <v>0</v>
      </c>
      <c r="U699" s="34" t="str">
        <f t="shared" si="64"/>
        <v>No Discount</v>
      </c>
      <c r="V699">
        <v>-55.23</v>
      </c>
      <c r="W699" s="29">
        <f t="shared" si="65"/>
        <v>-0.0989784946236559</v>
      </c>
      <c r="X699">
        <v>35.31</v>
      </c>
      <c r="Y699" t="s">
        <v>62</v>
      </c>
      <c r="Z699" s="34" t="str">
        <f t="shared" si="66"/>
        <v>Medium</v>
      </c>
    </row>
    <row r="700" spans="1:26">
      <c r="A700" t="s">
        <v>1552</v>
      </c>
      <c r="B700" s="44">
        <v>45229</v>
      </c>
      <c r="C700" s="34">
        <f t="shared" si="61"/>
        <v>2023</v>
      </c>
      <c r="D700" s="34">
        <f t="shared" si="62"/>
        <v>10</v>
      </c>
      <c r="E700" s="34" t="str">
        <f t="shared" si="63"/>
        <v>October</v>
      </c>
      <c r="F700" s="44">
        <v>45230</v>
      </c>
      <c r="G700" t="s">
        <v>1301</v>
      </c>
      <c r="H700" t="s">
        <v>1302</v>
      </c>
      <c r="I700" t="s">
        <v>42</v>
      </c>
      <c r="J700" t="s">
        <v>43</v>
      </c>
      <c r="K700" t="s">
        <v>240</v>
      </c>
      <c r="L700" t="s">
        <v>635</v>
      </c>
      <c r="M700" t="s">
        <v>46</v>
      </c>
      <c r="N700" t="s">
        <v>698</v>
      </c>
      <c r="O700" t="s">
        <v>35</v>
      </c>
      <c r="P700" t="s">
        <v>36</v>
      </c>
      <c r="Q700" t="s">
        <v>699</v>
      </c>
      <c r="R700">
        <v>1190</v>
      </c>
      <c r="S700">
        <v>2</v>
      </c>
      <c r="T700">
        <v>0</v>
      </c>
      <c r="U700" s="34" t="str">
        <f t="shared" si="64"/>
        <v>No Discount</v>
      </c>
      <c r="V700">
        <v>202.78</v>
      </c>
      <c r="W700" s="29">
        <f t="shared" si="65"/>
        <v>0.170403361344538</v>
      </c>
      <c r="X700">
        <v>38.08</v>
      </c>
      <c r="Y700" t="s">
        <v>38</v>
      </c>
      <c r="Z700" s="34" t="str">
        <f t="shared" si="66"/>
        <v>Medium</v>
      </c>
    </row>
    <row r="701" spans="1:26">
      <c r="A701" t="s">
        <v>1553</v>
      </c>
      <c r="B701" s="44">
        <v>44546</v>
      </c>
      <c r="C701" s="34">
        <f t="shared" si="61"/>
        <v>2021</v>
      </c>
      <c r="D701" s="34">
        <f t="shared" si="62"/>
        <v>12</v>
      </c>
      <c r="E701" s="34" t="str">
        <f t="shared" si="63"/>
        <v>December</v>
      </c>
      <c r="F701" s="44">
        <v>44548</v>
      </c>
      <c r="G701" t="s">
        <v>306</v>
      </c>
      <c r="H701" t="s">
        <v>307</v>
      </c>
      <c r="I701" t="s">
        <v>55</v>
      </c>
      <c r="J701" t="s">
        <v>43</v>
      </c>
      <c r="K701" t="s">
        <v>116</v>
      </c>
      <c r="L701" t="s">
        <v>117</v>
      </c>
      <c r="M701" t="s">
        <v>33</v>
      </c>
      <c r="N701" t="s">
        <v>409</v>
      </c>
      <c r="O701" t="s">
        <v>48</v>
      </c>
      <c r="P701" t="s">
        <v>60</v>
      </c>
      <c r="Q701" t="s">
        <v>410</v>
      </c>
      <c r="R701">
        <v>66.3</v>
      </c>
      <c r="S701">
        <v>2</v>
      </c>
      <c r="T701">
        <v>0.15</v>
      </c>
      <c r="U701" s="34" t="str">
        <f t="shared" si="64"/>
        <v>Medium</v>
      </c>
      <c r="V701">
        <v>10.61</v>
      </c>
      <c r="W701" s="29">
        <f t="shared" si="65"/>
        <v>0.160030165912519</v>
      </c>
      <c r="X701">
        <v>19.9</v>
      </c>
      <c r="Y701" t="s">
        <v>121</v>
      </c>
      <c r="Z701" s="34" t="str">
        <f t="shared" si="66"/>
        <v>Small</v>
      </c>
    </row>
    <row r="702" spans="1:26">
      <c r="A702" t="s">
        <v>1554</v>
      </c>
      <c r="B702" s="44">
        <v>45067</v>
      </c>
      <c r="C702" s="34">
        <f t="shared" si="61"/>
        <v>2023</v>
      </c>
      <c r="D702" s="34">
        <f t="shared" si="62"/>
        <v>5</v>
      </c>
      <c r="E702" s="34" t="str">
        <f t="shared" si="63"/>
        <v>May</v>
      </c>
      <c r="F702" s="44">
        <v>45069</v>
      </c>
      <c r="G702" t="s">
        <v>1199</v>
      </c>
      <c r="H702" t="s">
        <v>1200</v>
      </c>
      <c r="I702" t="s">
        <v>55</v>
      </c>
      <c r="J702" t="s">
        <v>43</v>
      </c>
      <c r="K702" t="s">
        <v>233</v>
      </c>
      <c r="L702" t="s">
        <v>234</v>
      </c>
      <c r="M702" t="s">
        <v>46</v>
      </c>
      <c r="N702" t="s">
        <v>546</v>
      </c>
      <c r="O702" t="s">
        <v>35</v>
      </c>
      <c r="P702" t="s">
        <v>36</v>
      </c>
      <c r="Q702" t="s">
        <v>547</v>
      </c>
      <c r="R702">
        <v>1885.5</v>
      </c>
      <c r="S702">
        <v>1</v>
      </c>
      <c r="T702">
        <v>0.1</v>
      </c>
      <c r="U702" s="34" t="str">
        <f t="shared" si="64"/>
        <v>Low</v>
      </c>
      <c r="V702">
        <v>336.21</v>
      </c>
      <c r="W702" s="29">
        <f t="shared" si="65"/>
        <v>0.178313444709626</v>
      </c>
      <c r="X702">
        <v>10.61</v>
      </c>
      <c r="Y702" t="s">
        <v>38</v>
      </c>
      <c r="Z702" s="34" t="str">
        <f t="shared" si="66"/>
        <v>Medium</v>
      </c>
    </row>
    <row r="703" spans="1:26">
      <c r="A703" t="s">
        <v>1555</v>
      </c>
      <c r="B703" s="44">
        <v>43923</v>
      </c>
      <c r="C703" s="34">
        <f t="shared" si="61"/>
        <v>2020</v>
      </c>
      <c r="D703" s="34">
        <f t="shared" si="62"/>
        <v>4</v>
      </c>
      <c r="E703" s="34" t="str">
        <f t="shared" si="63"/>
        <v>April</v>
      </c>
      <c r="F703" s="44">
        <v>43924</v>
      </c>
      <c r="G703" t="s">
        <v>597</v>
      </c>
      <c r="H703" t="s">
        <v>598</v>
      </c>
      <c r="I703" t="s">
        <v>29</v>
      </c>
      <c r="J703" t="s">
        <v>30</v>
      </c>
      <c r="K703" t="s">
        <v>199</v>
      </c>
      <c r="L703" t="s">
        <v>396</v>
      </c>
      <c r="M703" t="s">
        <v>46</v>
      </c>
      <c r="N703" t="s">
        <v>141</v>
      </c>
      <c r="O703" t="s">
        <v>35</v>
      </c>
      <c r="P703" t="s">
        <v>111</v>
      </c>
      <c r="Q703" t="s">
        <v>142</v>
      </c>
      <c r="R703">
        <v>253.3</v>
      </c>
      <c r="S703">
        <v>2</v>
      </c>
      <c r="T703">
        <v>0.15</v>
      </c>
      <c r="U703" s="34" t="str">
        <f t="shared" si="64"/>
        <v>Medium</v>
      </c>
      <c r="V703">
        <v>18.04</v>
      </c>
      <c r="W703" s="29">
        <f t="shared" si="65"/>
        <v>0.0712198973549151</v>
      </c>
      <c r="X703">
        <v>41.18</v>
      </c>
      <c r="Y703" t="s">
        <v>62</v>
      </c>
      <c r="Z703" s="34" t="str">
        <f t="shared" si="66"/>
        <v>Small</v>
      </c>
    </row>
    <row r="704" spans="1:26">
      <c r="A704" t="s">
        <v>1556</v>
      </c>
      <c r="B704" s="44">
        <v>45630</v>
      </c>
      <c r="C704" s="34">
        <f t="shared" si="61"/>
        <v>2024</v>
      </c>
      <c r="D704" s="34">
        <f t="shared" si="62"/>
        <v>12</v>
      </c>
      <c r="E704" s="34" t="str">
        <f t="shared" si="63"/>
        <v>December</v>
      </c>
      <c r="F704" s="44">
        <v>45636</v>
      </c>
      <c r="G704" t="s">
        <v>1166</v>
      </c>
      <c r="H704" t="s">
        <v>1167</v>
      </c>
      <c r="I704" t="s">
        <v>29</v>
      </c>
      <c r="J704" t="s">
        <v>43</v>
      </c>
      <c r="K704" t="s">
        <v>284</v>
      </c>
      <c r="L704" t="s">
        <v>414</v>
      </c>
      <c r="M704" t="s">
        <v>76</v>
      </c>
      <c r="N704" t="s">
        <v>1074</v>
      </c>
      <c r="O704" t="s">
        <v>35</v>
      </c>
      <c r="P704" t="s">
        <v>111</v>
      </c>
      <c r="Q704" t="s">
        <v>1075</v>
      </c>
      <c r="R704">
        <v>245.65</v>
      </c>
      <c r="S704">
        <v>1</v>
      </c>
      <c r="T704">
        <v>0.15</v>
      </c>
      <c r="U704" s="34" t="str">
        <f t="shared" si="64"/>
        <v>Medium</v>
      </c>
      <c r="V704">
        <v>36.63</v>
      </c>
      <c r="W704" s="29">
        <f t="shared" si="65"/>
        <v>0.14911459393446</v>
      </c>
      <c r="X704">
        <v>41.67</v>
      </c>
      <c r="Y704" t="s">
        <v>137</v>
      </c>
      <c r="Z704" s="34" t="str">
        <f t="shared" si="66"/>
        <v>Small</v>
      </c>
    </row>
    <row r="705" spans="1:26">
      <c r="A705" t="s">
        <v>1557</v>
      </c>
      <c r="B705" s="44">
        <v>43954</v>
      </c>
      <c r="C705" s="34">
        <f t="shared" si="61"/>
        <v>2020</v>
      </c>
      <c r="D705" s="34">
        <f t="shared" si="62"/>
        <v>5</v>
      </c>
      <c r="E705" s="34" t="str">
        <f t="shared" si="63"/>
        <v>May</v>
      </c>
      <c r="F705" s="44">
        <v>43955</v>
      </c>
      <c r="G705" t="s">
        <v>53</v>
      </c>
      <c r="H705" t="s">
        <v>54</v>
      </c>
      <c r="I705" t="s">
        <v>55</v>
      </c>
      <c r="J705" t="s">
        <v>43</v>
      </c>
      <c r="K705" t="s">
        <v>56</v>
      </c>
      <c r="L705" t="s">
        <v>57</v>
      </c>
      <c r="M705" t="s">
        <v>58</v>
      </c>
      <c r="N705" t="s">
        <v>868</v>
      </c>
      <c r="O705" t="s">
        <v>48</v>
      </c>
      <c r="P705" t="s">
        <v>190</v>
      </c>
      <c r="Q705" t="s">
        <v>869</v>
      </c>
      <c r="R705">
        <v>596</v>
      </c>
      <c r="S705">
        <v>4</v>
      </c>
      <c r="T705">
        <v>0</v>
      </c>
      <c r="U705" s="34" t="str">
        <f t="shared" si="64"/>
        <v>No Discount</v>
      </c>
      <c r="V705">
        <v>0</v>
      </c>
      <c r="W705" s="29">
        <f t="shared" si="65"/>
        <v>0</v>
      </c>
      <c r="X705">
        <v>17.92</v>
      </c>
      <c r="Y705" t="s">
        <v>51</v>
      </c>
      <c r="Z705" s="34" t="str">
        <f t="shared" si="66"/>
        <v>Medium</v>
      </c>
    </row>
    <row r="706" spans="1:26">
      <c r="A706" t="s">
        <v>1558</v>
      </c>
      <c r="B706" s="44">
        <v>44992</v>
      </c>
      <c r="C706" s="34">
        <f t="shared" ref="C706:C769" si="67">YEAR(B706)</f>
        <v>2023</v>
      </c>
      <c r="D706" s="34">
        <f t="shared" ref="D706:D769" si="68">MONTH(B706)</f>
        <v>3</v>
      </c>
      <c r="E706" s="34" t="str">
        <f t="shared" ref="E706:E769" si="69">TEXT(B706,"mmmm")</f>
        <v>March</v>
      </c>
      <c r="F706" s="44">
        <v>44993</v>
      </c>
      <c r="G706" t="s">
        <v>1471</v>
      </c>
      <c r="H706" t="s">
        <v>1472</v>
      </c>
      <c r="I706" t="s">
        <v>55</v>
      </c>
      <c r="J706" t="s">
        <v>30</v>
      </c>
      <c r="K706" t="s">
        <v>56</v>
      </c>
      <c r="L706" t="s">
        <v>519</v>
      </c>
      <c r="M706" t="s">
        <v>58</v>
      </c>
      <c r="N706" t="s">
        <v>430</v>
      </c>
      <c r="O706" t="s">
        <v>67</v>
      </c>
      <c r="P706" t="s">
        <v>87</v>
      </c>
      <c r="Q706" t="s">
        <v>431</v>
      </c>
      <c r="R706">
        <v>125.3</v>
      </c>
      <c r="S706">
        <v>1</v>
      </c>
      <c r="T706">
        <v>0.3</v>
      </c>
      <c r="U706" s="34" t="str">
        <f t="shared" ref="U706:U769" si="70">IF(T706=0,"No Discount",IF(T706&lt;=0.1,"Low",IF(T706&lt;=0.2,"Medium","High")))</f>
        <v>High</v>
      </c>
      <c r="V706">
        <v>5.16</v>
      </c>
      <c r="W706" s="29">
        <f t="shared" ref="W706:W769" si="71">V706/R706</f>
        <v>0.0411811652035116</v>
      </c>
      <c r="X706">
        <v>24.58</v>
      </c>
      <c r="Y706" t="s">
        <v>62</v>
      </c>
      <c r="Z706" s="34" t="str">
        <f t="shared" ref="Z706:Z769" si="72">IF(R706&lt;500,"Small",IF(R706&lt;=2000,"Medium","Large"))</f>
        <v>Small</v>
      </c>
    </row>
    <row r="707" spans="1:26">
      <c r="A707" t="s">
        <v>1559</v>
      </c>
      <c r="B707" s="44">
        <v>44865</v>
      </c>
      <c r="C707" s="34">
        <f t="shared" si="67"/>
        <v>2022</v>
      </c>
      <c r="D707" s="34">
        <f t="shared" si="68"/>
        <v>10</v>
      </c>
      <c r="E707" s="34" t="str">
        <f t="shared" si="69"/>
        <v>October</v>
      </c>
      <c r="F707" s="44">
        <v>44867</v>
      </c>
      <c r="G707" t="s">
        <v>1011</v>
      </c>
      <c r="H707" t="s">
        <v>1012</v>
      </c>
      <c r="I707" t="s">
        <v>55</v>
      </c>
      <c r="J707" t="s">
        <v>43</v>
      </c>
      <c r="K707" t="s">
        <v>257</v>
      </c>
      <c r="L707" t="s">
        <v>258</v>
      </c>
      <c r="M707" t="s">
        <v>76</v>
      </c>
      <c r="N707" t="s">
        <v>872</v>
      </c>
      <c r="O707" t="s">
        <v>35</v>
      </c>
      <c r="P707" t="s">
        <v>163</v>
      </c>
      <c r="Q707" t="s">
        <v>873</v>
      </c>
      <c r="R707">
        <v>1349.1</v>
      </c>
      <c r="S707">
        <v>1</v>
      </c>
      <c r="T707">
        <v>0.1</v>
      </c>
      <c r="U707" s="34" t="str">
        <f t="shared" si="70"/>
        <v>Low</v>
      </c>
      <c r="V707">
        <v>-114.46</v>
      </c>
      <c r="W707" s="29">
        <f t="shared" si="71"/>
        <v>-0.0848417463494181</v>
      </c>
      <c r="X707">
        <v>21.76</v>
      </c>
      <c r="Y707" t="s">
        <v>70</v>
      </c>
      <c r="Z707" s="34" t="str">
        <f t="shared" si="72"/>
        <v>Medium</v>
      </c>
    </row>
    <row r="708" spans="1:26">
      <c r="A708" t="s">
        <v>1560</v>
      </c>
      <c r="B708" s="44">
        <v>45338</v>
      </c>
      <c r="C708" s="34">
        <f t="shared" si="67"/>
        <v>2024</v>
      </c>
      <c r="D708" s="34">
        <f t="shared" si="68"/>
        <v>2</v>
      </c>
      <c r="E708" s="34" t="str">
        <f t="shared" si="69"/>
        <v>February</v>
      </c>
      <c r="F708" s="44">
        <v>45344</v>
      </c>
      <c r="G708" t="s">
        <v>1561</v>
      </c>
      <c r="H708" t="s">
        <v>1562</v>
      </c>
      <c r="I708" t="s">
        <v>42</v>
      </c>
      <c r="J708" t="s">
        <v>43</v>
      </c>
      <c r="K708" t="s">
        <v>472</v>
      </c>
      <c r="L708" t="s">
        <v>1361</v>
      </c>
      <c r="M708" t="s">
        <v>58</v>
      </c>
      <c r="N708" t="s">
        <v>251</v>
      </c>
      <c r="O708" t="s">
        <v>67</v>
      </c>
      <c r="P708" t="s">
        <v>252</v>
      </c>
      <c r="Q708" t="s">
        <v>253</v>
      </c>
      <c r="R708">
        <v>2543.2</v>
      </c>
      <c r="S708">
        <v>4</v>
      </c>
      <c r="T708">
        <v>0.15</v>
      </c>
      <c r="U708" s="34" t="str">
        <f t="shared" si="70"/>
        <v>Medium</v>
      </c>
      <c r="V708">
        <v>252.27</v>
      </c>
      <c r="W708" s="29">
        <f t="shared" si="71"/>
        <v>0.0991939289084618</v>
      </c>
      <c r="X708">
        <v>6.82</v>
      </c>
      <c r="Y708" t="s">
        <v>121</v>
      </c>
      <c r="Z708" s="34" t="str">
        <f t="shared" si="72"/>
        <v>Large</v>
      </c>
    </row>
    <row r="709" spans="1:26">
      <c r="A709" t="s">
        <v>1563</v>
      </c>
      <c r="B709" s="44">
        <v>43886</v>
      </c>
      <c r="C709" s="34">
        <f t="shared" si="67"/>
        <v>2020</v>
      </c>
      <c r="D709" s="34">
        <f t="shared" si="68"/>
        <v>2</v>
      </c>
      <c r="E709" s="34" t="str">
        <f t="shared" si="69"/>
        <v>February</v>
      </c>
      <c r="F709" s="44">
        <v>43889</v>
      </c>
      <c r="G709" t="s">
        <v>480</v>
      </c>
      <c r="H709" t="s">
        <v>481</v>
      </c>
      <c r="I709" t="s">
        <v>29</v>
      </c>
      <c r="J709" t="s">
        <v>43</v>
      </c>
      <c r="K709" t="s">
        <v>257</v>
      </c>
      <c r="L709" t="s">
        <v>258</v>
      </c>
      <c r="M709" t="s">
        <v>76</v>
      </c>
      <c r="N709" t="s">
        <v>264</v>
      </c>
      <c r="O709" t="s">
        <v>67</v>
      </c>
      <c r="P709" t="s">
        <v>87</v>
      </c>
      <c r="Q709" t="s">
        <v>265</v>
      </c>
      <c r="R709">
        <v>1116</v>
      </c>
      <c r="S709">
        <v>4</v>
      </c>
      <c r="T709">
        <v>0</v>
      </c>
      <c r="U709" s="34" t="str">
        <f t="shared" si="70"/>
        <v>No Discount</v>
      </c>
      <c r="V709">
        <v>197.67</v>
      </c>
      <c r="W709" s="29">
        <f t="shared" si="71"/>
        <v>0.177123655913978</v>
      </c>
      <c r="X709">
        <v>10.71</v>
      </c>
      <c r="Y709" t="s">
        <v>96</v>
      </c>
      <c r="Z709" s="34" t="str">
        <f t="shared" si="72"/>
        <v>Medium</v>
      </c>
    </row>
    <row r="710" spans="1:26">
      <c r="A710" t="s">
        <v>1564</v>
      </c>
      <c r="B710" s="44">
        <v>45427</v>
      </c>
      <c r="C710" s="34">
        <f t="shared" si="67"/>
        <v>2024</v>
      </c>
      <c r="D710" s="34">
        <f t="shared" si="68"/>
        <v>5</v>
      </c>
      <c r="E710" s="34" t="str">
        <f t="shared" si="69"/>
        <v>May</v>
      </c>
      <c r="F710" s="44">
        <v>45431</v>
      </c>
      <c r="G710" t="s">
        <v>336</v>
      </c>
      <c r="H710" t="s">
        <v>337</v>
      </c>
      <c r="I710" t="s">
        <v>55</v>
      </c>
      <c r="J710" t="s">
        <v>43</v>
      </c>
      <c r="K710" t="s">
        <v>153</v>
      </c>
      <c r="L710" t="s">
        <v>338</v>
      </c>
      <c r="M710" t="s">
        <v>58</v>
      </c>
      <c r="N710" t="s">
        <v>59</v>
      </c>
      <c r="O710" t="s">
        <v>48</v>
      </c>
      <c r="P710" t="s">
        <v>60</v>
      </c>
      <c r="Q710" t="s">
        <v>61</v>
      </c>
      <c r="R710">
        <v>626.4</v>
      </c>
      <c r="S710">
        <v>4</v>
      </c>
      <c r="T710">
        <v>0.1</v>
      </c>
      <c r="U710" s="34" t="str">
        <f t="shared" si="70"/>
        <v>Low</v>
      </c>
      <c r="V710">
        <v>89.67</v>
      </c>
      <c r="W710" s="29">
        <f t="shared" si="71"/>
        <v>0.143151340996169</v>
      </c>
      <c r="X710">
        <v>14.31</v>
      </c>
      <c r="Y710" t="s">
        <v>51</v>
      </c>
      <c r="Z710" s="34" t="str">
        <f t="shared" si="72"/>
        <v>Medium</v>
      </c>
    </row>
    <row r="711" spans="1:26">
      <c r="A711" t="s">
        <v>1565</v>
      </c>
      <c r="B711" s="44">
        <v>45651</v>
      </c>
      <c r="C711" s="34">
        <f t="shared" si="67"/>
        <v>2024</v>
      </c>
      <c r="D711" s="34">
        <f t="shared" si="68"/>
        <v>12</v>
      </c>
      <c r="E711" s="34" t="str">
        <f t="shared" si="69"/>
        <v>December</v>
      </c>
      <c r="F711" s="44">
        <v>45655</v>
      </c>
      <c r="G711" t="s">
        <v>652</v>
      </c>
      <c r="H711" t="s">
        <v>653</v>
      </c>
      <c r="I711" t="s">
        <v>42</v>
      </c>
      <c r="J711" t="s">
        <v>30</v>
      </c>
      <c r="K711" t="s">
        <v>175</v>
      </c>
      <c r="L711" t="s">
        <v>311</v>
      </c>
      <c r="M711" t="s">
        <v>46</v>
      </c>
      <c r="N711" t="s">
        <v>623</v>
      </c>
      <c r="O711" t="s">
        <v>67</v>
      </c>
      <c r="P711" t="s">
        <v>87</v>
      </c>
      <c r="Q711" t="s">
        <v>624</v>
      </c>
      <c r="R711">
        <v>1245</v>
      </c>
      <c r="S711">
        <v>5</v>
      </c>
      <c r="T711">
        <v>0</v>
      </c>
      <c r="U711" s="34" t="str">
        <f t="shared" si="70"/>
        <v>No Discount</v>
      </c>
      <c r="V711">
        <v>-76.38</v>
      </c>
      <c r="W711" s="29">
        <f t="shared" si="71"/>
        <v>-0.0613493975903614</v>
      </c>
      <c r="X711">
        <v>47.1</v>
      </c>
      <c r="Y711" t="s">
        <v>96</v>
      </c>
      <c r="Z711" s="34" t="str">
        <f t="shared" si="72"/>
        <v>Medium</v>
      </c>
    </row>
    <row r="712" spans="1:26">
      <c r="A712" t="s">
        <v>1566</v>
      </c>
      <c r="B712" s="44">
        <v>44227</v>
      </c>
      <c r="C712" s="34">
        <f t="shared" si="67"/>
        <v>2021</v>
      </c>
      <c r="D712" s="34">
        <f t="shared" si="68"/>
        <v>1</v>
      </c>
      <c r="E712" s="34" t="str">
        <f t="shared" si="69"/>
        <v>January</v>
      </c>
      <c r="F712" s="44">
        <v>44232</v>
      </c>
      <c r="G712" t="s">
        <v>158</v>
      </c>
      <c r="H712" t="s">
        <v>159</v>
      </c>
      <c r="I712" t="s">
        <v>42</v>
      </c>
      <c r="J712" t="s">
        <v>30</v>
      </c>
      <c r="K712" t="s">
        <v>160</v>
      </c>
      <c r="L712" t="s">
        <v>161</v>
      </c>
      <c r="M712" t="s">
        <v>76</v>
      </c>
      <c r="N712" t="s">
        <v>170</v>
      </c>
      <c r="O712" t="s">
        <v>48</v>
      </c>
      <c r="P712" t="s">
        <v>49</v>
      </c>
      <c r="Q712" t="s">
        <v>171</v>
      </c>
      <c r="R712">
        <v>238.4</v>
      </c>
      <c r="S712">
        <v>2</v>
      </c>
      <c r="T712">
        <v>0.2</v>
      </c>
      <c r="U712" s="34" t="str">
        <f t="shared" si="70"/>
        <v>Medium</v>
      </c>
      <c r="V712">
        <v>23.86</v>
      </c>
      <c r="W712" s="29">
        <f t="shared" si="71"/>
        <v>0.10008389261745</v>
      </c>
      <c r="X712">
        <v>39.67</v>
      </c>
      <c r="Y712" t="s">
        <v>96</v>
      </c>
      <c r="Z712" s="34" t="str">
        <f t="shared" si="72"/>
        <v>Small</v>
      </c>
    </row>
    <row r="713" spans="1:26">
      <c r="A713" t="s">
        <v>1567</v>
      </c>
      <c r="B713" s="44">
        <v>43852</v>
      </c>
      <c r="C713" s="34">
        <f t="shared" si="67"/>
        <v>2020</v>
      </c>
      <c r="D713" s="34">
        <f t="shared" si="68"/>
        <v>1</v>
      </c>
      <c r="E713" s="34" t="str">
        <f t="shared" si="69"/>
        <v>January</v>
      </c>
      <c r="F713" s="44">
        <v>43854</v>
      </c>
      <c r="G713" t="s">
        <v>611</v>
      </c>
      <c r="H713" t="s">
        <v>612</v>
      </c>
      <c r="I713" t="s">
        <v>42</v>
      </c>
      <c r="J713" t="s">
        <v>30</v>
      </c>
      <c r="K713" t="s">
        <v>74</v>
      </c>
      <c r="L713" t="s">
        <v>613</v>
      </c>
      <c r="M713" t="s">
        <v>76</v>
      </c>
      <c r="N713" t="s">
        <v>102</v>
      </c>
      <c r="O713" t="s">
        <v>67</v>
      </c>
      <c r="P713" t="s">
        <v>103</v>
      </c>
      <c r="Q713" t="s">
        <v>104</v>
      </c>
      <c r="R713">
        <v>1795.5</v>
      </c>
      <c r="S713">
        <v>5</v>
      </c>
      <c r="T713">
        <v>0.1</v>
      </c>
      <c r="U713" s="34" t="str">
        <f t="shared" si="70"/>
        <v>Low</v>
      </c>
      <c r="V713">
        <v>211.33</v>
      </c>
      <c r="W713" s="29">
        <f t="shared" si="71"/>
        <v>0.117699805068226</v>
      </c>
      <c r="X713">
        <v>13.76</v>
      </c>
      <c r="Y713" t="s">
        <v>121</v>
      </c>
      <c r="Z713" s="34" t="str">
        <f t="shared" si="72"/>
        <v>Medium</v>
      </c>
    </row>
    <row r="714" spans="1:26">
      <c r="A714" t="s">
        <v>1568</v>
      </c>
      <c r="B714" s="44">
        <v>44646</v>
      </c>
      <c r="C714" s="34">
        <f t="shared" si="67"/>
        <v>2022</v>
      </c>
      <c r="D714" s="34">
        <f t="shared" si="68"/>
        <v>3</v>
      </c>
      <c r="E714" s="34" t="str">
        <f t="shared" si="69"/>
        <v>March</v>
      </c>
      <c r="F714" s="44">
        <v>44650</v>
      </c>
      <c r="G714" t="s">
        <v>945</v>
      </c>
      <c r="H714" t="s">
        <v>946</v>
      </c>
      <c r="I714" t="s">
        <v>29</v>
      </c>
      <c r="J714" t="s">
        <v>30</v>
      </c>
      <c r="K714" t="s">
        <v>84</v>
      </c>
      <c r="L714" t="s">
        <v>366</v>
      </c>
      <c r="M714" t="s">
        <v>33</v>
      </c>
      <c r="N714" t="s">
        <v>582</v>
      </c>
      <c r="O714" t="s">
        <v>35</v>
      </c>
      <c r="P714" t="s">
        <v>78</v>
      </c>
      <c r="Q714" t="s">
        <v>583</v>
      </c>
      <c r="R714">
        <v>748.5</v>
      </c>
      <c r="S714">
        <v>2</v>
      </c>
      <c r="T714">
        <v>0.25</v>
      </c>
      <c r="U714" s="34" t="str">
        <f t="shared" si="70"/>
        <v>High</v>
      </c>
      <c r="V714">
        <v>82.36</v>
      </c>
      <c r="W714" s="29">
        <f t="shared" si="71"/>
        <v>0.110033400133601</v>
      </c>
      <c r="X714">
        <v>24.86</v>
      </c>
      <c r="Y714" t="s">
        <v>38</v>
      </c>
      <c r="Z714" s="34" t="str">
        <f t="shared" si="72"/>
        <v>Medium</v>
      </c>
    </row>
    <row r="715" spans="1:26">
      <c r="A715" t="s">
        <v>1569</v>
      </c>
      <c r="B715" s="44">
        <v>45576</v>
      </c>
      <c r="C715" s="34">
        <f t="shared" si="67"/>
        <v>2024</v>
      </c>
      <c r="D715" s="34">
        <f t="shared" si="68"/>
        <v>10</v>
      </c>
      <c r="E715" s="34" t="str">
        <f t="shared" si="69"/>
        <v>October</v>
      </c>
      <c r="F715" s="44">
        <v>45580</v>
      </c>
      <c r="G715" t="s">
        <v>980</v>
      </c>
      <c r="H715" t="s">
        <v>981</v>
      </c>
      <c r="I715" t="s">
        <v>29</v>
      </c>
      <c r="J715" t="s">
        <v>43</v>
      </c>
      <c r="K715" t="s">
        <v>257</v>
      </c>
      <c r="L715" t="s">
        <v>258</v>
      </c>
      <c r="M715" t="s">
        <v>76</v>
      </c>
      <c r="N715" t="s">
        <v>47</v>
      </c>
      <c r="O715" t="s">
        <v>48</v>
      </c>
      <c r="P715" t="s">
        <v>49</v>
      </c>
      <c r="Q715" t="s">
        <v>50</v>
      </c>
      <c r="R715">
        <v>237</v>
      </c>
      <c r="S715">
        <v>3</v>
      </c>
      <c r="T715">
        <v>0</v>
      </c>
      <c r="U715" s="34" t="str">
        <f t="shared" si="70"/>
        <v>No Discount</v>
      </c>
      <c r="V715">
        <v>21.58</v>
      </c>
      <c r="W715" s="29">
        <f t="shared" si="71"/>
        <v>0.0910548523206751</v>
      </c>
      <c r="X715">
        <v>7.07</v>
      </c>
      <c r="Y715" t="s">
        <v>80</v>
      </c>
      <c r="Z715" s="34" t="str">
        <f t="shared" si="72"/>
        <v>Small</v>
      </c>
    </row>
    <row r="716" spans="1:26">
      <c r="A716" t="s">
        <v>1570</v>
      </c>
      <c r="B716" s="44">
        <v>44591</v>
      </c>
      <c r="C716" s="34">
        <f t="shared" si="67"/>
        <v>2022</v>
      </c>
      <c r="D716" s="34">
        <f t="shared" si="68"/>
        <v>1</v>
      </c>
      <c r="E716" s="34" t="str">
        <f t="shared" si="69"/>
        <v>January</v>
      </c>
      <c r="F716" s="44">
        <v>44594</v>
      </c>
      <c r="G716" t="s">
        <v>906</v>
      </c>
      <c r="H716" t="s">
        <v>907</v>
      </c>
      <c r="I716" t="s">
        <v>55</v>
      </c>
      <c r="J716" t="s">
        <v>43</v>
      </c>
      <c r="K716" t="s">
        <v>472</v>
      </c>
      <c r="L716" t="s">
        <v>473</v>
      </c>
      <c r="M716" t="s">
        <v>58</v>
      </c>
      <c r="N716" t="s">
        <v>357</v>
      </c>
      <c r="O716" t="s">
        <v>48</v>
      </c>
      <c r="P716" t="s">
        <v>49</v>
      </c>
      <c r="Q716" t="s">
        <v>358</v>
      </c>
      <c r="R716">
        <v>186.3</v>
      </c>
      <c r="S716">
        <v>3</v>
      </c>
      <c r="T716">
        <v>0.1</v>
      </c>
      <c r="U716" s="34" t="str">
        <f t="shared" si="70"/>
        <v>Low</v>
      </c>
      <c r="V716">
        <v>22.48</v>
      </c>
      <c r="W716" s="29">
        <f t="shared" si="71"/>
        <v>0.120665593129361</v>
      </c>
      <c r="X716">
        <v>18.23</v>
      </c>
      <c r="Y716" t="s">
        <v>51</v>
      </c>
      <c r="Z716" s="34" t="str">
        <f t="shared" si="72"/>
        <v>Small</v>
      </c>
    </row>
    <row r="717" spans="1:26">
      <c r="A717" t="s">
        <v>1571</v>
      </c>
      <c r="B717" s="44">
        <v>44906</v>
      </c>
      <c r="C717" s="34">
        <f t="shared" si="67"/>
        <v>2022</v>
      </c>
      <c r="D717" s="34">
        <f t="shared" si="68"/>
        <v>12</v>
      </c>
      <c r="E717" s="34" t="str">
        <f t="shared" si="69"/>
        <v>December</v>
      </c>
      <c r="F717" s="44">
        <v>44910</v>
      </c>
      <c r="G717" t="s">
        <v>1225</v>
      </c>
      <c r="H717" t="s">
        <v>1226</v>
      </c>
      <c r="I717" t="s">
        <v>29</v>
      </c>
      <c r="J717" t="s">
        <v>43</v>
      </c>
      <c r="K717" t="s">
        <v>438</v>
      </c>
      <c r="L717" t="s">
        <v>1227</v>
      </c>
      <c r="M717" t="s">
        <v>76</v>
      </c>
      <c r="N717" t="s">
        <v>351</v>
      </c>
      <c r="O717" t="s">
        <v>67</v>
      </c>
      <c r="P717" t="s">
        <v>68</v>
      </c>
      <c r="Q717" t="s">
        <v>352</v>
      </c>
      <c r="R717">
        <v>1437.6</v>
      </c>
      <c r="S717">
        <v>3</v>
      </c>
      <c r="T717">
        <v>0.2</v>
      </c>
      <c r="U717" s="34" t="str">
        <f t="shared" si="70"/>
        <v>Medium</v>
      </c>
      <c r="V717">
        <v>-75.68</v>
      </c>
      <c r="W717" s="29">
        <f t="shared" si="71"/>
        <v>-0.0526432943795214</v>
      </c>
      <c r="X717">
        <v>12.68</v>
      </c>
      <c r="Y717" t="s">
        <v>51</v>
      </c>
      <c r="Z717" s="34" t="str">
        <f t="shared" si="72"/>
        <v>Medium</v>
      </c>
    </row>
    <row r="718" spans="1:26">
      <c r="A718" t="s">
        <v>1572</v>
      </c>
      <c r="B718" s="44">
        <v>43836</v>
      </c>
      <c r="C718" s="34">
        <f t="shared" si="67"/>
        <v>2020</v>
      </c>
      <c r="D718" s="34">
        <f t="shared" si="68"/>
        <v>1</v>
      </c>
      <c r="E718" s="34" t="str">
        <f t="shared" si="69"/>
        <v>January</v>
      </c>
      <c r="F718" s="44">
        <v>43843</v>
      </c>
      <c r="G718" t="s">
        <v>406</v>
      </c>
      <c r="H718" t="s">
        <v>407</v>
      </c>
      <c r="I718" t="s">
        <v>55</v>
      </c>
      <c r="J718" t="s">
        <v>43</v>
      </c>
      <c r="K718" t="s">
        <v>213</v>
      </c>
      <c r="L718" t="s">
        <v>408</v>
      </c>
      <c r="M718" t="s">
        <v>33</v>
      </c>
      <c r="N718" t="s">
        <v>292</v>
      </c>
      <c r="O718" t="s">
        <v>35</v>
      </c>
      <c r="P718" t="s">
        <v>163</v>
      </c>
      <c r="Q718" t="s">
        <v>293</v>
      </c>
      <c r="R718">
        <v>974.25</v>
      </c>
      <c r="S718">
        <v>1</v>
      </c>
      <c r="T718">
        <v>0.25</v>
      </c>
      <c r="U718" s="34" t="str">
        <f t="shared" si="70"/>
        <v>High</v>
      </c>
      <c r="V718">
        <v>-58.78</v>
      </c>
      <c r="W718" s="29">
        <f t="shared" si="71"/>
        <v>-0.0603335899409802</v>
      </c>
      <c r="X718">
        <v>33.57</v>
      </c>
      <c r="Y718" t="s">
        <v>137</v>
      </c>
      <c r="Z718" s="34" t="str">
        <f t="shared" si="72"/>
        <v>Medium</v>
      </c>
    </row>
    <row r="719" spans="1:26">
      <c r="A719" t="s">
        <v>1573</v>
      </c>
      <c r="B719" s="44">
        <v>44484</v>
      </c>
      <c r="C719" s="34">
        <f t="shared" si="67"/>
        <v>2021</v>
      </c>
      <c r="D719" s="34">
        <f t="shared" si="68"/>
        <v>10</v>
      </c>
      <c r="E719" s="34" t="str">
        <f t="shared" si="69"/>
        <v>October</v>
      </c>
      <c r="F719" s="44">
        <v>44489</v>
      </c>
      <c r="G719" t="s">
        <v>123</v>
      </c>
      <c r="H719" t="s">
        <v>124</v>
      </c>
      <c r="I719" t="s">
        <v>29</v>
      </c>
      <c r="J719" t="s">
        <v>43</v>
      </c>
      <c r="K719" t="s">
        <v>125</v>
      </c>
      <c r="L719" t="s">
        <v>126</v>
      </c>
      <c r="M719" t="s">
        <v>58</v>
      </c>
      <c r="N719" t="s">
        <v>201</v>
      </c>
      <c r="O719" t="s">
        <v>35</v>
      </c>
      <c r="P719" t="s">
        <v>202</v>
      </c>
      <c r="Q719" t="s">
        <v>203</v>
      </c>
      <c r="R719">
        <v>898</v>
      </c>
      <c r="S719">
        <v>2</v>
      </c>
      <c r="T719">
        <v>0</v>
      </c>
      <c r="U719" s="34" t="str">
        <f t="shared" si="70"/>
        <v>No Discount</v>
      </c>
      <c r="V719">
        <v>210.91</v>
      </c>
      <c r="W719" s="29">
        <f t="shared" si="71"/>
        <v>0.234866369710468</v>
      </c>
      <c r="X719">
        <v>45.31</v>
      </c>
      <c r="Y719" t="s">
        <v>80</v>
      </c>
      <c r="Z719" s="34" t="str">
        <f t="shared" si="72"/>
        <v>Medium</v>
      </c>
    </row>
    <row r="720" spans="1:26">
      <c r="A720" t="s">
        <v>1574</v>
      </c>
      <c r="B720" s="44">
        <v>43894</v>
      </c>
      <c r="C720" s="34">
        <f t="shared" si="67"/>
        <v>2020</v>
      </c>
      <c r="D720" s="34">
        <f t="shared" si="68"/>
        <v>3</v>
      </c>
      <c r="E720" s="34" t="str">
        <f t="shared" si="69"/>
        <v>March</v>
      </c>
      <c r="F720" s="44">
        <v>43901</v>
      </c>
      <c r="G720" t="s">
        <v>1230</v>
      </c>
      <c r="H720" t="s">
        <v>1231</v>
      </c>
      <c r="I720" t="s">
        <v>55</v>
      </c>
      <c r="J720" t="s">
        <v>43</v>
      </c>
      <c r="K720" t="s">
        <v>302</v>
      </c>
      <c r="L720" t="s">
        <v>1232</v>
      </c>
      <c r="M720" t="s">
        <v>76</v>
      </c>
      <c r="N720" t="s">
        <v>500</v>
      </c>
      <c r="O720" t="s">
        <v>67</v>
      </c>
      <c r="P720" t="s">
        <v>68</v>
      </c>
      <c r="Q720" t="s">
        <v>501</v>
      </c>
      <c r="R720">
        <v>2196</v>
      </c>
      <c r="S720">
        <v>4</v>
      </c>
      <c r="T720">
        <v>0</v>
      </c>
      <c r="U720" s="34" t="str">
        <f t="shared" si="70"/>
        <v>No Discount</v>
      </c>
      <c r="V720">
        <v>-181.94</v>
      </c>
      <c r="W720" s="29">
        <f t="shared" si="71"/>
        <v>-0.0828506375227687</v>
      </c>
      <c r="X720">
        <v>20.88</v>
      </c>
      <c r="Y720" t="s">
        <v>70</v>
      </c>
      <c r="Z720" s="34" t="str">
        <f t="shared" si="72"/>
        <v>Large</v>
      </c>
    </row>
    <row r="721" spans="1:26">
      <c r="A721" t="s">
        <v>1575</v>
      </c>
      <c r="B721" s="44">
        <v>45379</v>
      </c>
      <c r="C721" s="34">
        <f t="shared" si="67"/>
        <v>2024</v>
      </c>
      <c r="D721" s="34">
        <f t="shared" si="68"/>
        <v>3</v>
      </c>
      <c r="E721" s="34" t="str">
        <f t="shared" si="69"/>
        <v>March</v>
      </c>
      <c r="F721" s="44">
        <v>45383</v>
      </c>
      <c r="G721" t="s">
        <v>197</v>
      </c>
      <c r="H721" t="s">
        <v>198</v>
      </c>
      <c r="I721" t="s">
        <v>55</v>
      </c>
      <c r="J721" t="s">
        <v>43</v>
      </c>
      <c r="K721" t="s">
        <v>199</v>
      </c>
      <c r="L721" t="s">
        <v>200</v>
      </c>
      <c r="M721" t="s">
        <v>46</v>
      </c>
      <c r="N721" t="s">
        <v>235</v>
      </c>
      <c r="O721" t="s">
        <v>35</v>
      </c>
      <c r="P721" t="s">
        <v>78</v>
      </c>
      <c r="Q721" t="s">
        <v>236</v>
      </c>
      <c r="R721">
        <v>549</v>
      </c>
      <c r="S721">
        <v>1</v>
      </c>
      <c r="T721">
        <v>0</v>
      </c>
      <c r="U721" s="34" t="str">
        <f t="shared" si="70"/>
        <v>No Discount</v>
      </c>
      <c r="V721">
        <v>130.22</v>
      </c>
      <c r="W721" s="29">
        <f t="shared" si="71"/>
        <v>0.237194899817851</v>
      </c>
      <c r="X721">
        <v>23.43</v>
      </c>
      <c r="Y721" t="s">
        <v>38</v>
      </c>
      <c r="Z721" s="34" t="str">
        <f t="shared" si="72"/>
        <v>Medium</v>
      </c>
    </row>
    <row r="722" spans="1:26">
      <c r="A722" t="s">
        <v>1576</v>
      </c>
      <c r="B722" s="44">
        <v>44801</v>
      </c>
      <c r="C722" s="34">
        <f t="shared" si="67"/>
        <v>2022</v>
      </c>
      <c r="D722" s="34">
        <f t="shared" si="68"/>
        <v>8</v>
      </c>
      <c r="E722" s="34" t="str">
        <f t="shared" si="69"/>
        <v>August</v>
      </c>
      <c r="F722" s="44">
        <v>44805</v>
      </c>
      <c r="G722" t="s">
        <v>1507</v>
      </c>
      <c r="H722" t="s">
        <v>1508</v>
      </c>
      <c r="I722" t="s">
        <v>42</v>
      </c>
      <c r="J722" t="s">
        <v>43</v>
      </c>
      <c r="K722" t="s">
        <v>302</v>
      </c>
      <c r="L722" t="s">
        <v>303</v>
      </c>
      <c r="M722" t="s">
        <v>76</v>
      </c>
      <c r="N722" t="s">
        <v>698</v>
      </c>
      <c r="O722" t="s">
        <v>35</v>
      </c>
      <c r="P722" t="s">
        <v>36</v>
      </c>
      <c r="Q722" t="s">
        <v>699</v>
      </c>
      <c r="R722">
        <v>595</v>
      </c>
      <c r="S722">
        <v>1</v>
      </c>
      <c r="T722">
        <v>0</v>
      </c>
      <c r="U722" s="34" t="str">
        <f t="shared" si="70"/>
        <v>No Discount</v>
      </c>
      <c r="V722">
        <v>115.26</v>
      </c>
      <c r="W722" s="29">
        <f t="shared" si="71"/>
        <v>0.193714285714286</v>
      </c>
      <c r="X722">
        <v>12.47</v>
      </c>
      <c r="Y722" t="s">
        <v>62</v>
      </c>
      <c r="Z722" s="34" t="str">
        <f t="shared" si="72"/>
        <v>Medium</v>
      </c>
    </row>
    <row r="723" spans="1:26">
      <c r="A723" t="s">
        <v>1577</v>
      </c>
      <c r="B723" s="44">
        <v>45129</v>
      </c>
      <c r="C723" s="34">
        <f t="shared" si="67"/>
        <v>2023</v>
      </c>
      <c r="D723" s="34">
        <f t="shared" si="68"/>
        <v>7</v>
      </c>
      <c r="E723" s="34" t="str">
        <f t="shared" si="69"/>
        <v>July</v>
      </c>
      <c r="F723" s="44">
        <v>45136</v>
      </c>
      <c r="G723" t="s">
        <v>483</v>
      </c>
      <c r="H723" t="s">
        <v>484</v>
      </c>
      <c r="I723" t="s">
        <v>42</v>
      </c>
      <c r="J723" t="s">
        <v>43</v>
      </c>
      <c r="K723" t="s">
        <v>108</v>
      </c>
      <c r="L723" t="s">
        <v>485</v>
      </c>
      <c r="M723" t="s">
        <v>58</v>
      </c>
      <c r="N723" t="s">
        <v>315</v>
      </c>
      <c r="O723" t="s">
        <v>67</v>
      </c>
      <c r="P723" t="s">
        <v>252</v>
      </c>
      <c r="Q723" t="s">
        <v>316</v>
      </c>
      <c r="R723">
        <v>2716</v>
      </c>
      <c r="S723">
        <v>4</v>
      </c>
      <c r="T723">
        <v>0</v>
      </c>
      <c r="U723" s="34" t="str">
        <f t="shared" si="70"/>
        <v>No Discount</v>
      </c>
      <c r="V723">
        <v>401.78</v>
      </c>
      <c r="W723" s="29">
        <f t="shared" si="71"/>
        <v>0.147930780559647</v>
      </c>
      <c r="X723">
        <v>18.72</v>
      </c>
      <c r="Y723" t="s">
        <v>689</v>
      </c>
      <c r="Z723" s="34" t="str">
        <f t="shared" si="72"/>
        <v>Large</v>
      </c>
    </row>
    <row r="724" spans="1:26">
      <c r="A724" t="s">
        <v>1578</v>
      </c>
      <c r="B724" s="44">
        <v>44907</v>
      </c>
      <c r="C724" s="34">
        <f t="shared" si="67"/>
        <v>2022</v>
      </c>
      <c r="D724" s="34">
        <f t="shared" si="68"/>
        <v>12</v>
      </c>
      <c r="E724" s="34" t="str">
        <f t="shared" si="69"/>
        <v>December</v>
      </c>
      <c r="F724" s="44">
        <v>44910</v>
      </c>
      <c r="G724" t="s">
        <v>300</v>
      </c>
      <c r="H724" t="s">
        <v>301</v>
      </c>
      <c r="I724" t="s">
        <v>29</v>
      </c>
      <c r="J724" t="s">
        <v>43</v>
      </c>
      <c r="K724" t="s">
        <v>302</v>
      </c>
      <c r="L724" t="s">
        <v>303</v>
      </c>
      <c r="M724" t="s">
        <v>76</v>
      </c>
      <c r="N724" t="s">
        <v>424</v>
      </c>
      <c r="O724" t="s">
        <v>67</v>
      </c>
      <c r="P724" t="s">
        <v>103</v>
      </c>
      <c r="Q724" t="s">
        <v>425</v>
      </c>
      <c r="R724">
        <v>2433.75</v>
      </c>
      <c r="S724">
        <v>5</v>
      </c>
      <c r="T724">
        <v>0.25</v>
      </c>
      <c r="U724" s="34" t="str">
        <f t="shared" si="70"/>
        <v>High</v>
      </c>
      <c r="V724">
        <v>357.35</v>
      </c>
      <c r="W724" s="29">
        <f t="shared" si="71"/>
        <v>0.146831022085259</v>
      </c>
      <c r="X724">
        <v>25.71</v>
      </c>
      <c r="Y724" t="s">
        <v>137</v>
      </c>
      <c r="Z724" s="34" t="str">
        <f t="shared" si="72"/>
        <v>Large</v>
      </c>
    </row>
    <row r="725" spans="1:26">
      <c r="A725" t="s">
        <v>1579</v>
      </c>
      <c r="B725" s="44">
        <v>45057</v>
      </c>
      <c r="C725" s="34">
        <f t="shared" si="67"/>
        <v>2023</v>
      </c>
      <c r="D725" s="34">
        <f t="shared" si="68"/>
        <v>5</v>
      </c>
      <c r="E725" s="34" t="str">
        <f t="shared" si="69"/>
        <v>May</v>
      </c>
      <c r="F725" s="44">
        <v>45063</v>
      </c>
      <c r="G725" t="s">
        <v>483</v>
      </c>
      <c r="H725" t="s">
        <v>484</v>
      </c>
      <c r="I725" t="s">
        <v>42</v>
      </c>
      <c r="J725" t="s">
        <v>43</v>
      </c>
      <c r="K725" t="s">
        <v>108</v>
      </c>
      <c r="L725" t="s">
        <v>485</v>
      </c>
      <c r="M725" t="s">
        <v>58</v>
      </c>
      <c r="N725" t="s">
        <v>546</v>
      </c>
      <c r="O725" t="s">
        <v>35</v>
      </c>
      <c r="P725" t="s">
        <v>36</v>
      </c>
      <c r="Q725" t="s">
        <v>547</v>
      </c>
      <c r="R725">
        <v>4713.75</v>
      </c>
      <c r="S725">
        <v>3</v>
      </c>
      <c r="T725">
        <v>0.25</v>
      </c>
      <c r="U725" s="34" t="str">
        <f t="shared" si="70"/>
        <v>High</v>
      </c>
      <c r="V725">
        <v>1169.3</v>
      </c>
      <c r="W725" s="29">
        <f t="shared" si="71"/>
        <v>0.248061522142668</v>
      </c>
      <c r="X725">
        <v>30.45</v>
      </c>
      <c r="Y725" t="s">
        <v>62</v>
      </c>
      <c r="Z725" s="34" t="str">
        <f t="shared" si="72"/>
        <v>Large</v>
      </c>
    </row>
    <row r="726" spans="1:26">
      <c r="A726" t="s">
        <v>1580</v>
      </c>
      <c r="B726" s="44">
        <v>44795</v>
      </c>
      <c r="C726" s="34">
        <f t="shared" si="67"/>
        <v>2022</v>
      </c>
      <c r="D726" s="34">
        <f t="shared" si="68"/>
        <v>8</v>
      </c>
      <c r="E726" s="34" t="str">
        <f t="shared" si="69"/>
        <v>August</v>
      </c>
      <c r="F726" s="44">
        <v>44797</v>
      </c>
      <c r="G726" t="s">
        <v>391</v>
      </c>
      <c r="H726" t="s">
        <v>392</v>
      </c>
      <c r="I726" t="s">
        <v>42</v>
      </c>
      <c r="J726" t="s">
        <v>43</v>
      </c>
      <c r="K726" t="s">
        <v>320</v>
      </c>
      <c r="L726" t="s">
        <v>181</v>
      </c>
      <c r="M726" t="s">
        <v>46</v>
      </c>
      <c r="N726" t="s">
        <v>333</v>
      </c>
      <c r="O726" t="s">
        <v>48</v>
      </c>
      <c r="P726" t="s">
        <v>190</v>
      </c>
      <c r="Q726" t="s">
        <v>334</v>
      </c>
      <c r="R726">
        <v>170.1</v>
      </c>
      <c r="S726">
        <v>1</v>
      </c>
      <c r="T726">
        <v>0.1</v>
      </c>
      <c r="U726" s="34" t="str">
        <f t="shared" si="70"/>
        <v>Low</v>
      </c>
      <c r="V726">
        <v>-19.55</v>
      </c>
      <c r="W726" s="29">
        <f t="shared" si="71"/>
        <v>-0.11493239271017</v>
      </c>
      <c r="X726">
        <v>19.81</v>
      </c>
      <c r="Y726" t="s">
        <v>121</v>
      </c>
      <c r="Z726" s="34" t="str">
        <f t="shared" si="72"/>
        <v>Small</v>
      </c>
    </row>
    <row r="727" spans="1:26">
      <c r="A727" t="s">
        <v>1581</v>
      </c>
      <c r="B727" s="44">
        <v>44307</v>
      </c>
      <c r="C727" s="34">
        <f t="shared" si="67"/>
        <v>2021</v>
      </c>
      <c r="D727" s="34">
        <f t="shared" si="68"/>
        <v>4</v>
      </c>
      <c r="E727" s="34" t="str">
        <f t="shared" si="69"/>
        <v>April</v>
      </c>
      <c r="F727" s="44">
        <v>44308</v>
      </c>
      <c r="G727" t="s">
        <v>491</v>
      </c>
      <c r="H727" t="s">
        <v>492</v>
      </c>
      <c r="I727" t="s">
        <v>29</v>
      </c>
      <c r="J727" t="s">
        <v>43</v>
      </c>
      <c r="K727" t="s">
        <v>56</v>
      </c>
      <c r="L727" t="s">
        <v>493</v>
      </c>
      <c r="M727" t="s">
        <v>58</v>
      </c>
      <c r="N727" t="s">
        <v>315</v>
      </c>
      <c r="O727" t="s">
        <v>67</v>
      </c>
      <c r="P727" t="s">
        <v>252</v>
      </c>
      <c r="Q727" t="s">
        <v>316</v>
      </c>
      <c r="R727">
        <v>679</v>
      </c>
      <c r="S727">
        <v>1</v>
      </c>
      <c r="T727">
        <v>0</v>
      </c>
      <c r="U727" s="34" t="str">
        <f t="shared" si="70"/>
        <v>No Discount</v>
      </c>
      <c r="V727">
        <v>57.16</v>
      </c>
      <c r="W727" s="29">
        <f t="shared" si="71"/>
        <v>0.0841826215022091</v>
      </c>
      <c r="X727">
        <v>35.8</v>
      </c>
      <c r="Y727" t="s">
        <v>70</v>
      </c>
      <c r="Z727" s="34" t="str">
        <f t="shared" si="72"/>
        <v>Medium</v>
      </c>
    </row>
    <row r="728" spans="1:26">
      <c r="A728" t="s">
        <v>1582</v>
      </c>
      <c r="B728" s="44">
        <v>45607</v>
      </c>
      <c r="C728" s="34">
        <f t="shared" si="67"/>
        <v>2024</v>
      </c>
      <c r="D728" s="34">
        <f t="shared" si="68"/>
        <v>11</v>
      </c>
      <c r="E728" s="34" t="str">
        <f t="shared" si="69"/>
        <v>November</v>
      </c>
      <c r="F728" s="44">
        <v>45611</v>
      </c>
      <c r="G728" t="s">
        <v>1583</v>
      </c>
      <c r="H728" t="s">
        <v>1584</v>
      </c>
      <c r="I728" t="s">
        <v>55</v>
      </c>
      <c r="J728" t="s">
        <v>43</v>
      </c>
      <c r="K728" t="s">
        <v>74</v>
      </c>
      <c r="L728" t="s">
        <v>387</v>
      </c>
      <c r="M728" t="s">
        <v>76</v>
      </c>
      <c r="N728" t="s">
        <v>837</v>
      </c>
      <c r="O728" t="s">
        <v>35</v>
      </c>
      <c r="P728" t="s">
        <v>111</v>
      </c>
      <c r="Q728" t="s">
        <v>838</v>
      </c>
      <c r="R728">
        <v>340.1</v>
      </c>
      <c r="S728">
        <v>2</v>
      </c>
      <c r="T728">
        <v>0.05</v>
      </c>
      <c r="U728" s="34" t="str">
        <f t="shared" si="70"/>
        <v>Low</v>
      </c>
      <c r="V728">
        <v>55.31</v>
      </c>
      <c r="W728" s="29">
        <f t="shared" si="71"/>
        <v>0.162628638635695</v>
      </c>
      <c r="X728">
        <v>42.37</v>
      </c>
      <c r="Y728" t="s">
        <v>51</v>
      </c>
      <c r="Z728" s="34" t="str">
        <f t="shared" si="72"/>
        <v>Small</v>
      </c>
    </row>
    <row r="729" spans="1:26">
      <c r="A729" t="s">
        <v>1585</v>
      </c>
      <c r="B729" s="44">
        <v>45213</v>
      </c>
      <c r="C729" s="34">
        <f t="shared" si="67"/>
        <v>2023</v>
      </c>
      <c r="D729" s="34">
        <f t="shared" si="68"/>
        <v>10</v>
      </c>
      <c r="E729" s="34" t="str">
        <f t="shared" si="69"/>
        <v>October</v>
      </c>
      <c r="F729" s="44">
        <v>45220</v>
      </c>
      <c r="G729" t="s">
        <v>1586</v>
      </c>
      <c r="H729" t="s">
        <v>1587</v>
      </c>
      <c r="I729" t="s">
        <v>55</v>
      </c>
      <c r="J729" t="s">
        <v>30</v>
      </c>
      <c r="K729" t="s">
        <v>74</v>
      </c>
      <c r="L729" t="s">
        <v>75</v>
      </c>
      <c r="M729" t="s">
        <v>76</v>
      </c>
      <c r="N729" t="s">
        <v>162</v>
      </c>
      <c r="O729" t="s">
        <v>35</v>
      </c>
      <c r="P729" t="s">
        <v>163</v>
      </c>
      <c r="Q729" t="s">
        <v>164</v>
      </c>
      <c r="R729">
        <v>2196</v>
      </c>
      <c r="S729">
        <v>4</v>
      </c>
      <c r="T729">
        <v>0</v>
      </c>
      <c r="U729" s="34" t="str">
        <f t="shared" si="70"/>
        <v>No Discount</v>
      </c>
      <c r="V729">
        <v>-180.71</v>
      </c>
      <c r="W729" s="29">
        <f t="shared" si="71"/>
        <v>-0.0822905282331512</v>
      </c>
      <c r="X729">
        <v>16.75</v>
      </c>
      <c r="Y729" t="s">
        <v>51</v>
      </c>
      <c r="Z729" s="34" t="str">
        <f t="shared" si="72"/>
        <v>Large</v>
      </c>
    </row>
    <row r="730" spans="1:26">
      <c r="A730" t="s">
        <v>1588</v>
      </c>
      <c r="B730" s="44">
        <v>45591</v>
      </c>
      <c r="C730" s="34">
        <f t="shared" si="67"/>
        <v>2024</v>
      </c>
      <c r="D730" s="34">
        <f t="shared" si="68"/>
        <v>10</v>
      </c>
      <c r="E730" s="34" t="str">
        <f t="shared" si="69"/>
        <v>October</v>
      </c>
      <c r="F730" s="44">
        <v>45596</v>
      </c>
      <c r="G730" t="s">
        <v>1463</v>
      </c>
      <c r="H730" t="s">
        <v>1464</v>
      </c>
      <c r="I730" t="s">
        <v>55</v>
      </c>
      <c r="J730" t="s">
        <v>43</v>
      </c>
      <c r="K730" t="s">
        <v>640</v>
      </c>
      <c r="L730" t="s">
        <v>1465</v>
      </c>
      <c r="M730" t="s">
        <v>76</v>
      </c>
      <c r="N730" t="s">
        <v>155</v>
      </c>
      <c r="O730" t="s">
        <v>67</v>
      </c>
      <c r="P730" t="s">
        <v>119</v>
      </c>
      <c r="Q730" t="s">
        <v>156</v>
      </c>
      <c r="R730">
        <v>3396</v>
      </c>
      <c r="S730">
        <v>4</v>
      </c>
      <c r="T730">
        <v>0</v>
      </c>
      <c r="U730" s="34" t="str">
        <f t="shared" si="70"/>
        <v>No Discount</v>
      </c>
      <c r="V730">
        <v>669.53</v>
      </c>
      <c r="W730" s="29">
        <f t="shared" si="71"/>
        <v>0.197152532391048</v>
      </c>
      <c r="X730">
        <v>32.25</v>
      </c>
      <c r="Y730" t="s">
        <v>62</v>
      </c>
      <c r="Z730" s="34" t="str">
        <f t="shared" si="72"/>
        <v>Large</v>
      </c>
    </row>
    <row r="731" spans="1:26">
      <c r="A731" t="s">
        <v>1589</v>
      </c>
      <c r="B731" s="44">
        <v>44651</v>
      </c>
      <c r="C731" s="34">
        <f t="shared" si="67"/>
        <v>2022</v>
      </c>
      <c r="D731" s="34">
        <f t="shared" si="68"/>
        <v>3</v>
      </c>
      <c r="E731" s="34" t="str">
        <f t="shared" si="69"/>
        <v>March</v>
      </c>
      <c r="F731" s="44">
        <v>44656</v>
      </c>
      <c r="G731" t="s">
        <v>1590</v>
      </c>
      <c r="H731" t="s">
        <v>1591</v>
      </c>
      <c r="I731" t="s">
        <v>55</v>
      </c>
      <c r="J731" t="s">
        <v>30</v>
      </c>
      <c r="K731" t="s">
        <v>31</v>
      </c>
      <c r="L731" t="s">
        <v>32</v>
      </c>
      <c r="M731" t="s">
        <v>33</v>
      </c>
      <c r="N731" t="s">
        <v>367</v>
      </c>
      <c r="O731" t="s">
        <v>35</v>
      </c>
      <c r="P731" t="s">
        <v>202</v>
      </c>
      <c r="Q731" t="s">
        <v>368</v>
      </c>
      <c r="R731">
        <v>569.05</v>
      </c>
      <c r="S731">
        <v>1</v>
      </c>
      <c r="T731">
        <v>0.05</v>
      </c>
      <c r="U731" s="34" t="str">
        <f t="shared" si="70"/>
        <v>Low</v>
      </c>
      <c r="V731">
        <v>61.49</v>
      </c>
      <c r="W731" s="29">
        <f t="shared" si="71"/>
        <v>0.108057288463228</v>
      </c>
      <c r="X731">
        <v>22.65</v>
      </c>
      <c r="Y731" t="s">
        <v>137</v>
      </c>
      <c r="Z731" s="34" t="str">
        <f t="shared" si="72"/>
        <v>Medium</v>
      </c>
    </row>
    <row r="732" spans="1:26">
      <c r="A732" t="s">
        <v>1592</v>
      </c>
      <c r="B732" s="44">
        <v>45410</v>
      </c>
      <c r="C732" s="34">
        <f t="shared" si="67"/>
        <v>2024</v>
      </c>
      <c r="D732" s="34">
        <f t="shared" si="68"/>
        <v>4</v>
      </c>
      <c r="E732" s="34" t="str">
        <f t="shared" si="69"/>
        <v>April</v>
      </c>
      <c r="F732" s="44">
        <v>45413</v>
      </c>
      <c r="G732" t="s">
        <v>573</v>
      </c>
      <c r="H732" t="s">
        <v>574</v>
      </c>
      <c r="I732" t="s">
        <v>55</v>
      </c>
      <c r="J732" t="s">
        <v>43</v>
      </c>
      <c r="K732" t="s">
        <v>180</v>
      </c>
      <c r="L732" t="s">
        <v>291</v>
      </c>
      <c r="M732" t="s">
        <v>46</v>
      </c>
      <c r="N732" t="s">
        <v>286</v>
      </c>
      <c r="O732" t="s">
        <v>35</v>
      </c>
      <c r="P732" t="s">
        <v>202</v>
      </c>
      <c r="Q732" t="s">
        <v>287</v>
      </c>
      <c r="R732">
        <v>223.5</v>
      </c>
      <c r="S732">
        <v>2</v>
      </c>
      <c r="T732">
        <v>0.25</v>
      </c>
      <c r="U732" s="34" t="str">
        <f t="shared" si="70"/>
        <v>High</v>
      </c>
      <c r="V732">
        <v>-16.96</v>
      </c>
      <c r="W732" s="29">
        <f t="shared" si="71"/>
        <v>-0.0758836689038031</v>
      </c>
      <c r="X732">
        <v>19.27</v>
      </c>
      <c r="Y732" t="s">
        <v>96</v>
      </c>
      <c r="Z732" s="34" t="str">
        <f t="shared" si="72"/>
        <v>Small</v>
      </c>
    </row>
    <row r="733" spans="1:26">
      <c r="A733" t="s">
        <v>1593</v>
      </c>
      <c r="B733" s="44">
        <v>45386</v>
      </c>
      <c r="C733" s="34">
        <f t="shared" si="67"/>
        <v>2024</v>
      </c>
      <c r="D733" s="34">
        <f t="shared" si="68"/>
        <v>4</v>
      </c>
      <c r="E733" s="34" t="str">
        <f t="shared" si="69"/>
        <v>April</v>
      </c>
      <c r="F733" s="44">
        <v>45391</v>
      </c>
      <c r="G733" t="s">
        <v>260</v>
      </c>
      <c r="H733" t="s">
        <v>261</v>
      </c>
      <c r="I733" t="s">
        <v>42</v>
      </c>
      <c r="J733" t="s">
        <v>43</v>
      </c>
      <c r="K733" t="s">
        <v>262</v>
      </c>
      <c r="L733" t="s">
        <v>263</v>
      </c>
      <c r="M733" t="s">
        <v>58</v>
      </c>
      <c r="N733" t="s">
        <v>382</v>
      </c>
      <c r="O733" t="s">
        <v>67</v>
      </c>
      <c r="P733" t="s">
        <v>119</v>
      </c>
      <c r="Q733" t="s">
        <v>383</v>
      </c>
      <c r="R733">
        <v>4596</v>
      </c>
      <c r="S733">
        <v>4</v>
      </c>
      <c r="T733">
        <v>0</v>
      </c>
      <c r="U733" s="34" t="str">
        <f t="shared" si="70"/>
        <v>No Discount</v>
      </c>
      <c r="V733">
        <v>453.95</v>
      </c>
      <c r="W733" s="29">
        <f t="shared" si="71"/>
        <v>0.0987706701479547</v>
      </c>
      <c r="X733">
        <v>18.83</v>
      </c>
      <c r="Y733" t="s">
        <v>51</v>
      </c>
      <c r="Z733" s="34" t="str">
        <f t="shared" si="72"/>
        <v>Large</v>
      </c>
    </row>
    <row r="734" spans="1:26">
      <c r="A734" t="s">
        <v>1594</v>
      </c>
      <c r="B734" s="44">
        <v>45254</v>
      </c>
      <c r="C734" s="34">
        <f t="shared" si="67"/>
        <v>2023</v>
      </c>
      <c r="D734" s="34">
        <f t="shared" si="68"/>
        <v>11</v>
      </c>
      <c r="E734" s="34" t="str">
        <f t="shared" si="69"/>
        <v>November</v>
      </c>
      <c r="F734" s="44">
        <v>45255</v>
      </c>
      <c r="G734" t="s">
        <v>1296</v>
      </c>
      <c r="H734" t="s">
        <v>1297</v>
      </c>
      <c r="I734" t="s">
        <v>42</v>
      </c>
      <c r="J734" t="s">
        <v>30</v>
      </c>
      <c r="K734" t="s">
        <v>273</v>
      </c>
      <c r="L734" t="s">
        <v>468</v>
      </c>
      <c r="M734" t="s">
        <v>46</v>
      </c>
      <c r="N734" t="s">
        <v>312</v>
      </c>
      <c r="O734" t="s">
        <v>48</v>
      </c>
      <c r="P734" t="s">
        <v>49</v>
      </c>
      <c r="Q734" t="s">
        <v>313</v>
      </c>
      <c r="R734">
        <v>29.25</v>
      </c>
      <c r="S734">
        <v>1</v>
      </c>
      <c r="T734">
        <v>0.25</v>
      </c>
      <c r="U734" s="34" t="str">
        <f t="shared" si="70"/>
        <v>High</v>
      </c>
      <c r="V734">
        <v>2.07</v>
      </c>
      <c r="W734" s="29">
        <f t="shared" si="71"/>
        <v>0.0707692307692308</v>
      </c>
      <c r="X734">
        <v>7.71</v>
      </c>
      <c r="Y734" t="s">
        <v>121</v>
      </c>
      <c r="Z734" s="34" t="str">
        <f t="shared" si="72"/>
        <v>Small</v>
      </c>
    </row>
    <row r="735" spans="1:26">
      <c r="A735" t="s">
        <v>1595</v>
      </c>
      <c r="B735" s="44">
        <v>45234</v>
      </c>
      <c r="C735" s="34">
        <f t="shared" si="67"/>
        <v>2023</v>
      </c>
      <c r="D735" s="34">
        <f t="shared" si="68"/>
        <v>11</v>
      </c>
      <c r="E735" s="34" t="str">
        <f t="shared" si="69"/>
        <v>November</v>
      </c>
      <c r="F735" s="44">
        <v>45236</v>
      </c>
      <c r="G735" t="s">
        <v>963</v>
      </c>
      <c r="H735" t="s">
        <v>964</v>
      </c>
      <c r="I735" t="s">
        <v>55</v>
      </c>
      <c r="J735" t="s">
        <v>43</v>
      </c>
      <c r="K735" t="s">
        <v>153</v>
      </c>
      <c r="L735" t="s">
        <v>154</v>
      </c>
      <c r="M735" t="s">
        <v>58</v>
      </c>
      <c r="N735" t="s">
        <v>351</v>
      </c>
      <c r="O735" t="s">
        <v>67</v>
      </c>
      <c r="P735" t="s">
        <v>68</v>
      </c>
      <c r="Q735" t="s">
        <v>352</v>
      </c>
      <c r="R735">
        <v>2396</v>
      </c>
      <c r="S735">
        <v>4</v>
      </c>
      <c r="T735">
        <v>0</v>
      </c>
      <c r="U735" s="34" t="str">
        <f t="shared" si="70"/>
        <v>No Discount</v>
      </c>
      <c r="V735">
        <v>590.44</v>
      </c>
      <c r="W735" s="29">
        <f t="shared" si="71"/>
        <v>0.246427378964942</v>
      </c>
      <c r="X735">
        <v>28.54</v>
      </c>
      <c r="Y735" t="s">
        <v>51</v>
      </c>
      <c r="Z735" s="34" t="str">
        <f t="shared" si="72"/>
        <v>Large</v>
      </c>
    </row>
    <row r="736" spans="1:26">
      <c r="A736" t="s">
        <v>1596</v>
      </c>
      <c r="B736" s="44">
        <v>44433</v>
      </c>
      <c r="C736" s="34">
        <f t="shared" si="67"/>
        <v>2021</v>
      </c>
      <c r="D736" s="34">
        <f t="shared" si="68"/>
        <v>8</v>
      </c>
      <c r="E736" s="34" t="str">
        <f t="shared" si="69"/>
        <v>August</v>
      </c>
      <c r="F736" s="44">
        <v>44438</v>
      </c>
      <c r="G736" t="s">
        <v>856</v>
      </c>
      <c r="H736" t="s">
        <v>857</v>
      </c>
      <c r="I736" t="s">
        <v>29</v>
      </c>
      <c r="J736" t="s">
        <v>43</v>
      </c>
      <c r="K736" t="s">
        <v>245</v>
      </c>
      <c r="L736" t="s">
        <v>511</v>
      </c>
      <c r="M736" t="s">
        <v>76</v>
      </c>
      <c r="N736" t="s">
        <v>397</v>
      </c>
      <c r="O736" t="s">
        <v>48</v>
      </c>
      <c r="P736" t="s">
        <v>128</v>
      </c>
      <c r="Q736" t="s">
        <v>398</v>
      </c>
      <c r="R736">
        <v>25</v>
      </c>
      <c r="S736">
        <v>1</v>
      </c>
      <c r="T736">
        <v>0</v>
      </c>
      <c r="U736" s="34" t="str">
        <f t="shared" si="70"/>
        <v>No Discount</v>
      </c>
      <c r="V736">
        <v>-0.22</v>
      </c>
      <c r="W736" s="29">
        <f t="shared" si="71"/>
        <v>-0.0088</v>
      </c>
      <c r="X736">
        <v>21.57</v>
      </c>
      <c r="Y736" t="s">
        <v>51</v>
      </c>
      <c r="Z736" s="34" t="str">
        <f t="shared" si="72"/>
        <v>Small</v>
      </c>
    </row>
    <row r="737" spans="1:26">
      <c r="A737" t="s">
        <v>1597</v>
      </c>
      <c r="B737" s="44">
        <v>44754</v>
      </c>
      <c r="C737" s="34">
        <f t="shared" si="67"/>
        <v>2022</v>
      </c>
      <c r="D737" s="34">
        <f t="shared" si="68"/>
        <v>7</v>
      </c>
      <c r="E737" s="34" t="str">
        <f t="shared" si="69"/>
        <v>July</v>
      </c>
      <c r="F737" s="44">
        <v>44758</v>
      </c>
      <c r="G737" t="s">
        <v>1171</v>
      </c>
      <c r="H737" t="s">
        <v>1172</v>
      </c>
      <c r="I737" t="s">
        <v>42</v>
      </c>
      <c r="J737" t="s">
        <v>43</v>
      </c>
      <c r="K737" t="s">
        <v>56</v>
      </c>
      <c r="L737" t="s">
        <v>519</v>
      </c>
      <c r="M737" t="s">
        <v>58</v>
      </c>
      <c r="N737" t="s">
        <v>397</v>
      </c>
      <c r="O737" t="s">
        <v>48</v>
      </c>
      <c r="P737" t="s">
        <v>128</v>
      </c>
      <c r="Q737" t="s">
        <v>398</v>
      </c>
      <c r="R737">
        <v>80</v>
      </c>
      <c r="S737">
        <v>4</v>
      </c>
      <c r="T737">
        <v>0.2</v>
      </c>
      <c r="U737" s="34" t="str">
        <f t="shared" si="70"/>
        <v>Medium</v>
      </c>
      <c r="V737">
        <v>1.54</v>
      </c>
      <c r="W737" s="29">
        <f t="shared" si="71"/>
        <v>0.01925</v>
      </c>
      <c r="X737">
        <v>21.54</v>
      </c>
      <c r="Y737" t="s">
        <v>70</v>
      </c>
      <c r="Z737" s="34" t="str">
        <f t="shared" si="72"/>
        <v>Small</v>
      </c>
    </row>
    <row r="738" spans="1:26">
      <c r="A738" t="s">
        <v>1598</v>
      </c>
      <c r="B738" s="44">
        <v>44978</v>
      </c>
      <c r="C738" s="34">
        <f t="shared" si="67"/>
        <v>2023</v>
      </c>
      <c r="D738" s="34">
        <f t="shared" si="68"/>
        <v>2</v>
      </c>
      <c r="E738" s="34" t="str">
        <f t="shared" si="69"/>
        <v>February</v>
      </c>
      <c r="F738" s="44">
        <v>44983</v>
      </c>
      <c r="G738" t="s">
        <v>1599</v>
      </c>
      <c r="H738" t="s">
        <v>1600</v>
      </c>
      <c r="I738" t="s">
        <v>55</v>
      </c>
      <c r="J738" t="s">
        <v>43</v>
      </c>
      <c r="K738" t="s">
        <v>551</v>
      </c>
      <c r="L738" t="s">
        <v>718</v>
      </c>
      <c r="M738" t="s">
        <v>33</v>
      </c>
      <c r="N738" t="s">
        <v>872</v>
      </c>
      <c r="O738" t="s">
        <v>35</v>
      </c>
      <c r="P738" t="s">
        <v>163</v>
      </c>
      <c r="Q738" t="s">
        <v>873</v>
      </c>
      <c r="R738">
        <v>3822.45</v>
      </c>
      <c r="S738">
        <v>3</v>
      </c>
      <c r="T738">
        <v>0.15</v>
      </c>
      <c r="U738" s="34" t="str">
        <f t="shared" si="70"/>
        <v>Medium</v>
      </c>
      <c r="V738">
        <v>686.27</v>
      </c>
      <c r="W738" s="29">
        <f t="shared" si="71"/>
        <v>0.17953668458711</v>
      </c>
      <c r="X738">
        <v>5.89</v>
      </c>
      <c r="Y738" t="s">
        <v>70</v>
      </c>
      <c r="Z738" s="34" t="str">
        <f t="shared" si="72"/>
        <v>Large</v>
      </c>
    </row>
    <row r="739" spans="1:26">
      <c r="A739" t="s">
        <v>1601</v>
      </c>
      <c r="B739" s="44">
        <v>45169</v>
      </c>
      <c r="C739" s="34">
        <f t="shared" si="67"/>
        <v>2023</v>
      </c>
      <c r="D739" s="34">
        <f t="shared" si="68"/>
        <v>8</v>
      </c>
      <c r="E739" s="34" t="str">
        <f t="shared" si="69"/>
        <v>August</v>
      </c>
      <c r="F739" s="44">
        <v>45173</v>
      </c>
      <c r="G739" t="s">
        <v>306</v>
      </c>
      <c r="H739" t="s">
        <v>307</v>
      </c>
      <c r="I739" t="s">
        <v>55</v>
      </c>
      <c r="J739" t="s">
        <v>43</v>
      </c>
      <c r="K739" t="s">
        <v>116</v>
      </c>
      <c r="L739" t="s">
        <v>117</v>
      </c>
      <c r="M739" t="s">
        <v>33</v>
      </c>
      <c r="N739" t="s">
        <v>670</v>
      </c>
      <c r="O739" t="s">
        <v>48</v>
      </c>
      <c r="P739" t="s">
        <v>49</v>
      </c>
      <c r="Q739" t="s">
        <v>671</v>
      </c>
      <c r="R739">
        <v>294</v>
      </c>
      <c r="S739">
        <v>3</v>
      </c>
      <c r="T739">
        <v>0</v>
      </c>
      <c r="U739" s="34" t="str">
        <f t="shared" si="70"/>
        <v>No Discount</v>
      </c>
      <c r="V739">
        <v>-31.99</v>
      </c>
      <c r="W739" s="29">
        <f t="shared" si="71"/>
        <v>-0.108809523809524</v>
      </c>
      <c r="X739">
        <v>28.25</v>
      </c>
      <c r="Y739" t="s">
        <v>121</v>
      </c>
      <c r="Z739" s="34" t="str">
        <f t="shared" si="72"/>
        <v>Small</v>
      </c>
    </row>
    <row r="740" spans="1:26">
      <c r="A740" t="s">
        <v>1602</v>
      </c>
      <c r="B740" s="44">
        <v>45221</v>
      </c>
      <c r="C740" s="34">
        <f t="shared" si="67"/>
        <v>2023</v>
      </c>
      <c r="D740" s="34">
        <f t="shared" si="68"/>
        <v>10</v>
      </c>
      <c r="E740" s="34" t="str">
        <f t="shared" si="69"/>
        <v>October</v>
      </c>
      <c r="F740" s="44">
        <v>45224</v>
      </c>
      <c r="G740" t="s">
        <v>799</v>
      </c>
      <c r="H740" t="s">
        <v>800</v>
      </c>
      <c r="I740" t="s">
        <v>55</v>
      </c>
      <c r="J740" t="s">
        <v>43</v>
      </c>
      <c r="K740" t="s">
        <v>56</v>
      </c>
      <c r="L740" t="s">
        <v>57</v>
      </c>
      <c r="M740" t="s">
        <v>58</v>
      </c>
      <c r="N740" t="s">
        <v>421</v>
      </c>
      <c r="O740" t="s">
        <v>67</v>
      </c>
      <c r="P740" t="s">
        <v>252</v>
      </c>
      <c r="Q740" t="s">
        <v>422</v>
      </c>
      <c r="R740">
        <v>4280</v>
      </c>
      <c r="S740">
        <v>5</v>
      </c>
      <c r="T740">
        <v>0</v>
      </c>
      <c r="U740" s="34" t="str">
        <f t="shared" si="70"/>
        <v>No Discount</v>
      </c>
      <c r="V740">
        <v>930.88</v>
      </c>
      <c r="W740" s="29">
        <f t="shared" si="71"/>
        <v>0.217495327102804</v>
      </c>
      <c r="X740">
        <v>35.75</v>
      </c>
      <c r="Y740" t="s">
        <v>96</v>
      </c>
      <c r="Z740" s="34" t="str">
        <f t="shared" si="72"/>
        <v>Large</v>
      </c>
    </row>
    <row r="741" spans="1:26">
      <c r="A741" t="s">
        <v>1603</v>
      </c>
      <c r="B741" s="44">
        <v>44859</v>
      </c>
      <c r="C741" s="34">
        <f t="shared" si="67"/>
        <v>2022</v>
      </c>
      <c r="D741" s="34">
        <f t="shared" si="68"/>
        <v>10</v>
      </c>
      <c r="E741" s="34" t="str">
        <f t="shared" si="69"/>
        <v>October</v>
      </c>
      <c r="F741" s="44">
        <v>44866</v>
      </c>
      <c r="G741" t="s">
        <v>289</v>
      </c>
      <c r="H741" t="s">
        <v>290</v>
      </c>
      <c r="I741" t="s">
        <v>29</v>
      </c>
      <c r="J741" t="s">
        <v>43</v>
      </c>
      <c r="K741" t="s">
        <v>180</v>
      </c>
      <c r="L741" t="s">
        <v>291</v>
      </c>
      <c r="M741" t="s">
        <v>46</v>
      </c>
      <c r="N741" t="s">
        <v>141</v>
      </c>
      <c r="O741" t="s">
        <v>35</v>
      </c>
      <c r="P741" t="s">
        <v>111</v>
      </c>
      <c r="Q741" t="s">
        <v>142</v>
      </c>
      <c r="R741">
        <v>298</v>
      </c>
      <c r="S741">
        <v>2</v>
      </c>
      <c r="T741">
        <v>0</v>
      </c>
      <c r="U741" s="34" t="str">
        <f t="shared" si="70"/>
        <v>No Discount</v>
      </c>
      <c r="V741">
        <v>-33.27</v>
      </c>
      <c r="W741" s="29">
        <f t="shared" si="71"/>
        <v>-0.111644295302013</v>
      </c>
      <c r="X741">
        <v>31.42</v>
      </c>
      <c r="Y741" t="s">
        <v>62</v>
      </c>
      <c r="Z741" s="34" t="str">
        <f t="shared" si="72"/>
        <v>Small</v>
      </c>
    </row>
    <row r="742" spans="1:26">
      <c r="A742" t="s">
        <v>1604</v>
      </c>
      <c r="B742" s="44">
        <v>44065</v>
      </c>
      <c r="C742" s="34">
        <f t="shared" si="67"/>
        <v>2020</v>
      </c>
      <c r="D742" s="34">
        <f t="shared" si="68"/>
        <v>8</v>
      </c>
      <c r="E742" s="34" t="str">
        <f t="shared" si="69"/>
        <v>August</v>
      </c>
      <c r="F742" s="44">
        <v>44071</v>
      </c>
      <c r="G742" t="s">
        <v>139</v>
      </c>
      <c r="H742" t="s">
        <v>140</v>
      </c>
      <c r="I742" t="s">
        <v>29</v>
      </c>
      <c r="J742" t="s">
        <v>43</v>
      </c>
      <c r="K742" t="s">
        <v>84</v>
      </c>
      <c r="L742" t="s">
        <v>85</v>
      </c>
      <c r="M742" t="s">
        <v>33</v>
      </c>
      <c r="N742" t="s">
        <v>135</v>
      </c>
      <c r="O742" t="s">
        <v>67</v>
      </c>
      <c r="P742" t="s">
        <v>68</v>
      </c>
      <c r="Q742" t="s">
        <v>136</v>
      </c>
      <c r="R742">
        <v>1103.3</v>
      </c>
      <c r="S742">
        <v>2</v>
      </c>
      <c r="T742">
        <v>0.15</v>
      </c>
      <c r="U742" s="34" t="str">
        <f t="shared" si="70"/>
        <v>Medium</v>
      </c>
      <c r="V742">
        <v>99.78</v>
      </c>
      <c r="W742" s="29">
        <f t="shared" si="71"/>
        <v>0.0904377775763618</v>
      </c>
      <c r="X742">
        <v>35.16</v>
      </c>
      <c r="Y742" t="s">
        <v>62</v>
      </c>
      <c r="Z742" s="34" t="str">
        <f t="shared" si="72"/>
        <v>Medium</v>
      </c>
    </row>
    <row r="743" spans="1:26">
      <c r="A743" t="s">
        <v>1605</v>
      </c>
      <c r="B743" s="44">
        <v>45477</v>
      </c>
      <c r="C743" s="34">
        <f t="shared" si="67"/>
        <v>2024</v>
      </c>
      <c r="D743" s="34">
        <f t="shared" si="68"/>
        <v>7</v>
      </c>
      <c r="E743" s="34" t="str">
        <f t="shared" si="69"/>
        <v>July</v>
      </c>
      <c r="F743" s="44">
        <v>45483</v>
      </c>
      <c r="G743" t="s">
        <v>1523</v>
      </c>
      <c r="H743" t="s">
        <v>1524</v>
      </c>
      <c r="I743" t="s">
        <v>42</v>
      </c>
      <c r="J743" t="s">
        <v>43</v>
      </c>
      <c r="K743" t="s">
        <v>640</v>
      </c>
      <c r="L743" t="s">
        <v>863</v>
      </c>
      <c r="M743" t="s">
        <v>76</v>
      </c>
      <c r="N743" t="s">
        <v>135</v>
      </c>
      <c r="O743" t="s">
        <v>67</v>
      </c>
      <c r="P743" t="s">
        <v>68</v>
      </c>
      <c r="Q743" t="s">
        <v>136</v>
      </c>
      <c r="R743">
        <v>1460.25</v>
      </c>
      <c r="S743">
        <v>3</v>
      </c>
      <c r="T743">
        <v>0.25</v>
      </c>
      <c r="U743" s="34" t="str">
        <f t="shared" si="70"/>
        <v>High</v>
      </c>
      <c r="V743">
        <v>-81.14</v>
      </c>
      <c r="W743" s="29">
        <f t="shared" si="71"/>
        <v>-0.0555658277692176</v>
      </c>
      <c r="X743">
        <v>27.08</v>
      </c>
      <c r="Y743" t="s">
        <v>96</v>
      </c>
      <c r="Z743" s="34" t="str">
        <f t="shared" si="72"/>
        <v>Medium</v>
      </c>
    </row>
    <row r="744" spans="1:26">
      <c r="A744" t="s">
        <v>1606</v>
      </c>
      <c r="B744" s="44">
        <v>44838</v>
      </c>
      <c r="C744" s="34">
        <f t="shared" si="67"/>
        <v>2022</v>
      </c>
      <c r="D744" s="34">
        <f t="shared" si="68"/>
        <v>10</v>
      </c>
      <c r="E744" s="34" t="str">
        <f t="shared" si="69"/>
        <v>October</v>
      </c>
      <c r="F744" s="44">
        <v>44840</v>
      </c>
      <c r="G744" t="s">
        <v>27</v>
      </c>
      <c r="H744" t="s">
        <v>28</v>
      </c>
      <c r="I744" t="s">
        <v>29</v>
      </c>
      <c r="J744" t="s">
        <v>30</v>
      </c>
      <c r="K744" t="s">
        <v>31</v>
      </c>
      <c r="L744" t="s">
        <v>32</v>
      </c>
      <c r="M744" t="s">
        <v>33</v>
      </c>
      <c r="N744" t="s">
        <v>275</v>
      </c>
      <c r="O744" t="s">
        <v>67</v>
      </c>
      <c r="P744" t="s">
        <v>103</v>
      </c>
      <c r="Q744" t="s">
        <v>276</v>
      </c>
      <c r="R744">
        <v>711.55</v>
      </c>
      <c r="S744">
        <v>1</v>
      </c>
      <c r="T744">
        <v>0.05</v>
      </c>
      <c r="U744" s="34" t="str">
        <f t="shared" si="70"/>
        <v>Low</v>
      </c>
      <c r="V744">
        <v>175.01</v>
      </c>
      <c r="W744" s="29">
        <f t="shared" si="71"/>
        <v>0.245956011524137</v>
      </c>
      <c r="X744">
        <v>9.58</v>
      </c>
      <c r="Y744" t="s">
        <v>70</v>
      </c>
      <c r="Z744" s="34" t="str">
        <f t="shared" si="72"/>
        <v>Medium</v>
      </c>
    </row>
    <row r="745" spans="1:26">
      <c r="A745" t="s">
        <v>1607</v>
      </c>
      <c r="B745" s="44">
        <v>44352</v>
      </c>
      <c r="C745" s="34">
        <f t="shared" si="67"/>
        <v>2021</v>
      </c>
      <c r="D745" s="34">
        <f t="shared" si="68"/>
        <v>6</v>
      </c>
      <c r="E745" s="34" t="str">
        <f t="shared" si="69"/>
        <v>June</v>
      </c>
      <c r="F745" s="44">
        <v>44359</v>
      </c>
      <c r="G745" t="s">
        <v>173</v>
      </c>
      <c r="H745" t="s">
        <v>174</v>
      </c>
      <c r="I745" t="s">
        <v>55</v>
      </c>
      <c r="J745" t="s">
        <v>43</v>
      </c>
      <c r="K745" t="s">
        <v>175</v>
      </c>
      <c r="L745" t="s">
        <v>176</v>
      </c>
      <c r="M745" t="s">
        <v>46</v>
      </c>
      <c r="N745" t="s">
        <v>388</v>
      </c>
      <c r="O745" t="s">
        <v>48</v>
      </c>
      <c r="P745" t="s">
        <v>190</v>
      </c>
      <c r="Q745" t="s">
        <v>389</v>
      </c>
      <c r="R745">
        <v>84.55</v>
      </c>
      <c r="S745">
        <v>1</v>
      </c>
      <c r="T745">
        <v>0.05</v>
      </c>
      <c r="U745" s="34" t="str">
        <f t="shared" si="70"/>
        <v>Low</v>
      </c>
      <c r="V745">
        <v>3.38</v>
      </c>
      <c r="W745" s="29">
        <f t="shared" si="71"/>
        <v>0.0399763453577765</v>
      </c>
      <c r="X745">
        <v>31.02</v>
      </c>
      <c r="Y745" t="s">
        <v>38</v>
      </c>
      <c r="Z745" s="34" t="str">
        <f t="shared" si="72"/>
        <v>Small</v>
      </c>
    </row>
    <row r="746" spans="1:26">
      <c r="A746" t="s">
        <v>1608</v>
      </c>
      <c r="B746" s="44">
        <v>45046</v>
      </c>
      <c r="C746" s="34">
        <f t="shared" si="67"/>
        <v>2023</v>
      </c>
      <c r="D746" s="34">
        <f t="shared" si="68"/>
        <v>4</v>
      </c>
      <c r="E746" s="34" t="str">
        <f t="shared" si="69"/>
        <v>April</v>
      </c>
      <c r="F746" s="44">
        <v>45050</v>
      </c>
      <c r="G746" t="s">
        <v>564</v>
      </c>
      <c r="H746" t="s">
        <v>565</v>
      </c>
      <c r="I746" t="s">
        <v>29</v>
      </c>
      <c r="J746" t="s">
        <v>43</v>
      </c>
      <c r="K746" t="s">
        <v>199</v>
      </c>
      <c r="L746" t="s">
        <v>200</v>
      </c>
      <c r="M746" t="s">
        <v>46</v>
      </c>
      <c r="N746" t="s">
        <v>415</v>
      </c>
      <c r="O746" t="s">
        <v>67</v>
      </c>
      <c r="P746" t="s">
        <v>252</v>
      </c>
      <c r="Q746" t="s">
        <v>416</v>
      </c>
      <c r="R746">
        <v>638.4</v>
      </c>
      <c r="S746">
        <v>2</v>
      </c>
      <c r="T746">
        <v>0.2</v>
      </c>
      <c r="U746" s="34" t="str">
        <f t="shared" si="70"/>
        <v>Medium</v>
      </c>
      <c r="V746">
        <v>110.1</v>
      </c>
      <c r="W746" s="29">
        <f t="shared" si="71"/>
        <v>0.172462406015038</v>
      </c>
      <c r="X746">
        <v>16.03</v>
      </c>
      <c r="Y746" t="s">
        <v>121</v>
      </c>
      <c r="Z746" s="34" t="str">
        <f t="shared" si="72"/>
        <v>Medium</v>
      </c>
    </row>
    <row r="747" spans="1:26">
      <c r="A747" t="s">
        <v>1609</v>
      </c>
      <c r="B747" s="44">
        <v>44648</v>
      </c>
      <c r="C747" s="34">
        <f t="shared" si="67"/>
        <v>2022</v>
      </c>
      <c r="D747" s="34">
        <f t="shared" si="68"/>
        <v>3</v>
      </c>
      <c r="E747" s="34" t="str">
        <f t="shared" si="69"/>
        <v>March</v>
      </c>
      <c r="F747" s="44">
        <v>44651</v>
      </c>
      <c r="G747" t="s">
        <v>780</v>
      </c>
      <c r="H747" t="s">
        <v>41</v>
      </c>
      <c r="I747" t="s">
        <v>42</v>
      </c>
      <c r="J747" t="s">
        <v>43</v>
      </c>
      <c r="K747" t="s">
        <v>74</v>
      </c>
      <c r="L747" t="s">
        <v>613</v>
      </c>
      <c r="M747" t="s">
        <v>76</v>
      </c>
      <c r="N747" t="s">
        <v>868</v>
      </c>
      <c r="O747" t="s">
        <v>48</v>
      </c>
      <c r="P747" t="s">
        <v>190</v>
      </c>
      <c r="Q747" t="s">
        <v>869</v>
      </c>
      <c r="R747">
        <v>119.2</v>
      </c>
      <c r="S747">
        <v>1</v>
      </c>
      <c r="T747">
        <v>0.2</v>
      </c>
      <c r="U747" s="34" t="str">
        <f t="shared" si="70"/>
        <v>Medium</v>
      </c>
      <c r="V747">
        <v>15.57</v>
      </c>
      <c r="W747" s="29">
        <f t="shared" si="71"/>
        <v>0.130620805369128</v>
      </c>
      <c r="X747">
        <v>27.58</v>
      </c>
      <c r="Y747" t="s">
        <v>51</v>
      </c>
      <c r="Z747" s="34" t="str">
        <f t="shared" si="72"/>
        <v>Small</v>
      </c>
    </row>
    <row r="748" spans="1:26">
      <c r="A748" t="s">
        <v>1610</v>
      </c>
      <c r="B748" s="44">
        <v>45588</v>
      </c>
      <c r="C748" s="34">
        <f t="shared" si="67"/>
        <v>2024</v>
      </c>
      <c r="D748" s="34">
        <f t="shared" si="68"/>
        <v>10</v>
      </c>
      <c r="E748" s="34" t="str">
        <f t="shared" si="69"/>
        <v>October</v>
      </c>
      <c r="F748" s="44">
        <v>45594</v>
      </c>
      <c r="G748" t="s">
        <v>477</v>
      </c>
      <c r="H748" t="s">
        <v>478</v>
      </c>
      <c r="I748" t="s">
        <v>55</v>
      </c>
      <c r="J748" t="s">
        <v>43</v>
      </c>
      <c r="K748" t="s">
        <v>84</v>
      </c>
      <c r="L748" t="s">
        <v>366</v>
      </c>
      <c r="M748" t="s">
        <v>33</v>
      </c>
      <c r="N748" t="s">
        <v>162</v>
      </c>
      <c r="O748" t="s">
        <v>35</v>
      </c>
      <c r="P748" t="s">
        <v>163</v>
      </c>
      <c r="Q748" t="s">
        <v>164</v>
      </c>
      <c r="R748">
        <v>521.55</v>
      </c>
      <c r="S748">
        <v>1</v>
      </c>
      <c r="T748">
        <v>0.05</v>
      </c>
      <c r="U748" s="34" t="str">
        <f t="shared" si="70"/>
        <v>Low</v>
      </c>
      <c r="V748">
        <v>48.84</v>
      </c>
      <c r="W748" s="29">
        <f t="shared" si="71"/>
        <v>0.0936439459303998</v>
      </c>
      <c r="X748">
        <v>11.05</v>
      </c>
      <c r="Y748" t="s">
        <v>70</v>
      </c>
      <c r="Z748" s="34" t="str">
        <f t="shared" si="72"/>
        <v>Medium</v>
      </c>
    </row>
    <row r="749" spans="1:26">
      <c r="A749" t="s">
        <v>1611</v>
      </c>
      <c r="B749" s="44">
        <v>44845</v>
      </c>
      <c r="C749" s="34">
        <f t="shared" si="67"/>
        <v>2022</v>
      </c>
      <c r="D749" s="34">
        <f t="shared" si="68"/>
        <v>10</v>
      </c>
      <c r="E749" s="34" t="str">
        <f t="shared" si="69"/>
        <v>October</v>
      </c>
      <c r="F749" s="44">
        <v>44849</v>
      </c>
      <c r="G749" t="s">
        <v>1612</v>
      </c>
      <c r="H749" t="s">
        <v>1613</v>
      </c>
      <c r="I749" t="s">
        <v>42</v>
      </c>
      <c r="J749" t="s">
        <v>43</v>
      </c>
      <c r="K749" t="s">
        <v>44</v>
      </c>
      <c r="L749" t="s">
        <v>195</v>
      </c>
      <c r="M749" t="s">
        <v>46</v>
      </c>
      <c r="N749" t="s">
        <v>339</v>
      </c>
      <c r="O749" t="s">
        <v>35</v>
      </c>
      <c r="P749" t="s">
        <v>78</v>
      </c>
      <c r="Q749" t="s">
        <v>340</v>
      </c>
      <c r="R749">
        <v>389.3</v>
      </c>
      <c r="S749">
        <v>2</v>
      </c>
      <c r="T749">
        <v>0.15</v>
      </c>
      <c r="U749" s="34" t="str">
        <f t="shared" si="70"/>
        <v>Medium</v>
      </c>
      <c r="V749">
        <v>-34.06</v>
      </c>
      <c r="W749" s="29">
        <f t="shared" si="71"/>
        <v>-0.0874903673259697</v>
      </c>
      <c r="X749">
        <v>48.64</v>
      </c>
      <c r="Y749" t="s">
        <v>121</v>
      </c>
      <c r="Z749" s="34" t="str">
        <f t="shared" si="72"/>
        <v>Small</v>
      </c>
    </row>
    <row r="750" spans="1:26">
      <c r="A750" t="s">
        <v>1614</v>
      </c>
      <c r="B750" s="44">
        <v>45148</v>
      </c>
      <c r="C750" s="34">
        <f t="shared" si="67"/>
        <v>2023</v>
      </c>
      <c r="D750" s="34">
        <f t="shared" si="68"/>
        <v>8</v>
      </c>
      <c r="E750" s="34" t="str">
        <f t="shared" si="69"/>
        <v>August</v>
      </c>
      <c r="F750" s="44">
        <v>45151</v>
      </c>
      <c r="G750" t="s">
        <v>1245</v>
      </c>
      <c r="H750" t="s">
        <v>1246</v>
      </c>
      <c r="I750" t="s">
        <v>42</v>
      </c>
      <c r="J750" t="s">
        <v>43</v>
      </c>
      <c r="K750" t="s">
        <v>31</v>
      </c>
      <c r="L750" t="s">
        <v>32</v>
      </c>
      <c r="M750" t="s">
        <v>33</v>
      </c>
      <c r="N750" t="s">
        <v>500</v>
      </c>
      <c r="O750" t="s">
        <v>67</v>
      </c>
      <c r="P750" t="s">
        <v>68</v>
      </c>
      <c r="Q750" t="s">
        <v>501</v>
      </c>
      <c r="R750">
        <v>1098</v>
      </c>
      <c r="S750">
        <v>2</v>
      </c>
      <c r="T750">
        <v>0</v>
      </c>
      <c r="U750" s="34" t="str">
        <f t="shared" si="70"/>
        <v>No Discount</v>
      </c>
      <c r="V750">
        <v>-58.92</v>
      </c>
      <c r="W750" s="29">
        <f t="shared" si="71"/>
        <v>-0.0536612021857924</v>
      </c>
      <c r="X750">
        <v>13.41</v>
      </c>
      <c r="Y750" t="s">
        <v>137</v>
      </c>
      <c r="Z750" s="34" t="str">
        <f t="shared" si="72"/>
        <v>Medium</v>
      </c>
    </row>
    <row r="751" spans="1:26">
      <c r="A751" t="s">
        <v>1615</v>
      </c>
      <c r="B751" s="44">
        <v>45305</v>
      </c>
      <c r="C751" s="34">
        <f t="shared" si="67"/>
        <v>2024</v>
      </c>
      <c r="D751" s="34">
        <f t="shared" si="68"/>
        <v>1</v>
      </c>
      <c r="E751" s="34" t="str">
        <f t="shared" si="69"/>
        <v>January</v>
      </c>
      <c r="F751" s="44">
        <v>45310</v>
      </c>
      <c r="G751" t="s">
        <v>1100</v>
      </c>
      <c r="H751" t="s">
        <v>261</v>
      </c>
      <c r="I751" t="s">
        <v>42</v>
      </c>
      <c r="J751" t="s">
        <v>43</v>
      </c>
      <c r="K751" t="s">
        <v>175</v>
      </c>
      <c r="L751" t="s">
        <v>176</v>
      </c>
      <c r="M751" t="s">
        <v>46</v>
      </c>
      <c r="N751" t="s">
        <v>505</v>
      </c>
      <c r="O751" t="s">
        <v>67</v>
      </c>
      <c r="P751" t="s">
        <v>119</v>
      </c>
      <c r="Q751" t="s">
        <v>506</v>
      </c>
      <c r="R751">
        <v>1948.5</v>
      </c>
      <c r="S751">
        <v>2</v>
      </c>
      <c r="T751">
        <v>0.25</v>
      </c>
      <c r="U751" s="34" t="str">
        <f t="shared" si="70"/>
        <v>High</v>
      </c>
      <c r="V751">
        <v>227.07</v>
      </c>
      <c r="W751" s="29">
        <f t="shared" si="71"/>
        <v>0.116535796766744</v>
      </c>
      <c r="X751">
        <v>22.49</v>
      </c>
      <c r="Y751" t="s">
        <v>96</v>
      </c>
      <c r="Z751" s="34" t="str">
        <f t="shared" si="72"/>
        <v>Medium</v>
      </c>
    </row>
    <row r="752" spans="1:26">
      <c r="A752" t="s">
        <v>1616</v>
      </c>
      <c r="B752" s="44">
        <v>45320</v>
      </c>
      <c r="C752" s="34">
        <f t="shared" si="67"/>
        <v>2024</v>
      </c>
      <c r="D752" s="34">
        <f t="shared" si="68"/>
        <v>1</v>
      </c>
      <c r="E752" s="34" t="str">
        <f t="shared" si="69"/>
        <v>January</v>
      </c>
      <c r="F752" s="44">
        <v>45321</v>
      </c>
      <c r="G752" t="s">
        <v>597</v>
      </c>
      <c r="H752" t="s">
        <v>598</v>
      </c>
      <c r="I752" t="s">
        <v>29</v>
      </c>
      <c r="J752" t="s">
        <v>30</v>
      </c>
      <c r="K752" t="s">
        <v>199</v>
      </c>
      <c r="L752" t="s">
        <v>396</v>
      </c>
      <c r="M752" t="s">
        <v>46</v>
      </c>
      <c r="N752" t="s">
        <v>223</v>
      </c>
      <c r="O752" t="s">
        <v>48</v>
      </c>
      <c r="P752" t="s">
        <v>60</v>
      </c>
      <c r="Q752" t="s">
        <v>224</v>
      </c>
      <c r="R752">
        <v>356</v>
      </c>
      <c r="S752">
        <v>4</v>
      </c>
      <c r="T752">
        <v>0</v>
      </c>
      <c r="U752" s="34" t="str">
        <f t="shared" si="70"/>
        <v>No Discount</v>
      </c>
      <c r="V752">
        <v>-32.24</v>
      </c>
      <c r="W752" s="29">
        <f t="shared" si="71"/>
        <v>-0.090561797752809</v>
      </c>
      <c r="X752">
        <v>12.53</v>
      </c>
      <c r="Y752" t="s">
        <v>70</v>
      </c>
      <c r="Z752" s="34" t="str">
        <f t="shared" si="72"/>
        <v>Small</v>
      </c>
    </row>
    <row r="753" spans="1:26">
      <c r="A753" t="s">
        <v>1617</v>
      </c>
      <c r="B753" s="44">
        <v>44034</v>
      </c>
      <c r="C753" s="34">
        <f t="shared" si="67"/>
        <v>2020</v>
      </c>
      <c r="D753" s="34">
        <f t="shared" si="68"/>
        <v>7</v>
      </c>
      <c r="E753" s="34" t="str">
        <f t="shared" si="69"/>
        <v>July</v>
      </c>
      <c r="F753" s="44">
        <v>44040</v>
      </c>
      <c r="G753" t="s">
        <v>385</v>
      </c>
      <c r="H753" t="s">
        <v>386</v>
      </c>
      <c r="I753" t="s">
        <v>29</v>
      </c>
      <c r="J753" t="s">
        <v>43</v>
      </c>
      <c r="K753" t="s">
        <v>74</v>
      </c>
      <c r="L753" t="s">
        <v>387</v>
      </c>
      <c r="M753" t="s">
        <v>76</v>
      </c>
      <c r="N753" t="s">
        <v>505</v>
      </c>
      <c r="O753" t="s">
        <v>67</v>
      </c>
      <c r="P753" t="s">
        <v>119</v>
      </c>
      <c r="Q753" t="s">
        <v>506</v>
      </c>
      <c r="R753">
        <v>1299</v>
      </c>
      <c r="S753">
        <v>1</v>
      </c>
      <c r="T753">
        <v>0</v>
      </c>
      <c r="U753" s="34" t="str">
        <f t="shared" si="70"/>
        <v>No Discount</v>
      </c>
      <c r="V753">
        <v>186.62</v>
      </c>
      <c r="W753" s="29">
        <f t="shared" si="71"/>
        <v>0.143664357197845</v>
      </c>
      <c r="X753">
        <v>27.42</v>
      </c>
      <c r="Y753" t="s">
        <v>51</v>
      </c>
      <c r="Z753" s="34" t="str">
        <f t="shared" si="72"/>
        <v>Medium</v>
      </c>
    </row>
    <row r="754" spans="1:26">
      <c r="A754" t="s">
        <v>1618</v>
      </c>
      <c r="B754" s="44">
        <v>45176</v>
      </c>
      <c r="C754" s="34">
        <f t="shared" si="67"/>
        <v>2023</v>
      </c>
      <c r="D754" s="34">
        <f t="shared" si="68"/>
        <v>9</v>
      </c>
      <c r="E754" s="34" t="str">
        <f t="shared" si="69"/>
        <v>September</v>
      </c>
      <c r="F754" s="44">
        <v>45178</v>
      </c>
      <c r="G754" t="s">
        <v>898</v>
      </c>
      <c r="H754" t="s">
        <v>899</v>
      </c>
      <c r="I754" t="s">
        <v>29</v>
      </c>
      <c r="J754" t="s">
        <v>43</v>
      </c>
      <c r="K754" t="s">
        <v>349</v>
      </c>
      <c r="L754" t="s">
        <v>892</v>
      </c>
      <c r="M754" t="s">
        <v>33</v>
      </c>
      <c r="N754" t="s">
        <v>500</v>
      </c>
      <c r="O754" t="s">
        <v>67</v>
      </c>
      <c r="P754" t="s">
        <v>68</v>
      </c>
      <c r="Q754" t="s">
        <v>501</v>
      </c>
      <c r="R754">
        <v>2196</v>
      </c>
      <c r="S754">
        <v>4</v>
      </c>
      <c r="T754">
        <v>0</v>
      </c>
      <c r="U754" s="34" t="str">
        <f t="shared" si="70"/>
        <v>No Discount</v>
      </c>
      <c r="V754">
        <v>541.14</v>
      </c>
      <c r="W754" s="29">
        <f t="shared" si="71"/>
        <v>0.246420765027322</v>
      </c>
      <c r="X754">
        <v>26.19</v>
      </c>
      <c r="Y754" t="s">
        <v>51</v>
      </c>
      <c r="Z754" s="34" t="str">
        <f t="shared" si="72"/>
        <v>Large</v>
      </c>
    </row>
    <row r="755" spans="1:26">
      <c r="A755" t="s">
        <v>1619</v>
      </c>
      <c r="B755" s="44">
        <v>45256</v>
      </c>
      <c r="C755" s="34">
        <f t="shared" si="67"/>
        <v>2023</v>
      </c>
      <c r="D755" s="34">
        <f t="shared" si="68"/>
        <v>11</v>
      </c>
      <c r="E755" s="34" t="str">
        <f t="shared" si="69"/>
        <v>November</v>
      </c>
      <c r="F755" s="44">
        <v>45261</v>
      </c>
      <c r="G755" t="s">
        <v>681</v>
      </c>
      <c r="H755" t="s">
        <v>682</v>
      </c>
      <c r="I755" t="s">
        <v>55</v>
      </c>
      <c r="J755" t="s">
        <v>43</v>
      </c>
      <c r="K755" t="s">
        <v>187</v>
      </c>
      <c r="L755" t="s">
        <v>662</v>
      </c>
      <c r="M755" t="s">
        <v>33</v>
      </c>
      <c r="N755" t="s">
        <v>155</v>
      </c>
      <c r="O755" t="s">
        <v>67</v>
      </c>
      <c r="P755" t="s">
        <v>119</v>
      </c>
      <c r="Q755" t="s">
        <v>156</v>
      </c>
      <c r="R755">
        <v>1358.4</v>
      </c>
      <c r="S755">
        <v>2</v>
      </c>
      <c r="T755">
        <v>0.2</v>
      </c>
      <c r="U755" s="34" t="str">
        <f t="shared" si="70"/>
        <v>Medium</v>
      </c>
      <c r="V755">
        <v>128.76</v>
      </c>
      <c r="W755" s="29">
        <f t="shared" si="71"/>
        <v>0.0947879858657244</v>
      </c>
      <c r="X755">
        <v>23.61</v>
      </c>
      <c r="Y755" t="s">
        <v>80</v>
      </c>
      <c r="Z755" s="34" t="str">
        <f t="shared" si="72"/>
        <v>Medium</v>
      </c>
    </row>
    <row r="756" spans="1:26">
      <c r="A756" t="s">
        <v>1620</v>
      </c>
      <c r="B756" s="44">
        <v>44127</v>
      </c>
      <c r="C756" s="34">
        <f t="shared" si="67"/>
        <v>2020</v>
      </c>
      <c r="D756" s="34">
        <f t="shared" si="68"/>
        <v>10</v>
      </c>
      <c r="E756" s="34" t="str">
        <f t="shared" si="69"/>
        <v>October</v>
      </c>
      <c r="F756" s="44">
        <v>44129</v>
      </c>
      <c r="G756" t="s">
        <v>450</v>
      </c>
      <c r="H756" t="s">
        <v>451</v>
      </c>
      <c r="I756" t="s">
        <v>42</v>
      </c>
      <c r="J756" t="s">
        <v>43</v>
      </c>
      <c r="K756" t="s">
        <v>199</v>
      </c>
      <c r="L756" t="s">
        <v>396</v>
      </c>
      <c r="M756" t="s">
        <v>46</v>
      </c>
      <c r="N756" t="s">
        <v>684</v>
      </c>
      <c r="O756" t="s">
        <v>48</v>
      </c>
      <c r="P756" t="s">
        <v>60</v>
      </c>
      <c r="Q756" t="s">
        <v>685</v>
      </c>
      <c r="R756">
        <v>150.1</v>
      </c>
      <c r="S756">
        <v>2</v>
      </c>
      <c r="T756">
        <v>0.05</v>
      </c>
      <c r="U756" s="34" t="str">
        <f t="shared" si="70"/>
        <v>Low</v>
      </c>
      <c r="V756">
        <v>11.09</v>
      </c>
      <c r="W756" s="29">
        <f t="shared" si="71"/>
        <v>0.0738840772818121</v>
      </c>
      <c r="X756">
        <v>38.09</v>
      </c>
      <c r="Y756" t="s">
        <v>70</v>
      </c>
      <c r="Z756" s="34" t="str">
        <f t="shared" si="72"/>
        <v>Small</v>
      </c>
    </row>
    <row r="757" spans="1:26">
      <c r="A757" t="s">
        <v>1621</v>
      </c>
      <c r="B757" s="44">
        <v>44125</v>
      </c>
      <c r="C757" s="34">
        <f t="shared" si="67"/>
        <v>2020</v>
      </c>
      <c r="D757" s="34">
        <f t="shared" si="68"/>
        <v>10</v>
      </c>
      <c r="E757" s="34" t="str">
        <f t="shared" si="69"/>
        <v>October</v>
      </c>
      <c r="F757" s="44">
        <v>44130</v>
      </c>
      <c r="G757" t="s">
        <v>267</v>
      </c>
      <c r="H757" t="s">
        <v>268</v>
      </c>
      <c r="I757" t="s">
        <v>42</v>
      </c>
      <c r="J757" t="s">
        <v>43</v>
      </c>
      <c r="K757" t="s">
        <v>92</v>
      </c>
      <c r="L757" t="s">
        <v>269</v>
      </c>
      <c r="M757" t="s">
        <v>76</v>
      </c>
      <c r="N757" t="s">
        <v>409</v>
      </c>
      <c r="O757" t="s">
        <v>48</v>
      </c>
      <c r="P757" t="s">
        <v>60</v>
      </c>
      <c r="Q757" t="s">
        <v>410</v>
      </c>
      <c r="R757">
        <v>148.2</v>
      </c>
      <c r="S757">
        <v>4</v>
      </c>
      <c r="T757">
        <v>0.05</v>
      </c>
      <c r="U757" s="34" t="str">
        <f t="shared" si="70"/>
        <v>Low</v>
      </c>
      <c r="V757">
        <v>16.89</v>
      </c>
      <c r="W757" s="29">
        <f t="shared" si="71"/>
        <v>0.113967611336032</v>
      </c>
      <c r="X757">
        <v>32.63</v>
      </c>
      <c r="Y757" t="s">
        <v>62</v>
      </c>
      <c r="Z757" s="34" t="str">
        <f t="shared" si="72"/>
        <v>Small</v>
      </c>
    </row>
    <row r="758" spans="1:26">
      <c r="A758" t="s">
        <v>1622</v>
      </c>
      <c r="B758" s="44">
        <v>45096</v>
      </c>
      <c r="C758" s="34">
        <f t="shared" si="67"/>
        <v>2023</v>
      </c>
      <c r="D758" s="34">
        <f t="shared" si="68"/>
        <v>6</v>
      </c>
      <c r="E758" s="34" t="str">
        <f t="shared" si="69"/>
        <v>June</v>
      </c>
      <c r="F758" s="44">
        <v>45103</v>
      </c>
      <c r="G758" t="s">
        <v>1623</v>
      </c>
      <c r="H758" t="s">
        <v>1624</v>
      </c>
      <c r="I758" t="s">
        <v>42</v>
      </c>
      <c r="J758" t="s">
        <v>43</v>
      </c>
      <c r="K758" t="s">
        <v>74</v>
      </c>
      <c r="L758" t="s">
        <v>75</v>
      </c>
      <c r="M758" t="s">
        <v>76</v>
      </c>
      <c r="N758" t="s">
        <v>388</v>
      </c>
      <c r="O758" t="s">
        <v>48</v>
      </c>
      <c r="P758" t="s">
        <v>190</v>
      </c>
      <c r="Q758" t="s">
        <v>389</v>
      </c>
      <c r="R758">
        <v>356</v>
      </c>
      <c r="S758">
        <v>4</v>
      </c>
      <c r="T758">
        <v>0</v>
      </c>
      <c r="U758" s="34" t="str">
        <f t="shared" si="70"/>
        <v>No Discount</v>
      </c>
      <c r="V758">
        <v>29.3</v>
      </c>
      <c r="W758" s="29">
        <f t="shared" si="71"/>
        <v>0.0823033707865169</v>
      </c>
      <c r="X758">
        <v>21.01</v>
      </c>
      <c r="Y758" t="s">
        <v>70</v>
      </c>
      <c r="Z758" s="34" t="str">
        <f t="shared" si="72"/>
        <v>Small</v>
      </c>
    </row>
    <row r="759" spans="1:26">
      <c r="A759" t="s">
        <v>1625</v>
      </c>
      <c r="B759" s="44">
        <v>45291</v>
      </c>
      <c r="C759" s="34">
        <f t="shared" si="67"/>
        <v>2023</v>
      </c>
      <c r="D759" s="34">
        <f t="shared" si="68"/>
        <v>12</v>
      </c>
      <c r="E759" s="34" t="str">
        <f t="shared" si="69"/>
        <v>December</v>
      </c>
      <c r="F759" s="44">
        <v>45292</v>
      </c>
      <c r="G759" t="s">
        <v>1463</v>
      </c>
      <c r="H759" t="s">
        <v>1464</v>
      </c>
      <c r="I759" t="s">
        <v>55</v>
      </c>
      <c r="J759" t="s">
        <v>43</v>
      </c>
      <c r="K759" t="s">
        <v>640</v>
      </c>
      <c r="L759" t="s">
        <v>1465</v>
      </c>
      <c r="M759" t="s">
        <v>76</v>
      </c>
      <c r="N759" t="s">
        <v>500</v>
      </c>
      <c r="O759" t="s">
        <v>67</v>
      </c>
      <c r="P759" t="s">
        <v>68</v>
      </c>
      <c r="Q759" t="s">
        <v>501</v>
      </c>
      <c r="R759">
        <v>2607.75</v>
      </c>
      <c r="S759">
        <v>5</v>
      </c>
      <c r="T759">
        <v>0.05</v>
      </c>
      <c r="U759" s="34" t="str">
        <f t="shared" si="70"/>
        <v>Low</v>
      </c>
      <c r="V759">
        <v>507.84</v>
      </c>
      <c r="W759" s="29">
        <f t="shared" si="71"/>
        <v>0.194742594190394</v>
      </c>
      <c r="X759">
        <v>45.7</v>
      </c>
      <c r="Y759" t="s">
        <v>96</v>
      </c>
      <c r="Z759" s="34" t="str">
        <f t="shared" si="72"/>
        <v>Large</v>
      </c>
    </row>
    <row r="760" spans="1:26">
      <c r="A760" t="s">
        <v>1626</v>
      </c>
      <c r="B760" s="44">
        <v>44516</v>
      </c>
      <c r="C760" s="34">
        <f t="shared" si="67"/>
        <v>2021</v>
      </c>
      <c r="D760" s="34">
        <f t="shared" si="68"/>
        <v>11</v>
      </c>
      <c r="E760" s="34" t="str">
        <f t="shared" si="69"/>
        <v>November</v>
      </c>
      <c r="F760" s="44">
        <v>44520</v>
      </c>
      <c r="G760" t="s">
        <v>1377</v>
      </c>
      <c r="H760" t="s">
        <v>1378</v>
      </c>
      <c r="I760" t="s">
        <v>55</v>
      </c>
      <c r="J760" t="s">
        <v>43</v>
      </c>
      <c r="K760" t="s">
        <v>257</v>
      </c>
      <c r="L760" t="s">
        <v>1379</v>
      </c>
      <c r="M760" t="s">
        <v>76</v>
      </c>
      <c r="N760" t="s">
        <v>500</v>
      </c>
      <c r="O760" t="s">
        <v>67</v>
      </c>
      <c r="P760" t="s">
        <v>68</v>
      </c>
      <c r="Q760" t="s">
        <v>501</v>
      </c>
      <c r="R760">
        <v>768.6</v>
      </c>
      <c r="S760">
        <v>2</v>
      </c>
      <c r="T760">
        <v>0.3</v>
      </c>
      <c r="U760" s="34" t="str">
        <f t="shared" si="70"/>
        <v>High</v>
      </c>
      <c r="V760">
        <v>177.26</v>
      </c>
      <c r="W760" s="29">
        <f t="shared" si="71"/>
        <v>0.230627114233672</v>
      </c>
      <c r="X760">
        <v>49.64</v>
      </c>
      <c r="Y760" t="s">
        <v>121</v>
      </c>
      <c r="Z760" s="34" t="str">
        <f t="shared" si="72"/>
        <v>Medium</v>
      </c>
    </row>
    <row r="761" spans="1:26">
      <c r="A761" t="s">
        <v>1627</v>
      </c>
      <c r="B761" s="44">
        <v>45267</v>
      </c>
      <c r="C761" s="34">
        <f t="shared" si="67"/>
        <v>2023</v>
      </c>
      <c r="D761" s="34">
        <f t="shared" si="68"/>
        <v>12</v>
      </c>
      <c r="E761" s="34" t="str">
        <f t="shared" si="69"/>
        <v>December</v>
      </c>
      <c r="F761" s="44">
        <v>45274</v>
      </c>
      <c r="G761" t="s">
        <v>789</v>
      </c>
      <c r="H761" t="s">
        <v>790</v>
      </c>
      <c r="I761" t="s">
        <v>55</v>
      </c>
      <c r="J761" t="s">
        <v>43</v>
      </c>
      <c r="K761" t="s">
        <v>100</v>
      </c>
      <c r="L761" t="s">
        <v>420</v>
      </c>
      <c r="M761" t="s">
        <v>33</v>
      </c>
      <c r="N761" t="s">
        <v>286</v>
      </c>
      <c r="O761" t="s">
        <v>35</v>
      </c>
      <c r="P761" t="s">
        <v>202</v>
      </c>
      <c r="Q761" t="s">
        <v>287</v>
      </c>
      <c r="R761">
        <v>298</v>
      </c>
      <c r="S761">
        <v>2</v>
      </c>
      <c r="T761">
        <v>0</v>
      </c>
      <c r="U761" s="34" t="str">
        <f t="shared" si="70"/>
        <v>No Discount</v>
      </c>
      <c r="V761">
        <v>-30.75</v>
      </c>
      <c r="W761" s="29">
        <f t="shared" si="71"/>
        <v>-0.103187919463087</v>
      </c>
      <c r="X761">
        <v>23.05</v>
      </c>
      <c r="Y761" t="s">
        <v>96</v>
      </c>
      <c r="Z761" s="34" t="str">
        <f t="shared" si="72"/>
        <v>Small</v>
      </c>
    </row>
    <row r="762" spans="1:26">
      <c r="A762" t="s">
        <v>1628</v>
      </c>
      <c r="B762" s="44">
        <v>45153</v>
      </c>
      <c r="C762" s="34">
        <f t="shared" si="67"/>
        <v>2023</v>
      </c>
      <c r="D762" s="34">
        <f t="shared" si="68"/>
        <v>8</v>
      </c>
      <c r="E762" s="34" t="str">
        <f t="shared" si="69"/>
        <v>August</v>
      </c>
      <c r="F762" s="44">
        <v>45154</v>
      </c>
      <c r="G762" t="s">
        <v>255</v>
      </c>
      <c r="H762" t="s">
        <v>256</v>
      </c>
      <c r="I762" t="s">
        <v>29</v>
      </c>
      <c r="J762" t="s">
        <v>43</v>
      </c>
      <c r="K762" t="s">
        <v>257</v>
      </c>
      <c r="L762" t="s">
        <v>258</v>
      </c>
      <c r="M762" t="s">
        <v>76</v>
      </c>
      <c r="N762" t="s">
        <v>59</v>
      </c>
      <c r="O762" t="s">
        <v>48</v>
      </c>
      <c r="P762" t="s">
        <v>60</v>
      </c>
      <c r="Q762" t="s">
        <v>61</v>
      </c>
      <c r="R762">
        <v>261</v>
      </c>
      <c r="S762">
        <v>2</v>
      </c>
      <c r="T762">
        <v>0.25</v>
      </c>
      <c r="U762" s="34" t="str">
        <f t="shared" si="70"/>
        <v>High</v>
      </c>
      <c r="V762">
        <v>-25.23</v>
      </c>
      <c r="W762" s="29">
        <f t="shared" si="71"/>
        <v>-0.0966666666666667</v>
      </c>
      <c r="X762">
        <v>14.51</v>
      </c>
      <c r="Y762" t="s">
        <v>62</v>
      </c>
      <c r="Z762" s="34" t="str">
        <f t="shared" si="72"/>
        <v>Small</v>
      </c>
    </row>
    <row r="763" spans="1:26">
      <c r="A763" t="s">
        <v>1629</v>
      </c>
      <c r="B763" s="44">
        <v>45533</v>
      </c>
      <c r="C763" s="34">
        <f t="shared" si="67"/>
        <v>2024</v>
      </c>
      <c r="D763" s="34">
        <f t="shared" si="68"/>
        <v>8</v>
      </c>
      <c r="E763" s="34" t="str">
        <f t="shared" si="69"/>
        <v>August</v>
      </c>
      <c r="F763" s="44">
        <v>45538</v>
      </c>
      <c r="G763" t="s">
        <v>178</v>
      </c>
      <c r="H763" t="s">
        <v>179</v>
      </c>
      <c r="I763" t="s">
        <v>29</v>
      </c>
      <c r="J763" t="s">
        <v>43</v>
      </c>
      <c r="K763" t="s">
        <v>180</v>
      </c>
      <c r="L763" t="s">
        <v>181</v>
      </c>
      <c r="M763" t="s">
        <v>46</v>
      </c>
      <c r="N763" t="s">
        <v>223</v>
      </c>
      <c r="O763" t="s">
        <v>48</v>
      </c>
      <c r="P763" t="s">
        <v>60</v>
      </c>
      <c r="Q763" t="s">
        <v>224</v>
      </c>
      <c r="R763">
        <v>226.95</v>
      </c>
      <c r="S763">
        <v>3</v>
      </c>
      <c r="T763">
        <v>0.15</v>
      </c>
      <c r="U763" s="34" t="str">
        <f t="shared" si="70"/>
        <v>Medium</v>
      </c>
      <c r="V763">
        <v>26.8</v>
      </c>
      <c r="W763" s="29">
        <f t="shared" si="71"/>
        <v>0.118087684512007</v>
      </c>
      <c r="X763">
        <v>24.13</v>
      </c>
      <c r="Y763" t="s">
        <v>96</v>
      </c>
      <c r="Z763" s="34" t="str">
        <f t="shared" si="72"/>
        <v>Small</v>
      </c>
    </row>
    <row r="764" spans="1:26">
      <c r="A764" t="s">
        <v>1630</v>
      </c>
      <c r="B764" s="44">
        <v>44227</v>
      </c>
      <c r="C764" s="34">
        <f t="shared" si="67"/>
        <v>2021</v>
      </c>
      <c r="D764" s="34">
        <f t="shared" si="68"/>
        <v>1</v>
      </c>
      <c r="E764" s="34" t="str">
        <f t="shared" si="69"/>
        <v>January</v>
      </c>
      <c r="F764" s="44">
        <v>44228</v>
      </c>
      <c r="G764" t="s">
        <v>1631</v>
      </c>
      <c r="H764" t="s">
        <v>1632</v>
      </c>
      <c r="I764" t="s">
        <v>55</v>
      </c>
      <c r="J764" t="s">
        <v>43</v>
      </c>
      <c r="K764" t="s">
        <v>44</v>
      </c>
      <c r="L764" t="s">
        <v>439</v>
      </c>
      <c r="M764" t="s">
        <v>46</v>
      </c>
      <c r="N764" t="s">
        <v>170</v>
      </c>
      <c r="O764" t="s">
        <v>48</v>
      </c>
      <c r="P764" t="s">
        <v>49</v>
      </c>
      <c r="Q764" t="s">
        <v>171</v>
      </c>
      <c r="R764">
        <v>149</v>
      </c>
      <c r="S764">
        <v>1</v>
      </c>
      <c r="T764">
        <v>0</v>
      </c>
      <c r="U764" s="34" t="str">
        <f t="shared" si="70"/>
        <v>No Discount</v>
      </c>
      <c r="V764">
        <v>19.04</v>
      </c>
      <c r="W764" s="29">
        <f t="shared" si="71"/>
        <v>0.127785234899329</v>
      </c>
      <c r="X764">
        <v>25.92</v>
      </c>
      <c r="Y764" t="s">
        <v>121</v>
      </c>
      <c r="Z764" s="34" t="str">
        <f t="shared" si="72"/>
        <v>Small</v>
      </c>
    </row>
    <row r="765" spans="1:26">
      <c r="A765" t="s">
        <v>1633</v>
      </c>
      <c r="B765" s="44">
        <v>44400</v>
      </c>
      <c r="C765" s="34">
        <f t="shared" si="67"/>
        <v>2021</v>
      </c>
      <c r="D765" s="34">
        <f t="shared" si="68"/>
        <v>7</v>
      </c>
      <c r="E765" s="34" t="str">
        <f t="shared" si="69"/>
        <v>July</v>
      </c>
      <c r="F765" s="44">
        <v>44401</v>
      </c>
      <c r="G765" t="s">
        <v>677</v>
      </c>
      <c r="H765" t="s">
        <v>678</v>
      </c>
      <c r="I765" t="s">
        <v>55</v>
      </c>
      <c r="J765" t="s">
        <v>43</v>
      </c>
      <c r="K765" t="s">
        <v>284</v>
      </c>
      <c r="L765" t="s">
        <v>285</v>
      </c>
      <c r="M765" t="s">
        <v>76</v>
      </c>
      <c r="N765" t="s">
        <v>286</v>
      </c>
      <c r="O765" t="s">
        <v>35</v>
      </c>
      <c r="P765" t="s">
        <v>202</v>
      </c>
      <c r="Q765" t="s">
        <v>287</v>
      </c>
      <c r="R765">
        <v>707.75</v>
      </c>
      <c r="S765">
        <v>5</v>
      </c>
      <c r="T765">
        <v>0.05</v>
      </c>
      <c r="U765" s="34" t="str">
        <f t="shared" si="70"/>
        <v>Low</v>
      </c>
      <c r="V765">
        <v>-65.55</v>
      </c>
      <c r="W765" s="29">
        <f t="shared" si="71"/>
        <v>-0.0926174496644295</v>
      </c>
      <c r="X765">
        <v>29.77</v>
      </c>
      <c r="Y765" t="s">
        <v>38</v>
      </c>
      <c r="Z765" s="34" t="str">
        <f t="shared" si="72"/>
        <v>Medium</v>
      </c>
    </row>
    <row r="766" spans="1:26">
      <c r="A766" t="s">
        <v>1634</v>
      </c>
      <c r="B766" s="44">
        <v>45277</v>
      </c>
      <c r="C766" s="34">
        <f t="shared" si="67"/>
        <v>2023</v>
      </c>
      <c r="D766" s="34">
        <f t="shared" si="68"/>
        <v>12</v>
      </c>
      <c r="E766" s="34" t="str">
        <f t="shared" si="69"/>
        <v>December</v>
      </c>
      <c r="F766" s="44">
        <v>45282</v>
      </c>
      <c r="G766" t="s">
        <v>231</v>
      </c>
      <c r="H766" t="s">
        <v>232</v>
      </c>
      <c r="I766" t="s">
        <v>55</v>
      </c>
      <c r="J766" t="s">
        <v>43</v>
      </c>
      <c r="K766" t="s">
        <v>233</v>
      </c>
      <c r="L766" t="s">
        <v>234</v>
      </c>
      <c r="M766" t="s">
        <v>46</v>
      </c>
      <c r="N766" t="s">
        <v>102</v>
      </c>
      <c r="O766" t="s">
        <v>67</v>
      </c>
      <c r="P766" t="s">
        <v>103</v>
      </c>
      <c r="Q766" t="s">
        <v>104</v>
      </c>
      <c r="R766">
        <v>279.3</v>
      </c>
      <c r="S766">
        <v>1</v>
      </c>
      <c r="T766">
        <v>0.3</v>
      </c>
      <c r="U766" s="34" t="str">
        <f t="shared" si="70"/>
        <v>High</v>
      </c>
      <c r="V766">
        <v>-36.13</v>
      </c>
      <c r="W766" s="29">
        <f t="shared" si="71"/>
        <v>-0.129359112065879</v>
      </c>
      <c r="X766">
        <v>45.95</v>
      </c>
      <c r="Y766" t="s">
        <v>51</v>
      </c>
      <c r="Z766" s="34" t="str">
        <f t="shared" si="72"/>
        <v>Small</v>
      </c>
    </row>
    <row r="767" spans="1:26">
      <c r="A767" t="s">
        <v>1635</v>
      </c>
      <c r="B767" s="44">
        <v>44522</v>
      </c>
      <c r="C767" s="34">
        <f t="shared" si="67"/>
        <v>2021</v>
      </c>
      <c r="D767" s="34">
        <f t="shared" si="68"/>
        <v>11</v>
      </c>
      <c r="E767" s="34" t="str">
        <f t="shared" si="69"/>
        <v>November</v>
      </c>
      <c r="F767" s="44">
        <v>44526</v>
      </c>
      <c r="G767" t="s">
        <v>491</v>
      </c>
      <c r="H767" t="s">
        <v>492</v>
      </c>
      <c r="I767" t="s">
        <v>29</v>
      </c>
      <c r="J767" t="s">
        <v>43</v>
      </c>
      <c r="K767" t="s">
        <v>56</v>
      </c>
      <c r="L767" t="s">
        <v>493</v>
      </c>
      <c r="M767" t="s">
        <v>58</v>
      </c>
      <c r="N767" t="s">
        <v>321</v>
      </c>
      <c r="O767" t="s">
        <v>48</v>
      </c>
      <c r="P767" t="s">
        <v>190</v>
      </c>
      <c r="Q767" t="s">
        <v>322</v>
      </c>
      <c r="R767">
        <v>56.05</v>
      </c>
      <c r="S767">
        <v>1</v>
      </c>
      <c r="T767">
        <v>0.05</v>
      </c>
      <c r="U767" s="34" t="str">
        <f t="shared" si="70"/>
        <v>Low</v>
      </c>
      <c r="V767">
        <v>9.2</v>
      </c>
      <c r="W767" s="29">
        <f t="shared" si="71"/>
        <v>0.164139161462979</v>
      </c>
      <c r="X767">
        <v>10.43</v>
      </c>
      <c r="Y767" t="s">
        <v>62</v>
      </c>
      <c r="Z767" s="34" t="str">
        <f t="shared" si="72"/>
        <v>Small</v>
      </c>
    </row>
    <row r="768" spans="1:26">
      <c r="A768" t="s">
        <v>1636</v>
      </c>
      <c r="B768" s="44">
        <v>44794</v>
      </c>
      <c r="C768" s="34">
        <f t="shared" si="67"/>
        <v>2022</v>
      </c>
      <c r="D768" s="34">
        <f t="shared" si="68"/>
        <v>8</v>
      </c>
      <c r="E768" s="34" t="str">
        <f t="shared" si="69"/>
        <v>August</v>
      </c>
      <c r="F768" s="44">
        <v>44795</v>
      </c>
      <c r="G768" t="s">
        <v>567</v>
      </c>
      <c r="H768" t="s">
        <v>186</v>
      </c>
      <c r="I768" t="s">
        <v>29</v>
      </c>
      <c r="J768" t="s">
        <v>43</v>
      </c>
      <c r="K768" t="s">
        <v>262</v>
      </c>
      <c r="L768" t="s">
        <v>568</v>
      </c>
      <c r="M768" t="s">
        <v>58</v>
      </c>
      <c r="N768" t="s">
        <v>367</v>
      </c>
      <c r="O768" t="s">
        <v>35</v>
      </c>
      <c r="P768" t="s">
        <v>202</v>
      </c>
      <c r="Q768" t="s">
        <v>368</v>
      </c>
      <c r="R768">
        <v>539.1</v>
      </c>
      <c r="S768">
        <v>1</v>
      </c>
      <c r="T768">
        <v>0.1</v>
      </c>
      <c r="U768" s="34" t="str">
        <f t="shared" si="70"/>
        <v>Low</v>
      </c>
      <c r="V768">
        <v>107.63</v>
      </c>
      <c r="W768" s="29">
        <f t="shared" si="71"/>
        <v>0.199647560749397</v>
      </c>
      <c r="X768">
        <v>36.57</v>
      </c>
      <c r="Y768" t="s">
        <v>137</v>
      </c>
      <c r="Z768" s="34" t="str">
        <f t="shared" si="72"/>
        <v>Medium</v>
      </c>
    </row>
    <row r="769" spans="1:26">
      <c r="A769" t="s">
        <v>1637</v>
      </c>
      <c r="B769" s="44">
        <v>44573</v>
      </c>
      <c r="C769" s="34">
        <f t="shared" si="67"/>
        <v>2022</v>
      </c>
      <c r="D769" s="34">
        <f t="shared" si="68"/>
        <v>1</v>
      </c>
      <c r="E769" s="34" t="str">
        <f t="shared" si="69"/>
        <v>January</v>
      </c>
      <c r="F769" s="44">
        <v>44578</v>
      </c>
      <c r="G769" t="s">
        <v>1110</v>
      </c>
      <c r="H769" t="s">
        <v>1111</v>
      </c>
      <c r="I769" t="s">
        <v>42</v>
      </c>
      <c r="J769" t="s">
        <v>43</v>
      </c>
      <c r="K769" t="s">
        <v>108</v>
      </c>
      <c r="L769" t="s">
        <v>1112</v>
      </c>
      <c r="M769" t="s">
        <v>58</v>
      </c>
      <c r="N769" t="s">
        <v>441</v>
      </c>
      <c r="O769" t="s">
        <v>67</v>
      </c>
      <c r="P769" t="s">
        <v>68</v>
      </c>
      <c r="Q769" t="s">
        <v>442</v>
      </c>
      <c r="R769">
        <v>2697</v>
      </c>
      <c r="S769">
        <v>3</v>
      </c>
      <c r="T769">
        <v>0</v>
      </c>
      <c r="U769" s="34" t="str">
        <f t="shared" si="70"/>
        <v>No Discount</v>
      </c>
      <c r="V769">
        <v>534.67</v>
      </c>
      <c r="W769" s="29">
        <f t="shared" si="71"/>
        <v>0.198246199480905</v>
      </c>
      <c r="X769">
        <v>15.78</v>
      </c>
      <c r="Y769" t="s">
        <v>137</v>
      </c>
      <c r="Z769" s="34" t="str">
        <f t="shared" si="72"/>
        <v>Large</v>
      </c>
    </row>
    <row r="770" spans="1:26">
      <c r="A770" t="s">
        <v>1638</v>
      </c>
      <c r="B770" s="44">
        <v>44150</v>
      </c>
      <c r="C770" s="34">
        <f t="shared" ref="C770:C833" si="73">YEAR(B770)</f>
        <v>2020</v>
      </c>
      <c r="D770" s="34">
        <f t="shared" ref="D770:D833" si="74">MONTH(B770)</f>
        <v>11</v>
      </c>
      <c r="E770" s="34" t="str">
        <f t="shared" ref="E770:E833" si="75">TEXT(B770,"mmmm")</f>
        <v>November</v>
      </c>
      <c r="F770" s="44">
        <v>44157</v>
      </c>
      <c r="G770" t="s">
        <v>1143</v>
      </c>
      <c r="H770" t="s">
        <v>1144</v>
      </c>
      <c r="I770" t="s">
        <v>42</v>
      </c>
      <c r="J770" t="s">
        <v>43</v>
      </c>
      <c r="K770" t="s">
        <v>100</v>
      </c>
      <c r="L770" t="s">
        <v>420</v>
      </c>
      <c r="M770" t="s">
        <v>33</v>
      </c>
      <c r="N770" t="s">
        <v>415</v>
      </c>
      <c r="O770" t="s">
        <v>67</v>
      </c>
      <c r="P770" t="s">
        <v>252</v>
      </c>
      <c r="Q770" t="s">
        <v>416</v>
      </c>
      <c r="R770">
        <v>399</v>
      </c>
      <c r="S770">
        <v>1</v>
      </c>
      <c r="T770">
        <v>0</v>
      </c>
      <c r="U770" s="34" t="str">
        <f t="shared" ref="U770:U833" si="76">IF(T770=0,"No Discount",IF(T770&lt;=0.1,"Low",IF(T770&lt;=0.2,"Medium","High")))</f>
        <v>No Discount</v>
      </c>
      <c r="V770">
        <v>25.98</v>
      </c>
      <c r="W770" s="29">
        <f t="shared" ref="W770:W833" si="77">V770/R770</f>
        <v>0.0651127819548872</v>
      </c>
      <c r="X770">
        <v>46.41</v>
      </c>
      <c r="Y770" t="s">
        <v>80</v>
      </c>
      <c r="Z770" s="34" t="str">
        <f t="shared" ref="Z770:Z833" si="78">IF(R770&lt;500,"Small",IF(R770&lt;=2000,"Medium","Large"))</f>
        <v>Small</v>
      </c>
    </row>
    <row r="771" spans="1:26">
      <c r="A771" t="s">
        <v>1639</v>
      </c>
      <c r="B771" s="44">
        <v>44625</v>
      </c>
      <c r="C771" s="34">
        <f t="shared" si="73"/>
        <v>2022</v>
      </c>
      <c r="D771" s="34">
        <f t="shared" si="74"/>
        <v>3</v>
      </c>
      <c r="E771" s="34" t="str">
        <f t="shared" si="75"/>
        <v>March</v>
      </c>
      <c r="F771" s="44">
        <v>44629</v>
      </c>
      <c r="G771" t="s">
        <v>701</v>
      </c>
      <c r="H771" t="s">
        <v>702</v>
      </c>
      <c r="I771" t="s">
        <v>42</v>
      </c>
      <c r="J771" t="s">
        <v>43</v>
      </c>
      <c r="K771" t="s">
        <v>146</v>
      </c>
      <c r="L771" t="s">
        <v>147</v>
      </c>
      <c r="M771" t="s">
        <v>33</v>
      </c>
      <c r="N771" t="s">
        <v>623</v>
      </c>
      <c r="O771" t="s">
        <v>67</v>
      </c>
      <c r="P771" t="s">
        <v>87</v>
      </c>
      <c r="Q771" t="s">
        <v>624</v>
      </c>
      <c r="R771">
        <v>796.8</v>
      </c>
      <c r="S771">
        <v>4</v>
      </c>
      <c r="T771">
        <v>0.2</v>
      </c>
      <c r="U771" s="34" t="str">
        <f t="shared" si="76"/>
        <v>Medium</v>
      </c>
      <c r="V771">
        <v>-69.52</v>
      </c>
      <c r="W771" s="29">
        <f t="shared" si="77"/>
        <v>-0.0872489959839357</v>
      </c>
      <c r="X771">
        <v>19.24</v>
      </c>
      <c r="Y771" t="s">
        <v>137</v>
      </c>
      <c r="Z771" s="34" t="str">
        <f t="shared" si="78"/>
        <v>Medium</v>
      </c>
    </row>
    <row r="772" spans="1:26">
      <c r="A772" t="s">
        <v>1640</v>
      </c>
      <c r="B772" s="44">
        <v>45563</v>
      </c>
      <c r="C772" s="34">
        <f t="shared" si="73"/>
        <v>2024</v>
      </c>
      <c r="D772" s="34">
        <f t="shared" si="74"/>
        <v>9</v>
      </c>
      <c r="E772" s="34" t="str">
        <f t="shared" si="75"/>
        <v>September</v>
      </c>
      <c r="F772" s="44">
        <v>45569</v>
      </c>
      <c r="G772" t="s">
        <v>513</v>
      </c>
      <c r="H772" t="s">
        <v>514</v>
      </c>
      <c r="I772" t="s">
        <v>29</v>
      </c>
      <c r="J772" t="s">
        <v>43</v>
      </c>
      <c r="K772" t="s">
        <v>233</v>
      </c>
      <c r="L772" t="s">
        <v>515</v>
      </c>
      <c r="M772" t="s">
        <v>46</v>
      </c>
      <c r="N772" t="s">
        <v>66</v>
      </c>
      <c r="O772" t="s">
        <v>67</v>
      </c>
      <c r="P772" t="s">
        <v>68</v>
      </c>
      <c r="Q772" t="s">
        <v>69</v>
      </c>
      <c r="R772">
        <v>2037.45</v>
      </c>
      <c r="S772">
        <v>3</v>
      </c>
      <c r="T772">
        <v>0.15</v>
      </c>
      <c r="U772" s="34" t="str">
        <f t="shared" si="76"/>
        <v>Medium</v>
      </c>
      <c r="V772">
        <v>238.24</v>
      </c>
      <c r="W772" s="29">
        <f t="shared" si="77"/>
        <v>0.116930476821517</v>
      </c>
      <c r="X772">
        <v>20.85</v>
      </c>
      <c r="Y772" t="s">
        <v>121</v>
      </c>
      <c r="Z772" s="34" t="str">
        <f t="shared" si="78"/>
        <v>Large</v>
      </c>
    </row>
    <row r="773" spans="1:26">
      <c r="A773" t="s">
        <v>1641</v>
      </c>
      <c r="B773" s="44">
        <v>44684</v>
      </c>
      <c r="C773" s="34">
        <f t="shared" si="73"/>
        <v>2022</v>
      </c>
      <c r="D773" s="34">
        <f t="shared" si="74"/>
        <v>5</v>
      </c>
      <c r="E773" s="34" t="str">
        <f t="shared" si="75"/>
        <v>May</v>
      </c>
      <c r="F773" s="44">
        <v>44691</v>
      </c>
      <c r="G773" t="s">
        <v>895</v>
      </c>
      <c r="H773" t="s">
        <v>669</v>
      </c>
      <c r="I773" t="s">
        <v>29</v>
      </c>
      <c r="J773" t="s">
        <v>43</v>
      </c>
      <c r="K773" t="s">
        <v>125</v>
      </c>
      <c r="L773" t="s">
        <v>808</v>
      </c>
      <c r="M773" t="s">
        <v>58</v>
      </c>
      <c r="N773" t="s">
        <v>388</v>
      </c>
      <c r="O773" t="s">
        <v>48</v>
      </c>
      <c r="P773" t="s">
        <v>190</v>
      </c>
      <c r="Q773" t="s">
        <v>389</v>
      </c>
      <c r="R773">
        <v>356</v>
      </c>
      <c r="S773">
        <v>4</v>
      </c>
      <c r="T773">
        <v>0</v>
      </c>
      <c r="U773" s="34" t="str">
        <f t="shared" si="76"/>
        <v>No Discount</v>
      </c>
      <c r="V773">
        <v>33.72</v>
      </c>
      <c r="W773" s="29">
        <f t="shared" si="77"/>
        <v>0.0947191011235955</v>
      </c>
      <c r="X773">
        <v>6.26</v>
      </c>
      <c r="Y773" t="s">
        <v>137</v>
      </c>
      <c r="Z773" s="34" t="str">
        <f t="shared" si="78"/>
        <v>Small</v>
      </c>
    </row>
    <row r="774" spans="1:26">
      <c r="A774" t="s">
        <v>1642</v>
      </c>
      <c r="B774" s="44">
        <v>44225</v>
      </c>
      <c r="C774" s="34">
        <f t="shared" si="73"/>
        <v>2021</v>
      </c>
      <c r="D774" s="34">
        <f t="shared" si="74"/>
        <v>1</v>
      </c>
      <c r="E774" s="34" t="str">
        <f t="shared" si="75"/>
        <v>January</v>
      </c>
      <c r="F774" s="44">
        <v>44232</v>
      </c>
      <c r="G774" t="s">
        <v>197</v>
      </c>
      <c r="H774" t="s">
        <v>198</v>
      </c>
      <c r="I774" t="s">
        <v>55</v>
      </c>
      <c r="J774" t="s">
        <v>43</v>
      </c>
      <c r="K774" t="s">
        <v>199</v>
      </c>
      <c r="L774" t="s">
        <v>200</v>
      </c>
      <c r="M774" t="s">
        <v>46</v>
      </c>
      <c r="N774" t="s">
        <v>189</v>
      </c>
      <c r="O774" t="s">
        <v>48</v>
      </c>
      <c r="P774" t="s">
        <v>190</v>
      </c>
      <c r="Q774" t="s">
        <v>191</v>
      </c>
      <c r="R774">
        <v>70</v>
      </c>
      <c r="S774">
        <v>2</v>
      </c>
      <c r="T774">
        <v>0</v>
      </c>
      <c r="U774" s="34" t="str">
        <f t="shared" si="76"/>
        <v>No Discount</v>
      </c>
      <c r="V774">
        <v>2.13</v>
      </c>
      <c r="W774" s="29">
        <f t="shared" si="77"/>
        <v>0.0304285714285714</v>
      </c>
      <c r="X774">
        <v>16.23</v>
      </c>
      <c r="Y774" t="s">
        <v>80</v>
      </c>
      <c r="Z774" s="34" t="str">
        <f t="shared" si="78"/>
        <v>Small</v>
      </c>
    </row>
    <row r="775" spans="1:26">
      <c r="A775" t="s">
        <v>1643</v>
      </c>
      <c r="B775" s="44">
        <v>45061</v>
      </c>
      <c r="C775" s="34">
        <f t="shared" si="73"/>
        <v>2023</v>
      </c>
      <c r="D775" s="34">
        <f t="shared" si="74"/>
        <v>5</v>
      </c>
      <c r="E775" s="34" t="str">
        <f t="shared" si="75"/>
        <v>May</v>
      </c>
      <c r="F775" s="44">
        <v>45064</v>
      </c>
      <c r="G775" t="s">
        <v>826</v>
      </c>
      <c r="H775" t="s">
        <v>827</v>
      </c>
      <c r="I775" t="s">
        <v>42</v>
      </c>
      <c r="J775" t="s">
        <v>43</v>
      </c>
      <c r="K775" t="s">
        <v>108</v>
      </c>
      <c r="L775" t="s">
        <v>485</v>
      </c>
      <c r="M775" t="s">
        <v>58</v>
      </c>
      <c r="N775" t="s">
        <v>86</v>
      </c>
      <c r="O775" t="s">
        <v>67</v>
      </c>
      <c r="P775" t="s">
        <v>87</v>
      </c>
      <c r="Q775" t="s">
        <v>88</v>
      </c>
      <c r="R775">
        <v>156.8</v>
      </c>
      <c r="S775">
        <v>4</v>
      </c>
      <c r="T775">
        <v>0.2</v>
      </c>
      <c r="U775" s="34" t="str">
        <f t="shared" si="76"/>
        <v>Medium</v>
      </c>
      <c r="V775">
        <v>28.94</v>
      </c>
      <c r="W775" s="29">
        <f t="shared" si="77"/>
        <v>0.184566326530612</v>
      </c>
      <c r="X775">
        <v>18.51</v>
      </c>
      <c r="Y775" t="s">
        <v>137</v>
      </c>
      <c r="Z775" s="34" t="str">
        <f t="shared" si="78"/>
        <v>Small</v>
      </c>
    </row>
    <row r="776" spans="1:26">
      <c r="A776" t="s">
        <v>1644</v>
      </c>
      <c r="B776" s="44">
        <v>45362</v>
      </c>
      <c r="C776" s="34">
        <f t="shared" si="73"/>
        <v>2024</v>
      </c>
      <c r="D776" s="34">
        <f t="shared" si="74"/>
        <v>3</v>
      </c>
      <c r="E776" s="34" t="str">
        <f t="shared" si="75"/>
        <v>March</v>
      </c>
      <c r="F776" s="44">
        <v>45364</v>
      </c>
      <c r="G776" t="s">
        <v>139</v>
      </c>
      <c r="H776" t="s">
        <v>140</v>
      </c>
      <c r="I776" t="s">
        <v>29</v>
      </c>
      <c r="J776" t="s">
        <v>43</v>
      </c>
      <c r="K776" t="s">
        <v>84</v>
      </c>
      <c r="L776" t="s">
        <v>85</v>
      </c>
      <c r="M776" t="s">
        <v>33</v>
      </c>
      <c r="N776" t="s">
        <v>357</v>
      </c>
      <c r="O776" t="s">
        <v>48</v>
      </c>
      <c r="P776" t="s">
        <v>49</v>
      </c>
      <c r="Q776" t="s">
        <v>358</v>
      </c>
      <c r="R776">
        <v>276</v>
      </c>
      <c r="S776">
        <v>4</v>
      </c>
      <c r="T776">
        <v>0</v>
      </c>
      <c r="U776" s="34" t="str">
        <f t="shared" si="76"/>
        <v>No Discount</v>
      </c>
      <c r="V776">
        <v>30.27</v>
      </c>
      <c r="W776" s="29">
        <f t="shared" si="77"/>
        <v>0.109673913043478</v>
      </c>
      <c r="X776">
        <v>9.51</v>
      </c>
      <c r="Y776" t="s">
        <v>38</v>
      </c>
      <c r="Z776" s="34" t="str">
        <f t="shared" si="78"/>
        <v>Small</v>
      </c>
    </row>
    <row r="777" spans="1:26">
      <c r="A777" t="s">
        <v>1645</v>
      </c>
      <c r="B777" s="44">
        <v>45032</v>
      </c>
      <c r="C777" s="34">
        <f t="shared" si="73"/>
        <v>2023</v>
      </c>
      <c r="D777" s="34">
        <f t="shared" si="74"/>
        <v>4</v>
      </c>
      <c r="E777" s="34" t="str">
        <f t="shared" si="75"/>
        <v>April</v>
      </c>
      <c r="F777" s="44">
        <v>45038</v>
      </c>
      <c r="G777" t="s">
        <v>1646</v>
      </c>
      <c r="H777" t="s">
        <v>1647</v>
      </c>
      <c r="I777" t="s">
        <v>55</v>
      </c>
      <c r="J777" t="s">
        <v>43</v>
      </c>
      <c r="K777" t="s">
        <v>199</v>
      </c>
      <c r="L777" t="s">
        <v>851</v>
      </c>
      <c r="M777" t="s">
        <v>46</v>
      </c>
      <c r="N777" t="s">
        <v>208</v>
      </c>
      <c r="O777" t="s">
        <v>48</v>
      </c>
      <c r="P777" t="s">
        <v>128</v>
      </c>
      <c r="Q777" t="s">
        <v>209</v>
      </c>
      <c r="R777">
        <v>73.5</v>
      </c>
      <c r="S777">
        <v>3</v>
      </c>
      <c r="T777">
        <v>0.3</v>
      </c>
      <c r="U777" s="34" t="str">
        <f t="shared" si="76"/>
        <v>High</v>
      </c>
      <c r="V777">
        <v>-7.57</v>
      </c>
      <c r="W777" s="29">
        <f t="shared" si="77"/>
        <v>-0.102993197278912</v>
      </c>
      <c r="X777">
        <v>5.64</v>
      </c>
      <c r="Y777" t="s">
        <v>38</v>
      </c>
      <c r="Z777" s="34" t="str">
        <f t="shared" si="78"/>
        <v>Small</v>
      </c>
    </row>
    <row r="778" spans="1:26">
      <c r="A778" t="s">
        <v>1648</v>
      </c>
      <c r="B778" s="44">
        <v>44264</v>
      </c>
      <c r="C778" s="34">
        <f t="shared" si="73"/>
        <v>2021</v>
      </c>
      <c r="D778" s="34">
        <f t="shared" si="74"/>
        <v>3</v>
      </c>
      <c r="E778" s="34" t="str">
        <f t="shared" si="75"/>
        <v>March</v>
      </c>
      <c r="F778" s="44">
        <v>44266</v>
      </c>
      <c r="G778" t="s">
        <v>1251</v>
      </c>
      <c r="H778" t="s">
        <v>1252</v>
      </c>
      <c r="I778" t="s">
        <v>55</v>
      </c>
      <c r="J778" t="s">
        <v>43</v>
      </c>
      <c r="K778" t="s">
        <v>349</v>
      </c>
      <c r="L778" t="s">
        <v>350</v>
      </c>
      <c r="M778" t="s">
        <v>33</v>
      </c>
      <c r="N778" t="s">
        <v>312</v>
      </c>
      <c r="O778" t="s">
        <v>48</v>
      </c>
      <c r="P778" t="s">
        <v>49</v>
      </c>
      <c r="Q778" t="s">
        <v>313</v>
      </c>
      <c r="R778">
        <v>39</v>
      </c>
      <c r="S778">
        <v>1</v>
      </c>
      <c r="T778">
        <v>0</v>
      </c>
      <c r="U778" s="34" t="str">
        <f t="shared" si="76"/>
        <v>No Discount</v>
      </c>
      <c r="V778">
        <v>-1.52</v>
      </c>
      <c r="W778" s="29">
        <f t="shared" si="77"/>
        <v>-0.038974358974359</v>
      </c>
      <c r="X778">
        <v>24.57</v>
      </c>
      <c r="Y778" t="s">
        <v>51</v>
      </c>
      <c r="Z778" s="34" t="str">
        <f t="shared" si="78"/>
        <v>Small</v>
      </c>
    </row>
    <row r="779" spans="1:26">
      <c r="A779" t="s">
        <v>1649</v>
      </c>
      <c r="B779" s="44">
        <v>45608</v>
      </c>
      <c r="C779" s="34">
        <f t="shared" si="73"/>
        <v>2024</v>
      </c>
      <c r="D779" s="34">
        <f t="shared" si="74"/>
        <v>11</v>
      </c>
      <c r="E779" s="34" t="str">
        <f t="shared" si="75"/>
        <v>November</v>
      </c>
      <c r="F779" s="44">
        <v>45614</v>
      </c>
      <c r="G779" t="s">
        <v>1650</v>
      </c>
      <c r="H779" t="s">
        <v>1197</v>
      </c>
      <c r="I779" t="s">
        <v>42</v>
      </c>
      <c r="J779" t="s">
        <v>43</v>
      </c>
      <c r="K779" t="s">
        <v>100</v>
      </c>
      <c r="L779" t="s">
        <v>590</v>
      </c>
      <c r="M779" t="s">
        <v>33</v>
      </c>
      <c r="N779" t="s">
        <v>118</v>
      </c>
      <c r="O779" t="s">
        <v>67</v>
      </c>
      <c r="P779" t="s">
        <v>119</v>
      </c>
      <c r="Q779" t="s">
        <v>120</v>
      </c>
      <c r="R779">
        <v>4496.25</v>
      </c>
      <c r="S779">
        <v>5</v>
      </c>
      <c r="T779">
        <v>0.25</v>
      </c>
      <c r="U779" s="34" t="str">
        <f t="shared" si="76"/>
        <v>High</v>
      </c>
      <c r="V779">
        <v>804.16</v>
      </c>
      <c r="W779" s="29">
        <f t="shared" si="77"/>
        <v>0.178851264943008</v>
      </c>
      <c r="X779">
        <v>17.2</v>
      </c>
      <c r="Y779" t="s">
        <v>96</v>
      </c>
      <c r="Z779" s="34" t="str">
        <f t="shared" si="78"/>
        <v>Large</v>
      </c>
    </row>
    <row r="780" spans="1:26">
      <c r="A780" t="s">
        <v>1651</v>
      </c>
      <c r="B780" s="44">
        <v>44846</v>
      </c>
      <c r="C780" s="34">
        <f t="shared" si="73"/>
        <v>2022</v>
      </c>
      <c r="D780" s="34">
        <f t="shared" si="74"/>
        <v>10</v>
      </c>
      <c r="E780" s="34" t="str">
        <f t="shared" si="75"/>
        <v>October</v>
      </c>
      <c r="F780" s="44">
        <v>44848</v>
      </c>
      <c r="G780" t="s">
        <v>649</v>
      </c>
      <c r="H780" t="s">
        <v>650</v>
      </c>
      <c r="I780" t="s">
        <v>42</v>
      </c>
      <c r="J780" t="s">
        <v>30</v>
      </c>
      <c r="K780" t="s">
        <v>74</v>
      </c>
      <c r="L780" t="s">
        <v>75</v>
      </c>
      <c r="M780" t="s">
        <v>76</v>
      </c>
      <c r="N780" t="s">
        <v>275</v>
      </c>
      <c r="O780" t="s">
        <v>67</v>
      </c>
      <c r="P780" t="s">
        <v>103</v>
      </c>
      <c r="Q780" t="s">
        <v>276</v>
      </c>
      <c r="R780">
        <v>711.55</v>
      </c>
      <c r="S780">
        <v>1</v>
      </c>
      <c r="T780">
        <v>0.05</v>
      </c>
      <c r="U780" s="34" t="str">
        <f t="shared" si="76"/>
        <v>Low</v>
      </c>
      <c r="V780">
        <v>60.3</v>
      </c>
      <c r="W780" s="29">
        <f t="shared" si="77"/>
        <v>0.084744571709648</v>
      </c>
      <c r="X780">
        <v>36.19</v>
      </c>
      <c r="Y780" t="s">
        <v>121</v>
      </c>
      <c r="Z780" s="34" t="str">
        <f t="shared" si="78"/>
        <v>Medium</v>
      </c>
    </row>
    <row r="781" spans="1:26">
      <c r="A781" t="s">
        <v>1652</v>
      </c>
      <c r="B781" s="44">
        <v>45078</v>
      </c>
      <c r="C781" s="34">
        <f t="shared" si="73"/>
        <v>2023</v>
      </c>
      <c r="D781" s="34">
        <f t="shared" si="74"/>
        <v>6</v>
      </c>
      <c r="E781" s="34" t="str">
        <f t="shared" si="75"/>
        <v>June</v>
      </c>
      <c r="F781" s="44">
        <v>45082</v>
      </c>
      <c r="G781" t="s">
        <v>928</v>
      </c>
      <c r="H781" t="s">
        <v>929</v>
      </c>
      <c r="I781" t="s">
        <v>55</v>
      </c>
      <c r="J781" t="s">
        <v>43</v>
      </c>
      <c r="K781" t="s">
        <v>133</v>
      </c>
      <c r="L781" t="s">
        <v>753</v>
      </c>
      <c r="M781" t="s">
        <v>33</v>
      </c>
      <c r="N781" t="s">
        <v>215</v>
      </c>
      <c r="O781" t="s">
        <v>35</v>
      </c>
      <c r="P781" t="s">
        <v>36</v>
      </c>
      <c r="Q781" t="s">
        <v>216</v>
      </c>
      <c r="R781">
        <v>1299</v>
      </c>
      <c r="S781">
        <v>1</v>
      </c>
      <c r="T781">
        <v>0</v>
      </c>
      <c r="U781" s="34" t="str">
        <f t="shared" si="76"/>
        <v>No Discount</v>
      </c>
      <c r="V781">
        <v>254.58</v>
      </c>
      <c r="W781" s="29">
        <f t="shared" si="77"/>
        <v>0.195981524249423</v>
      </c>
      <c r="X781">
        <v>17.39</v>
      </c>
      <c r="Y781" t="s">
        <v>38</v>
      </c>
      <c r="Z781" s="34" t="str">
        <f t="shared" si="78"/>
        <v>Medium</v>
      </c>
    </row>
    <row r="782" spans="1:26">
      <c r="A782" t="s">
        <v>1653</v>
      </c>
      <c r="B782" s="44">
        <v>44383</v>
      </c>
      <c r="C782" s="34">
        <f t="shared" si="73"/>
        <v>2021</v>
      </c>
      <c r="D782" s="34">
        <f t="shared" si="74"/>
        <v>7</v>
      </c>
      <c r="E782" s="34" t="str">
        <f t="shared" si="75"/>
        <v>July</v>
      </c>
      <c r="F782" s="44">
        <v>44388</v>
      </c>
      <c r="G782" t="s">
        <v>1377</v>
      </c>
      <c r="H782" t="s">
        <v>1378</v>
      </c>
      <c r="I782" t="s">
        <v>55</v>
      </c>
      <c r="J782" t="s">
        <v>43</v>
      </c>
      <c r="K782" t="s">
        <v>257</v>
      </c>
      <c r="L782" t="s">
        <v>1379</v>
      </c>
      <c r="M782" t="s">
        <v>76</v>
      </c>
      <c r="N782" t="s">
        <v>235</v>
      </c>
      <c r="O782" t="s">
        <v>35</v>
      </c>
      <c r="P782" t="s">
        <v>78</v>
      </c>
      <c r="Q782" t="s">
        <v>236</v>
      </c>
      <c r="R782">
        <v>2745</v>
      </c>
      <c r="S782">
        <v>5</v>
      </c>
      <c r="T782">
        <v>0</v>
      </c>
      <c r="U782" s="34" t="str">
        <f t="shared" si="76"/>
        <v>No Discount</v>
      </c>
      <c r="V782">
        <v>486.94</v>
      </c>
      <c r="W782" s="29">
        <f t="shared" si="77"/>
        <v>0.177391621129326</v>
      </c>
      <c r="X782">
        <v>23.85</v>
      </c>
      <c r="Y782" t="s">
        <v>137</v>
      </c>
      <c r="Z782" s="34" t="str">
        <f t="shared" si="78"/>
        <v>Large</v>
      </c>
    </row>
    <row r="783" spans="1:26">
      <c r="A783" t="s">
        <v>1654</v>
      </c>
      <c r="B783" s="44">
        <v>43991</v>
      </c>
      <c r="C783" s="34">
        <f t="shared" si="73"/>
        <v>2020</v>
      </c>
      <c r="D783" s="34">
        <f t="shared" si="74"/>
        <v>6</v>
      </c>
      <c r="E783" s="34" t="str">
        <f t="shared" si="75"/>
        <v>June</v>
      </c>
      <c r="F783" s="44">
        <v>43995</v>
      </c>
      <c r="G783" t="s">
        <v>173</v>
      </c>
      <c r="H783" t="s">
        <v>174</v>
      </c>
      <c r="I783" t="s">
        <v>55</v>
      </c>
      <c r="J783" t="s">
        <v>43</v>
      </c>
      <c r="K783" t="s">
        <v>175</v>
      </c>
      <c r="L783" t="s">
        <v>176</v>
      </c>
      <c r="M783" t="s">
        <v>46</v>
      </c>
      <c r="N783" t="s">
        <v>118</v>
      </c>
      <c r="O783" t="s">
        <v>67</v>
      </c>
      <c r="P783" t="s">
        <v>119</v>
      </c>
      <c r="Q783" t="s">
        <v>120</v>
      </c>
      <c r="R783">
        <v>1199</v>
      </c>
      <c r="S783">
        <v>1</v>
      </c>
      <c r="T783">
        <v>0</v>
      </c>
      <c r="U783" s="34" t="str">
        <f t="shared" si="76"/>
        <v>No Discount</v>
      </c>
      <c r="V783">
        <v>118.15</v>
      </c>
      <c r="W783" s="29">
        <f t="shared" si="77"/>
        <v>0.0985404503753128</v>
      </c>
      <c r="X783">
        <v>5.85</v>
      </c>
      <c r="Y783" t="s">
        <v>38</v>
      </c>
      <c r="Z783" s="34" t="str">
        <f t="shared" si="78"/>
        <v>Medium</v>
      </c>
    </row>
    <row r="784" spans="1:26">
      <c r="A784" t="s">
        <v>1655</v>
      </c>
      <c r="B784" s="44">
        <v>45510</v>
      </c>
      <c r="C784" s="34">
        <f t="shared" si="73"/>
        <v>2024</v>
      </c>
      <c r="D784" s="34">
        <f t="shared" si="74"/>
        <v>8</v>
      </c>
      <c r="E784" s="34" t="str">
        <f t="shared" si="75"/>
        <v>August</v>
      </c>
      <c r="F784" s="44">
        <v>45514</v>
      </c>
      <c r="G784" t="s">
        <v>406</v>
      </c>
      <c r="H784" t="s">
        <v>407</v>
      </c>
      <c r="I784" t="s">
        <v>55</v>
      </c>
      <c r="J784" t="s">
        <v>43</v>
      </c>
      <c r="K784" t="s">
        <v>213</v>
      </c>
      <c r="L784" t="s">
        <v>408</v>
      </c>
      <c r="M784" t="s">
        <v>33</v>
      </c>
      <c r="N784" t="s">
        <v>59</v>
      </c>
      <c r="O784" t="s">
        <v>48</v>
      </c>
      <c r="P784" t="s">
        <v>60</v>
      </c>
      <c r="Q784" t="s">
        <v>61</v>
      </c>
      <c r="R784">
        <v>591.6</v>
      </c>
      <c r="S784">
        <v>4</v>
      </c>
      <c r="T784">
        <v>0.15</v>
      </c>
      <c r="U784" s="34" t="str">
        <f t="shared" si="76"/>
        <v>Medium</v>
      </c>
      <c r="V784">
        <v>-51.88</v>
      </c>
      <c r="W784" s="29">
        <f t="shared" si="77"/>
        <v>-0.0876943881000676</v>
      </c>
      <c r="X784">
        <v>15.16</v>
      </c>
      <c r="Y784" t="s">
        <v>80</v>
      </c>
      <c r="Z784" s="34" t="str">
        <f t="shared" si="78"/>
        <v>Medium</v>
      </c>
    </row>
    <row r="785" spans="1:26">
      <c r="A785" t="s">
        <v>1656</v>
      </c>
      <c r="B785" s="44">
        <v>44671</v>
      </c>
      <c r="C785" s="34">
        <f t="shared" si="73"/>
        <v>2022</v>
      </c>
      <c r="D785" s="34">
        <f t="shared" si="74"/>
        <v>4</v>
      </c>
      <c r="E785" s="34" t="str">
        <f t="shared" si="75"/>
        <v>April</v>
      </c>
      <c r="F785" s="44">
        <v>44674</v>
      </c>
      <c r="G785" t="s">
        <v>360</v>
      </c>
      <c r="H785" t="s">
        <v>361</v>
      </c>
      <c r="I785" t="s">
        <v>42</v>
      </c>
      <c r="J785" t="s">
        <v>30</v>
      </c>
      <c r="K785" t="s">
        <v>168</v>
      </c>
      <c r="L785" t="s">
        <v>362</v>
      </c>
      <c r="M785" t="s">
        <v>76</v>
      </c>
      <c r="N785" t="s">
        <v>623</v>
      </c>
      <c r="O785" t="s">
        <v>67</v>
      </c>
      <c r="P785" t="s">
        <v>87</v>
      </c>
      <c r="Q785" t="s">
        <v>624</v>
      </c>
      <c r="R785">
        <v>236.55</v>
      </c>
      <c r="S785">
        <v>1</v>
      </c>
      <c r="T785">
        <v>0.05</v>
      </c>
      <c r="U785" s="34" t="str">
        <f t="shared" si="76"/>
        <v>Low</v>
      </c>
      <c r="V785">
        <v>46.22</v>
      </c>
      <c r="W785" s="29">
        <f t="shared" si="77"/>
        <v>0.195392094694568</v>
      </c>
      <c r="X785">
        <v>43.07</v>
      </c>
      <c r="Y785" t="s">
        <v>96</v>
      </c>
      <c r="Z785" s="34" t="str">
        <f t="shared" si="78"/>
        <v>Small</v>
      </c>
    </row>
    <row r="786" spans="1:26">
      <c r="A786" t="s">
        <v>1657</v>
      </c>
      <c r="B786" s="44">
        <v>45518</v>
      </c>
      <c r="C786" s="34">
        <f t="shared" si="73"/>
        <v>2024</v>
      </c>
      <c r="D786" s="34">
        <f t="shared" si="74"/>
        <v>8</v>
      </c>
      <c r="E786" s="34" t="str">
        <f t="shared" si="75"/>
        <v>August</v>
      </c>
      <c r="F786" s="44">
        <v>45521</v>
      </c>
      <c r="G786" t="s">
        <v>106</v>
      </c>
      <c r="H786" t="s">
        <v>107</v>
      </c>
      <c r="I786" t="s">
        <v>29</v>
      </c>
      <c r="J786" t="s">
        <v>30</v>
      </c>
      <c r="K786" t="s">
        <v>108</v>
      </c>
      <c r="L786" t="s">
        <v>109</v>
      </c>
      <c r="M786" t="s">
        <v>58</v>
      </c>
      <c r="N786" t="s">
        <v>77</v>
      </c>
      <c r="O786" t="s">
        <v>35</v>
      </c>
      <c r="P786" t="s">
        <v>78</v>
      </c>
      <c r="Q786" t="s">
        <v>79</v>
      </c>
      <c r="R786">
        <v>2511</v>
      </c>
      <c r="S786">
        <v>2</v>
      </c>
      <c r="T786">
        <v>0.1</v>
      </c>
      <c r="U786" s="34" t="str">
        <f t="shared" si="76"/>
        <v>Low</v>
      </c>
      <c r="V786">
        <v>372.76</v>
      </c>
      <c r="W786" s="29">
        <f t="shared" si="77"/>
        <v>0.148450816407806</v>
      </c>
      <c r="X786">
        <v>12.95</v>
      </c>
      <c r="Y786" t="s">
        <v>137</v>
      </c>
      <c r="Z786" s="34" t="str">
        <f t="shared" si="78"/>
        <v>Large</v>
      </c>
    </row>
    <row r="787" spans="1:26">
      <c r="A787" t="s">
        <v>1658</v>
      </c>
      <c r="B787" s="44">
        <v>44756</v>
      </c>
      <c r="C787" s="34">
        <f t="shared" si="73"/>
        <v>2022</v>
      </c>
      <c r="D787" s="34">
        <f t="shared" si="74"/>
        <v>7</v>
      </c>
      <c r="E787" s="34" t="str">
        <f t="shared" si="75"/>
        <v>July</v>
      </c>
      <c r="F787" s="44">
        <v>44759</v>
      </c>
      <c r="G787" t="s">
        <v>483</v>
      </c>
      <c r="H787" t="s">
        <v>484</v>
      </c>
      <c r="I787" t="s">
        <v>42</v>
      </c>
      <c r="J787" t="s">
        <v>43</v>
      </c>
      <c r="K787" t="s">
        <v>108</v>
      </c>
      <c r="L787" t="s">
        <v>485</v>
      </c>
      <c r="M787" t="s">
        <v>58</v>
      </c>
      <c r="N787" t="s">
        <v>208</v>
      </c>
      <c r="O787" t="s">
        <v>48</v>
      </c>
      <c r="P787" t="s">
        <v>128</v>
      </c>
      <c r="Q787" t="s">
        <v>209</v>
      </c>
      <c r="R787">
        <v>126</v>
      </c>
      <c r="S787">
        <v>4</v>
      </c>
      <c r="T787">
        <v>0.1</v>
      </c>
      <c r="U787" s="34" t="str">
        <f t="shared" si="76"/>
        <v>Low</v>
      </c>
      <c r="V787">
        <v>9.67</v>
      </c>
      <c r="W787" s="29">
        <f t="shared" si="77"/>
        <v>0.0767460317460317</v>
      </c>
      <c r="X787">
        <v>43.36</v>
      </c>
      <c r="Y787" t="s">
        <v>51</v>
      </c>
      <c r="Z787" s="34" t="str">
        <f t="shared" si="78"/>
        <v>Small</v>
      </c>
    </row>
    <row r="788" spans="1:26">
      <c r="A788" t="s">
        <v>1659</v>
      </c>
      <c r="B788" s="44">
        <v>45057</v>
      </c>
      <c r="C788" s="34">
        <f t="shared" si="73"/>
        <v>2023</v>
      </c>
      <c r="D788" s="34">
        <f t="shared" si="74"/>
        <v>5</v>
      </c>
      <c r="E788" s="34" t="str">
        <f t="shared" si="75"/>
        <v>May</v>
      </c>
      <c r="F788" s="44">
        <v>45064</v>
      </c>
      <c r="G788" t="s">
        <v>1612</v>
      </c>
      <c r="H788" t="s">
        <v>1613</v>
      </c>
      <c r="I788" t="s">
        <v>42</v>
      </c>
      <c r="J788" t="s">
        <v>43</v>
      </c>
      <c r="K788" t="s">
        <v>44</v>
      </c>
      <c r="L788" t="s">
        <v>195</v>
      </c>
      <c r="M788" t="s">
        <v>46</v>
      </c>
      <c r="N788" t="s">
        <v>505</v>
      </c>
      <c r="O788" t="s">
        <v>67</v>
      </c>
      <c r="P788" t="s">
        <v>119</v>
      </c>
      <c r="Q788" t="s">
        <v>506</v>
      </c>
      <c r="R788">
        <v>1818.6</v>
      </c>
      <c r="S788">
        <v>2</v>
      </c>
      <c r="T788">
        <v>0.3</v>
      </c>
      <c r="U788" s="34" t="str">
        <f t="shared" si="76"/>
        <v>High</v>
      </c>
      <c r="V788">
        <v>-96.79</v>
      </c>
      <c r="W788" s="29">
        <f t="shared" si="77"/>
        <v>-0.0532222588804575</v>
      </c>
      <c r="X788">
        <v>19.52</v>
      </c>
      <c r="Y788" t="s">
        <v>96</v>
      </c>
      <c r="Z788" s="34" t="str">
        <f t="shared" si="78"/>
        <v>Medium</v>
      </c>
    </row>
    <row r="789" spans="1:26">
      <c r="A789" t="s">
        <v>1660</v>
      </c>
      <c r="B789" s="44">
        <v>44242</v>
      </c>
      <c r="C789" s="34">
        <f t="shared" si="73"/>
        <v>2021</v>
      </c>
      <c r="D789" s="34">
        <f t="shared" si="74"/>
        <v>2</v>
      </c>
      <c r="E789" s="34" t="str">
        <f t="shared" si="75"/>
        <v>February</v>
      </c>
      <c r="F789" s="44">
        <v>44249</v>
      </c>
      <c r="G789" t="s">
        <v>1661</v>
      </c>
      <c r="H789" t="s">
        <v>1662</v>
      </c>
      <c r="I789" t="s">
        <v>42</v>
      </c>
      <c r="J789" t="s">
        <v>43</v>
      </c>
      <c r="K789" t="s">
        <v>133</v>
      </c>
      <c r="L789" t="s">
        <v>753</v>
      </c>
      <c r="M789" t="s">
        <v>33</v>
      </c>
      <c r="N789" t="s">
        <v>135</v>
      </c>
      <c r="O789" t="s">
        <v>67</v>
      </c>
      <c r="P789" t="s">
        <v>68</v>
      </c>
      <c r="Q789" t="s">
        <v>136</v>
      </c>
      <c r="R789">
        <v>2920.5</v>
      </c>
      <c r="S789">
        <v>5</v>
      </c>
      <c r="T789">
        <v>0.1</v>
      </c>
      <c r="U789" s="34" t="str">
        <f t="shared" si="76"/>
        <v>Low</v>
      </c>
      <c r="V789">
        <v>435.86</v>
      </c>
      <c r="W789" s="29">
        <f t="shared" si="77"/>
        <v>0.149241568224619</v>
      </c>
      <c r="X789">
        <v>7.39</v>
      </c>
      <c r="Y789" t="s">
        <v>137</v>
      </c>
      <c r="Z789" s="34" t="str">
        <f t="shared" si="78"/>
        <v>Large</v>
      </c>
    </row>
    <row r="790" spans="1:26">
      <c r="A790" t="s">
        <v>1663</v>
      </c>
      <c r="B790" s="44">
        <v>44820</v>
      </c>
      <c r="C790" s="34">
        <f t="shared" si="73"/>
        <v>2022</v>
      </c>
      <c r="D790" s="34">
        <f t="shared" si="74"/>
        <v>9</v>
      </c>
      <c r="E790" s="34" t="str">
        <f t="shared" si="75"/>
        <v>September</v>
      </c>
      <c r="F790" s="44">
        <v>44823</v>
      </c>
      <c r="G790" t="s">
        <v>1130</v>
      </c>
      <c r="H790" t="s">
        <v>1131</v>
      </c>
      <c r="I790" t="s">
        <v>42</v>
      </c>
      <c r="J790" t="s">
        <v>43</v>
      </c>
      <c r="K790" t="s">
        <v>240</v>
      </c>
      <c r="L790" t="s">
        <v>1132</v>
      </c>
      <c r="M790" t="s">
        <v>46</v>
      </c>
      <c r="N790" t="s">
        <v>1074</v>
      </c>
      <c r="O790" t="s">
        <v>35</v>
      </c>
      <c r="P790" t="s">
        <v>111</v>
      </c>
      <c r="Q790" t="s">
        <v>1075</v>
      </c>
      <c r="R790">
        <v>1011.5</v>
      </c>
      <c r="S790">
        <v>5</v>
      </c>
      <c r="T790">
        <v>0.3</v>
      </c>
      <c r="U790" s="34" t="str">
        <f t="shared" si="76"/>
        <v>High</v>
      </c>
      <c r="V790">
        <v>146.92</v>
      </c>
      <c r="W790" s="29">
        <f t="shared" si="77"/>
        <v>0.14524962926347</v>
      </c>
      <c r="X790">
        <v>16.01</v>
      </c>
      <c r="Y790" t="s">
        <v>62</v>
      </c>
      <c r="Z790" s="34" t="str">
        <f t="shared" si="78"/>
        <v>Medium</v>
      </c>
    </row>
    <row r="791" spans="1:26">
      <c r="A791" t="s">
        <v>1664</v>
      </c>
      <c r="B791" s="44">
        <v>43863</v>
      </c>
      <c r="C791" s="34">
        <f t="shared" si="73"/>
        <v>2020</v>
      </c>
      <c r="D791" s="34">
        <f t="shared" si="74"/>
        <v>2</v>
      </c>
      <c r="E791" s="34" t="str">
        <f t="shared" si="75"/>
        <v>February</v>
      </c>
      <c r="F791" s="44">
        <v>43864</v>
      </c>
      <c r="G791" t="s">
        <v>1665</v>
      </c>
      <c r="H791" t="s">
        <v>1666</v>
      </c>
      <c r="I791" t="s">
        <v>29</v>
      </c>
      <c r="J791" t="s">
        <v>43</v>
      </c>
      <c r="K791" t="s">
        <v>175</v>
      </c>
      <c r="L791" t="s">
        <v>738</v>
      </c>
      <c r="M791" t="s">
        <v>46</v>
      </c>
      <c r="N791" t="s">
        <v>148</v>
      </c>
      <c r="O791" t="s">
        <v>48</v>
      </c>
      <c r="P791" t="s">
        <v>60</v>
      </c>
      <c r="Q791" t="s">
        <v>149</v>
      </c>
      <c r="R791">
        <v>192.5</v>
      </c>
      <c r="S791">
        <v>5</v>
      </c>
      <c r="T791">
        <v>0.3</v>
      </c>
      <c r="U791" s="34" t="str">
        <f t="shared" si="76"/>
        <v>High</v>
      </c>
      <c r="V791">
        <v>21.82</v>
      </c>
      <c r="W791" s="29">
        <f t="shared" si="77"/>
        <v>0.113350649350649</v>
      </c>
      <c r="X791">
        <v>23.51</v>
      </c>
      <c r="Y791" t="s">
        <v>96</v>
      </c>
      <c r="Z791" s="34" t="str">
        <f t="shared" si="78"/>
        <v>Small</v>
      </c>
    </row>
    <row r="792" spans="1:26">
      <c r="A792" t="s">
        <v>1667</v>
      </c>
      <c r="B792" s="44">
        <v>44840</v>
      </c>
      <c r="C792" s="34">
        <f t="shared" si="73"/>
        <v>2022</v>
      </c>
      <c r="D792" s="34">
        <f t="shared" si="74"/>
        <v>10</v>
      </c>
      <c r="E792" s="34" t="str">
        <f t="shared" si="75"/>
        <v>October</v>
      </c>
      <c r="F792" s="44">
        <v>44845</v>
      </c>
      <c r="G792" t="s">
        <v>1143</v>
      </c>
      <c r="H792" t="s">
        <v>1144</v>
      </c>
      <c r="I792" t="s">
        <v>42</v>
      </c>
      <c r="J792" t="s">
        <v>43</v>
      </c>
      <c r="K792" t="s">
        <v>100</v>
      </c>
      <c r="L792" t="s">
        <v>420</v>
      </c>
      <c r="M792" t="s">
        <v>33</v>
      </c>
      <c r="N792" t="s">
        <v>251</v>
      </c>
      <c r="O792" t="s">
        <v>67</v>
      </c>
      <c r="P792" t="s">
        <v>252</v>
      </c>
      <c r="Q792" t="s">
        <v>253</v>
      </c>
      <c r="R792">
        <v>2992</v>
      </c>
      <c r="S792">
        <v>5</v>
      </c>
      <c r="T792">
        <v>0.2</v>
      </c>
      <c r="U792" s="34" t="str">
        <f t="shared" si="76"/>
        <v>Medium</v>
      </c>
      <c r="V792">
        <v>733.68</v>
      </c>
      <c r="W792" s="29">
        <f t="shared" si="77"/>
        <v>0.245213903743316</v>
      </c>
      <c r="X792">
        <v>47.72</v>
      </c>
      <c r="Y792" t="s">
        <v>80</v>
      </c>
      <c r="Z792" s="34" t="str">
        <f t="shared" si="78"/>
        <v>Large</v>
      </c>
    </row>
    <row r="793" spans="1:26">
      <c r="A793" t="s">
        <v>1668</v>
      </c>
      <c r="B793" s="44">
        <v>44732</v>
      </c>
      <c r="C793" s="34">
        <f t="shared" si="73"/>
        <v>2022</v>
      </c>
      <c r="D793" s="34">
        <f t="shared" si="74"/>
        <v>6</v>
      </c>
      <c r="E793" s="34" t="str">
        <f t="shared" si="75"/>
        <v>June</v>
      </c>
      <c r="F793" s="44">
        <v>44738</v>
      </c>
      <c r="G793" t="s">
        <v>928</v>
      </c>
      <c r="H793" t="s">
        <v>929</v>
      </c>
      <c r="I793" t="s">
        <v>55</v>
      </c>
      <c r="J793" t="s">
        <v>43</v>
      </c>
      <c r="K793" t="s">
        <v>133</v>
      </c>
      <c r="L793" t="s">
        <v>753</v>
      </c>
      <c r="M793" t="s">
        <v>33</v>
      </c>
      <c r="N793" t="s">
        <v>148</v>
      </c>
      <c r="O793" t="s">
        <v>48</v>
      </c>
      <c r="P793" t="s">
        <v>60</v>
      </c>
      <c r="Q793" t="s">
        <v>149</v>
      </c>
      <c r="R793">
        <v>176</v>
      </c>
      <c r="S793">
        <v>4</v>
      </c>
      <c r="T793">
        <v>0.2</v>
      </c>
      <c r="U793" s="34" t="str">
        <f t="shared" si="76"/>
        <v>Medium</v>
      </c>
      <c r="V793">
        <v>22.58</v>
      </c>
      <c r="W793" s="29">
        <f t="shared" si="77"/>
        <v>0.128295454545455</v>
      </c>
      <c r="X793">
        <v>42.07</v>
      </c>
      <c r="Y793" t="s">
        <v>51</v>
      </c>
      <c r="Z793" s="34" t="str">
        <f t="shared" si="78"/>
        <v>Small</v>
      </c>
    </row>
    <row r="794" spans="1:26">
      <c r="A794" t="s">
        <v>1669</v>
      </c>
      <c r="B794" s="44">
        <v>43875</v>
      </c>
      <c r="C794" s="34">
        <f t="shared" si="73"/>
        <v>2020</v>
      </c>
      <c r="D794" s="34">
        <f t="shared" si="74"/>
        <v>2</v>
      </c>
      <c r="E794" s="34" t="str">
        <f t="shared" si="75"/>
        <v>February</v>
      </c>
      <c r="F794" s="44">
        <v>43876</v>
      </c>
      <c r="G794" t="s">
        <v>260</v>
      </c>
      <c r="H794" t="s">
        <v>261</v>
      </c>
      <c r="I794" t="s">
        <v>42</v>
      </c>
      <c r="J794" t="s">
        <v>43</v>
      </c>
      <c r="K794" t="s">
        <v>262</v>
      </c>
      <c r="L794" t="s">
        <v>263</v>
      </c>
      <c r="M794" t="s">
        <v>58</v>
      </c>
      <c r="N794" t="s">
        <v>459</v>
      </c>
      <c r="O794" t="s">
        <v>48</v>
      </c>
      <c r="P794" t="s">
        <v>128</v>
      </c>
      <c r="Q794" t="s">
        <v>460</v>
      </c>
      <c r="R794">
        <v>43.5</v>
      </c>
      <c r="S794">
        <v>2</v>
      </c>
      <c r="T794">
        <v>0.25</v>
      </c>
      <c r="U794" s="34" t="str">
        <f t="shared" si="76"/>
        <v>High</v>
      </c>
      <c r="V794">
        <v>-4.6</v>
      </c>
      <c r="W794" s="29">
        <f t="shared" si="77"/>
        <v>-0.105747126436782</v>
      </c>
      <c r="X794">
        <v>41.42</v>
      </c>
      <c r="Y794" t="s">
        <v>70</v>
      </c>
      <c r="Z794" s="34" t="str">
        <f t="shared" si="78"/>
        <v>Small</v>
      </c>
    </row>
    <row r="795" spans="1:26">
      <c r="A795" t="s">
        <v>1670</v>
      </c>
      <c r="B795" s="44">
        <v>45472</v>
      </c>
      <c r="C795" s="34">
        <f t="shared" si="73"/>
        <v>2024</v>
      </c>
      <c r="D795" s="34">
        <f t="shared" si="74"/>
        <v>6</v>
      </c>
      <c r="E795" s="34" t="str">
        <f t="shared" si="75"/>
        <v>June</v>
      </c>
      <c r="F795" s="44">
        <v>45478</v>
      </c>
      <c r="G795" t="s">
        <v>1042</v>
      </c>
      <c r="H795" t="s">
        <v>206</v>
      </c>
      <c r="I795" t="s">
        <v>55</v>
      </c>
      <c r="J795" t="s">
        <v>30</v>
      </c>
      <c r="K795" t="s">
        <v>273</v>
      </c>
      <c r="L795" t="s">
        <v>274</v>
      </c>
      <c r="M795" t="s">
        <v>46</v>
      </c>
      <c r="N795" t="s">
        <v>505</v>
      </c>
      <c r="O795" t="s">
        <v>67</v>
      </c>
      <c r="P795" t="s">
        <v>119</v>
      </c>
      <c r="Q795" t="s">
        <v>506</v>
      </c>
      <c r="R795">
        <v>3312.45</v>
      </c>
      <c r="S795">
        <v>3</v>
      </c>
      <c r="T795">
        <v>0.15</v>
      </c>
      <c r="U795" s="34" t="str">
        <f t="shared" si="76"/>
        <v>Medium</v>
      </c>
      <c r="V795">
        <v>583.97</v>
      </c>
      <c r="W795" s="29">
        <f t="shared" si="77"/>
        <v>0.176295491252698</v>
      </c>
      <c r="X795">
        <v>40.92</v>
      </c>
      <c r="Y795" t="s">
        <v>38</v>
      </c>
      <c r="Z795" s="34" t="str">
        <f t="shared" si="78"/>
        <v>Large</v>
      </c>
    </row>
    <row r="796" spans="1:26">
      <c r="A796" t="s">
        <v>1671</v>
      </c>
      <c r="B796" s="44">
        <v>45085</v>
      </c>
      <c r="C796" s="34">
        <f t="shared" si="73"/>
        <v>2023</v>
      </c>
      <c r="D796" s="34">
        <f t="shared" si="74"/>
        <v>6</v>
      </c>
      <c r="E796" s="34" t="str">
        <f t="shared" si="75"/>
        <v>June</v>
      </c>
      <c r="F796" s="44">
        <v>45086</v>
      </c>
      <c r="G796" t="s">
        <v>447</v>
      </c>
      <c r="H796" t="s">
        <v>448</v>
      </c>
      <c r="I796" t="s">
        <v>55</v>
      </c>
      <c r="J796" t="s">
        <v>43</v>
      </c>
      <c r="K796" t="s">
        <v>331</v>
      </c>
      <c r="L796" t="s">
        <v>332</v>
      </c>
      <c r="M796" t="s">
        <v>58</v>
      </c>
      <c r="N796" t="s">
        <v>397</v>
      </c>
      <c r="O796" t="s">
        <v>48</v>
      </c>
      <c r="P796" t="s">
        <v>128</v>
      </c>
      <c r="Q796" t="s">
        <v>398</v>
      </c>
      <c r="R796">
        <v>90</v>
      </c>
      <c r="S796">
        <v>4</v>
      </c>
      <c r="T796">
        <v>0.1</v>
      </c>
      <c r="U796" s="34" t="str">
        <f t="shared" si="76"/>
        <v>Low</v>
      </c>
      <c r="V796">
        <v>0</v>
      </c>
      <c r="W796" s="29">
        <f t="shared" si="77"/>
        <v>0</v>
      </c>
      <c r="X796">
        <v>36.34</v>
      </c>
      <c r="Y796" t="s">
        <v>62</v>
      </c>
      <c r="Z796" s="34" t="str">
        <f t="shared" si="78"/>
        <v>Small</v>
      </c>
    </row>
    <row r="797" spans="1:26">
      <c r="A797" t="s">
        <v>1672</v>
      </c>
      <c r="B797" s="44">
        <v>44737</v>
      </c>
      <c r="C797" s="34">
        <f t="shared" si="73"/>
        <v>2022</v>
      </c>
      <c r="D797" s="34">
        <f t="shared" si="74"/>
        <v>6</v>
      </c>
      <c r="E797" s="34" t="str">
        <f t="shared" si="75"/>
        <v>June</v>
      </c>
      <c r="F797" s="44">
        <v>44739</v>
      </c>
      <c r="G797" t="s">
        <v>185</v>
      </c>
      <c r="H797" t="s">
        <v>186</v>
      </c>
      <c r="I797" t="s">
        <v>42</v>
      </c>
      <c r="J797" t="s">
        <v>43</v>
      </c>
      <c r="K797" t="s">
        <v>187</v>
      </c>
      <c r="L797" t="s">
        <v>188</v>
      </c>
      <c r="M797" t="s">
        <v>33</v>
      </c>
      <c r="N797" t="s">
        <v>459</v>
      </c>
      <c r="O797" t="s">
        <v>48</v>
      </c>
      <c r="P797" t="s">
        <v>128</v>
      </c>
      <c r="Q797" t="s">
        <v>460</v>
      </c>
      <c r="R797">
        <v>20.3</v>
      </c>
      <c r="S797">
        <v>1</v>
      </c>
      <c r="T797">
        <v>0.3</v>
      </c>
      <c r="U797" s="34" t="str">
        <f t="shared" si="76"/>
        <v>High</v>
      </c>
      <c r="V797">
        <v>-10.58</v>
      </c>
      <c r="W797" s="29">
        <f t="shared" si="77"/>
        <v>-0.521182266009852</v>
      </c>
      <c r="X797">
        <v>47.46</v>
      </c>
      <c r="Y797" t="s">
        <v>70</v>
      </c>
      <c r="Z797" s="34" t="str">
        <f t="shared" si="78"/>
        <v>Small</v>
      </c>
    </row>
    <row r="798" spans="1:26">
      <c r="A798" t="s">
        <v>1673</v>
      </c>
      <c r="B798" s="44">
        <v>45288</v>
      </c>
      <c r="C798" s="34">
        <f t="shared" si="73"/>
        <v>2023</v>
      </c>
      <c r="D798" s="34">
        <f t="shared" si="74"/>
        <v>12</v>
      </c>
      <c r="E798" s="34" t="str">
        <f t="shared" si="75"/>
        <v>December</v>
      </c>
      <c r="F798" s="44">
        <v>45294</v>
      </c>
      <c r="G798" t="s">
        <v>1171</v>
      </c>
      <c r="H798" t="s">
        <v>1172</v>
      </c>
      <c r="I798" t="s">
        <v>42</v>
      </c>
      <c r="J798" t="s">
        <v>43</v>
      </c>
      <c r="K798" t="s">
        <v>56</v>
      </c>
      <c r="L798" t="s">
        <v>519</v>
      </c>
      <c r="M798" t="s">
        <v>58</v>
      </c>
      <c r="N798" t="s">
        <v>1074</v>
      </c>
      <c r="O798" t="s">
        <v>35</v>
      </c>
      <c r="P798" t="s">
        <v>111</v>
      </c>
      <c r="Q798" t="s">
        <v>1075</v>
      </c>
      <c r="R798">
        <v>1372.75</v>
      </c>
      <c r="S798">
        <v>5</v>
      </c>
      <c r="T798">
        <v>0.05</v>
      </c>
      <c r="U798" s="34" t="str">
        <f t="shared" si="76"/>
        <v>Low</v>
      </c>
      <c r="V798">
        <v>338.98</v>
      </c>
      <c r="W798" s="29">
        <f t="shared" si="77"/>
        <v>0.246934984520124</v>
      </c>
      <c r="X798">
        <v>14.04</v>
      </c>
      <c r="Y798" t="s">
        <v>70</v>
      </c>
      <c r="Z798" s="34" t="str">
        <f t="shared" si="78"/>
        <v>Medium</v>
      </c>
    </row>
    <row r="799" spans="1:26">
      <c r="A799" t="s">
        <v>1674</v>
      </c>
      <c r="B799" s="44">
        <v>45363</v>
      </c>
      <c r="C799" s="34">
        <f t="shared" si="73"/>
        <v>2024</v>
      </c>
      <c r="D799" s="34">
        <f t="shared" si="74"/>
        <v>3</v>
      </c>
      <c r="E799" s="34" t="str">
        <f t="shared" si="75"/>
        <v>March</v>
      </c>
      <c r="F799" s="44">
        <v>45364</v>
      </c>
      <c r="G799" t="s">
        <v>914</v>
      </c>
      <c r="H799" t="s">
        <v>915</v>
      </c>
      <c r="I799" t="s">
        <v>55</v>
      </c>
      <c r="J799" t="s">
        <v>43</v>
      </c>
      <c r="K799" t="s">
        <v>56</v>
      </c>
      <c r="L799" t="s">
        <v>493</v>
      </c>
      <c r="M799" t="s">
        <v>58</v>
      </c>
      <c r="N799" t="s">
        <v>155</v>
      </c>
      <c r="O799" t="s">
        <v>67</v>
      </c>
      <c r="P799" t="s">
        <v>119</v>
      </c>
      <c r="Q799" t="s">
        <v>156</v>
      </c>
      <c r="R799">
        <v>1613.1</v>
      </c>
      <c r="S799">
        <v>2</v>
      </c>
      <c r="T799">
        <v>0.05</v>
      </c>
      <c r="U799" s="34" t="str">
        <f t="shared" si="76"/>
        <v>Low</v>
      </c>
      <c r="V799">
        <v>282.95</v>
      </c>
      <c r="W799" s="29">
        <f t="shared" si="77"/>
        <v>0.175407600272767</v>
      </c>
      <c r="X799">
        <v>24.69</v>
      </c>
      <c r="Y799" t="s">
        <v>80</v>
      </c>
      <c r="Z799" s="34" t="str">
        <f t="shared" si="78"/>
        <v>Medium</v>
      </c>
    </row>
    <row r="800" spans="1:26">
      <c r="A800" t="s">
        <v>1675</v>
      </c>
      <c r="B800" s="44">
        <v>45596</v>
      </c>
      <c r="C800" s="34">
        <f t="shared" si="73"/>
        <v>2024</v>
      </c>
      <c r="D800" s="34">
        <f t="shared" si="74"/>
        <v>10</v>
      </c>
      <c r="E800" s="34" t="str">
        <f t="shared" si="75"/>
        <v>October</v>
      </c>
      <c r="F800" s="44">
        <v>45598</v>
      </c>
      <c r="G800" t="s">
        <v>1676</v>
      </c>
      <c r="H800" t="s">
        <v>1677</v>
      </c>
      <c r="I800" t="s">
        <v>42</v>
      </c>
      <c r="J800" t="s">
        <v>43</v>
      </c>
      <c r="K800" t="s">
        <v>92</v>
      </c>
      <c r="L800" t="s">
        <v>607</v>
      </c>
      <c r="M800" t="s">
        <v>76</v>
      </c>
      <c r="N800" t="s">
        <v>533</v>
      </c>
      <c r="O800" t="s">
        <v>67</v>
      </c>
      <c r="P800" t="s">
        <v>119</v>
      </c>
      <c r="Q800" t="s">
        <v>534</v>
      </c>
      <c r="R800">
        <v>4396</v>
      </c>
      <c r="S800">
        <v>5</v>
      </c>
      <c r="T800">
        <v>0.2</v>
      </c>
      <c r="U800" s="34" t="str">
        <f t="shared" si="76"/>
        <v>Medium</v>
      </c>
      <c r="V800">
        <v>781.18</v>
      </c>
      <c r="W800" s="29">
        <f t="shared" si="77"/>
        <v>0.17770245677889</v>
      </c>
      <c r="X800">
        <v>33.66</v>
      </c>
      <c r="Y800" t="s">
        <v>121</v>
      </c>
      <c r="Z800" s="34" t="str">
        <f t="shared" si="78"/>
        <v>Large</v>
      </c>
    </row>
    <row r="801" spans="1:26">
      <c r="A801" t="s">
        <v>1678</v>
      </c>
      <c r="B801" s="44">
        <v>44973</v>
      </c>
      <c r="C801" s="34">
        <f t="shared" si="73"/>
        <v>2023</v>
      </c>
      <c r="D801" s="34">
        <f t="shared" si="74"/>
        <v>2</v>
      </c>
      <c r="E801" s="34" t="str">
        <f t="shared" si="75"/>
        <v>February</v>
      </c>
      <c r="F801" s="44">
        <v>44977</v>
      </c>
      <c r="G801" t="s">
        <v>433</v>
      </c>
      <c r="H801" t="s">
        <v>434</v>
      </c>
      <c r="I801" t="s">
        <v>42</v>
      </c>
      <c r="J801" t="s">
        <v>43</v>
      </c>
      <c r="K801" t="s">
        <v>257</v>
      </c>
      <c r="L801" t="s">
        <v>258</v>
      </c>
      <c r="M801" t="s">
        <v>76</v>
      </c>
      <c r="N801" t="s">
        <v>459</v>
      </c>
      <c r="O801" t="s">
        <v>48</v>
      </c>
      <c r="P801" t="s">
        <v>128</v>
      </c>
      <c r="Q801" t="s">
        <v>460</v>
      </c>
      <c r="R801">
        <v>87</v>
      </c>
      <c r="S801">
        <v>3</v>
      </c>
      <c r="T801">
        <v>0</v>
      </c>
      <c r="U801" s="34" t="str">
        <f t="shared" si="76"/>
        <v>No Discount</v>
      </c>
      <c r="V801">
        <v>-6.19</v>
      </c>
      <c r="W801" s="29">
        <f t="shared" si="77"/>
        <v>-0.0711494252873563</v>
      </c>
      <c r="X801">
        <v>6.14</v>
      </c>
      <c r="Y801" t="s">
        <v>62</v>
      </c>
      <c r="Z801" s="34" t="str">
        <f t="shared" si="78"/>
        <v>Small</v>
      </c>
    </row>
    <row r="802" spans="1:26">
      <c r="A802" t="s">
        <v>1679</v>
      </c>
      <c r="B802" s="44">
        <v>44607</v>
      </c>
      <c r="C802" s="34">
        <f t="shared" si="73"/>
        <v>2022</v>
      </c>
      <c r="D802" s="34">
        <f t="shared" si="74"/>
        <v>2</v>
      </c>
      <c r="E802" s="34" t="str">
        <f t="shared" si="75"/>
        <v>February</v>
      </c>
      <c r="F802" s="44">
        <v>44614</v>
      </c>
      <c r="G802" t="s">
        <v>166</v>
      </c>
      <c r="H802" t="s">
        <v>167</v>
      </c>
      <c r="I802" t="s">
        <v>55</v>
      </c>
      <c r="J802" t="s">
        <v>43</v>
      </c>
      <c r="K802" t="s">
        <v>168</v>
      </c>
      <c r="L802" t="s">
        <v>169</v>
      </c>
      <c r="M802" t="s">
        <v>76</v>
      </c>
      <c r="N802" t="s">
        <v>59</v>
      </c>
      <c r="O802" t="s">
        <v>48</v>
      </c>
      <c r="P802" t="s">
        <v>60</v>
      </c>
      <c r="Q802" t="s">
        <v>61</v>
      </c>
      <c r="R802">
        <v>330.6</v>
      </c>
      <c r="S802">
        <v>2</v>
      </c>
      <c r="T802">
        <v>0.05</v>
      </c>
      <c r="U802" s="34" t="str">
        <f t="shared" si="76"/>
        <v>Low</v>
      </c>
      <c r="V802">
        <v>58.4</v>
      </c>
      <c r="W802" s="29">
        <f t="shared" si="77"/>
        <v>0.17664851784634</v>
      </c>
      <c r="X802">
        <v>25.73</v>
      </c>
      <c r="Y802" t="s">
        <v>96</v>
      </c>
      <c r="Z802" s="34" t="str">
        <f t="shared" si="78"/>
        <v>Small</v>
      </c>
    </row>
    <row r="803" spans="1:26">
      <c r="A803" t="s">
        <v>1680</v>
      </c>
      <c r="B803" s="44">
        <v>44223</v>
      </c>
      <c r="C803" s="34">
        <f t="shared" si="73"/>
        <v>2021</v>
      </c>
      <c r="D803" s="34">
        <f t="shared" si="74"/>
        <v>1</v>
      </c>
      <c r="E803" s="34" t="str">
        <f t="shared" si="75"/>
        <v>January</v>
      </c>
      <c r="F803" s="44">
        <v>44224</v>
      </c>
      <c r="G803" t="s">
        <v>243</v>
      </c>
      <c r="H803" t="s">
        <v>244</v>
      </c>
      <c r="I803" t="s">
        <v>55</v>
      </c>
      <c r="J803" t="s">
        <v>43</v>
      </c>
      <c r="K803" t="s">
        <v>245</v>
      </c>
      <c r="L803" t="s">
        <v>958</v>
      </c>
      <c r="M803" t="s">
        <v>76</v>
      </c>
      <c r="N803" t="s">
        <v>351</v>
      </c>
      <c r="O803" t="s">
        <v>67</v>
      </c>
      <c r="P803" t="s">
        <v>68</v>
      </c>
      <c r="Q803" t="s">
        <v>352</v>
      </c>
      <c r="R803">
        <v>479.2</v>
      </c>
      <c r="S803">
        <v>1</v>
      </c>
      <c r="T803">
        <v>0.2</v>
      </c>
      <c r="U803" s="34" t="str">
        <f t="shared" si="76"/>
        <v>Medium</v>
      </c>
      <c r="V803">
        <v>47.12</v>
      </c>
      <c r="W803" s="29">
        <f t="shared" si="77"/>
        <v>0.098330550918197</v>
      </c>
      <c r="X803">
        <v>34.61</v>
      </c>
      <c r="Y803" t="s">
        <v>96</v>
      </c>
      <c r="Z803" s="34" t="str">
        <f t="shared" si="78"/>
        <v>Small</v>
      </c>
    </row>
    <row r="804" spans="1:26">
      <c r="A804" t="s">
        <v>1681</v>
      </c>
      <c r="B804" s="44">
        <v>45519</v>
      </c>
      <c r="C804" s="34">
        <f t="shared" si="73"/>
        <v>2024</v>
      </c>
      <c r="D804" s="34">
        <f t="shared" si="74"/>
        <v>8</v>
      </c>
      <c r="E804" s="34" t="str">
        <f t="shared" si="75"/>
        <v>August</v>
      </c>
      <c r="F804" s="44">
        <v>45526</v>
      </c>
      <c r="G804" t="s">
        <v>483</v>
      </c>
      <c r="H804" t="s">
        <v>484</v>
      </c>
      <c r="I804" t="s">
        <v>42</v>
      </c>
      <c r="J804" t="s">
        <v>43</v>
      </c>
      <c r="K804" t="s">
        <v>108</v>
      </c>
      <c r="L804" t="s">
        <v>485</v>
      </c>
      <c r="M804" t="s">
        <v>58</v>
      </c>
      <c r="N804" t="s">
        <v>278</v>
      </c>
      <c r="O804" t="s">
        <v>35</v>
      </c>
      <c r="P804" t="s">
        <v>202</v>
      </c>
      <c r="Q804" t="s">
        <v>279</v>
      </c>
      <c r="R804">
        <v>1528.3</v>
      </c>
      <c r="S804">
        <v>2</v>
      </c>
      <c r="T804">
        <v>0.15</v>
      </c>
      <c r="U804" s="34" t="str">
        <f t="shared" si="76"/>
        <v>Medium</v>
      </c>
      <c r="V804">
        <v>-125.22</v>
      </c>
      <c r="W804" s="29">
        <f t="shared" si="77"/>
        <v>-0.0819341752273768</v>
      </c>
      <c r="X804">
        <v>9.85</v>
      </c>
      <c r="Y804" t="s">
        <v>80</v>
      </c>
      <c r="Z804" s="34" t="str">
        <f t="shared" si="78"/>
        <v>Medium</v>
      </c>
    </row>
    <row r="805" spans="1:26">
      <c r="A805" t="s">
        <v>1682</v>
      </c>
      <c r="B805" s="44">
        <v>44493</v>
      </c>
      <c r="C805" s="34">
        <f t="shared" si="73"/>
        <v>2021</v>
      </c>
      <c r="D805" s="34">
        <f t="shared" si="74"/>
        <v>10</v>
      </c>
      <c r="E805" s="34" t="str">
        <f t="shared" si="75"/>
        <v>October</v>
      </c>
      <c r="F805" s="44">
        <v>44499</v>
      </c>
      <c r="G805" t="s">
        <v>775</v>
      </c>
      <c r="H805" t="s">
        <v>776</v>
      </c>
      <c r="I805" t="s">
        <v>55</v>
      </c>
      <c r="J805" t="s">
        <v>43</v>
      </c>
      <c r="K805" t="s">
        <v>180</v>
      </c>
      <c r="L805" t="s">
        <v>181</v>
      </c>
      <c r="M805" t="s">
        <v>46</v>
      </c>
      <c r="N805" t="s">
        <v>623</v>
      </c>
      <c r="O805" t="s">
        <v>67</v>
      </c>
      <c r="P805" t="s">
        <v>87</v>
      </c>
      <c r="Q805" t="s">
        <v>624</v>
      </c>
      <c r="R805">
        <v>1245</v>
      </c>
      <c r="S805">
        <v>5</v>
      </c>
      <c r="T805">
        <v>0</v>
      </c>
      <c r="U805" s="34" t="str">
        <f t="shared" si="76"/>
        <v>No Discount</v>
      </c>
      <c r="V805">
        <v>-102.62</v>
      </c>
      <c r="W805" s="29">
        <f t="shared" si="77"/>
        <v>-0.082425702811245</v>
      </c>
      <c r="X805">
        <v>10.06</v>
      </c>
      <c r="Y805" t="s">
        <v>38</v>
      </c>
      <c r="Z805" s="34" t="str">
        <f t="shared" si="78"/>
        <v>Medium</v>
      </c>
    </row>
    <row r="806" spans="1:26">
      <c r="A806" t="s">
        <v>1683</v>
      </c>
      <c r="B806" s="44">
        <v>45198</v>
      </c>
      <c r="C806" s="34">
        <f t="shared" si="73"/>
        <v>2023</v>
      </c>
      <c r="D806" s="34">
        <f t="shared" si="74"/>
        <v>9</v>
      </c>
      <c r="E806" s="34" t="str">
        <f t="shared" si="75"/>
        <v>September</v>
      </c>
      <c r="F806" s="44">
        <v>45199</v>
      </c>
      <c r="G806" t="s">
        <v>144</v>
      </c>
      <c r="H806" t="s">
        <v>145</v>
      </c>
      <c r="I806" t="s">
        <v>55</v>
      </c>
      <c r="J806" t="s">
        <v>30</v>
      </c>
      <c r="K806" t="s">
        <v>146</v>
      </c>
      <c r="L806" t="s">
        <v>147</v>
      </c>
      <c r="M806" t="s">
        <v>33</v>
      </c>
      <c r="N806" t="s">
        <v>872</v>
      </c>
      <c r="O806" t="s">
        <v>35</v>
      </c>
      <c r="P806" t="s">
        <v>163</v>
      </c>
      <c r="Q806" t="s">
        <v>873</v>
      </c>
      <c r="R806">
        <v>5621.25</v>
      </c>
      <c r="S806">
        <v>5</v>
      </c>
      <c r="T806">
        <v>0.25</v>
      </c>
      <c r="U806" s="34" t="str">
        <f t="shared" si="76"/>
        <v>High</v>
      </c>
      <c r="V806">
        <v>1398.85</v>
      </c>
      <c r="W806" s="29">
        <f t="shared" si="77"/>
        <v>0.248850344674227</v>
      </c>
      <c r="X806">
        <v>21.53</v>
      </c>
      <c r="Y806" t="s">
        <v>38</v>
      </c>
      <c r="Z806" s="34" t="str">
        <f t="shared" si="78"/>
        <v>Large</v>
      </c>
    </row>
    <row r="807" spans="1:26">
      <c r="A807" t="s">
        <v>1684</v>
      </c>
      <c r="B807" s="44">
        <v>44800</v>
      </c>
      <c r="C807" s="34">
        <f t="shared" si="73"/>
        <v>2022</v>
      </c>
      <c r="D807" s="34">
        <f t="shared" si="74"/>
        <v>8</v>
      </c>
      <c r="E807" s="34" t="str">
        <f t="shared" si="75"/>
        <v>August</v>
      </c>
      <c r="F807" s="44">
        <v>44802</v>
      </c>
      <c r="G807" t="s">
        <v>1599</v>
      </c>
      <c r="H807" t="s">
        <v>283</v>
      </c>
      <c r="I807" t="s">
        <v>55</v>
      </c>
      <c r="J807" t="s">
        <v>43</v>
      </c>
      <c r="K807" t="s">
        <v>551</v>
      </c>
      <c r="L807" t="s">
        <v>718</v>
      </c>
      <c r="M807" t="s">
        <v>33</v>
      </c>
      <c r="N807" t="s">
        <v>201</v>
      </c>
      <c r="O807" t="s">
        <v>35</v>
      </c>
      <c r="P807" t="s">
        <v>202</v>
      </c>
      <c r="Q807" t="s">
        <v>203</v>
      </c>
      <c r="R807">
        <v>1347</v>
      </c>
      <c r="S807">
        <v>3</v>
      </c>
      <c r="T807">
        <v>0</v>
      </c>
      <c r="U807" s="34" t="str">
        <f t="shared" si="76"/>
        <v>No Discount</v>
      </c>
      <c r="V807">
        <v>149.05</v>
      </c>
      <c r="W807" s="29">
        <f t="shared" si="77"/>
        <v>0.110653303637713</v>
      </c>
      <c r="X807">
        <v>41.97</v>
      </c>
      <c r="Y807" t="s">
        <v>121</v>
      </c>
      <c r="Z807" s="34" t="str">
        <f t="shared" si="78"/>
        <v>Medium</v>
      </c>
    </row>
    <row r="808" spans="1:26">
      <c r="A808" t="s">
        <v>1685</v>
      </c>
      <c r="B808" s="44">
        <v>45342</v>
      </c>
      <c r="C808" s="34">
        <f t="shared" si="73"/>
        <v>2024</v>
      </c>
      <c r="D808" s="34">
        <f t="shared" si="74"/>
        <v>2</v>
      </c>
      <c r="E808" s="34" t="str">
        <f t="shared" si="75"/>
        <v>February</v>
      </c>
      <c r="F808" s="44">
        <v>45343</v>
      </c>
      <c r="G808" t="s">
        <v>1100</v>
      </c>
      <c r="H808" t="s">
        <v>261</v>
      </c>
      <c r="I808" t="s">
        <v>42</v>
      </c>
      <c r="J808" t="s">
        <v>43</v>
      </c>
      <c r="K808" t="s">
        <v>175</v>
      </c>
      <c r="L808" t="s">
        <v>176</v>
      </c>
      <c r="M808" t="s">
        <v>46</v>
      </c>
      <c r="N808" t="s">
        <v>170</v>
      </c>
      <c r="O808" t="s">
        <v>48</v>
      </c>
      <c r="P808" t="s">
        <v>49</v>
      </c>
      <c r="Q808" t="s">
        <v>171</v>
      </c>
      <c r="R808">
        <v>506.6</v>
      </c>
      <c r="S808">
        <v>4</v>
      </c>
      <c r="T808">
        <v>0.15</v>
      </c>
      <c r="U808" s="34" t="str">
        <f t="shared" si="76"/>
        <v>Medium</v>
      </c>
      <c r="V808">
        <v>-46.62</v>
      </c>
      <c r="W808" s="29">
        <f t="shared" si="77"/>
        <v>-0.0920252664824319</v>
      </c>
      <c r="X808">
        <v>20.29</v>
      </c>
      <c r="Y808" t="s">
        <v>38</v>
      </c>
      <c r="Z808" s="34" t="str">
        <f t="shared" si="78"/>
        <v>Medium</v>
      </c>
    </row>
    <row r="809" spans="1:26">
      <c r="A809" t="s">
        <v>1686</v>
      </c>
      <c r="B809" s="44">
        <v>44095</v>
      </c>
      <c r="C809" s="34">
        <f t="shared" si="73"/>
        <v>2020</v>
      </c>
      <c r="D809" s="34">
        <f t="shared" si="74"/>
        <v>9</v>
      </c>
      <c r="E809" s="34" t="str">
        <f t="shared" si="75"/>
        <v>September</v>
      </c>
      <c r="F809" s="44">
        <v>44097</v>
      </c>
      <c r="G809" t="s">
        <v>1401</v>
      </c>
      <c r="H809" t="s">
        <v>1398</v>
      </c>
      <c r="I809" t="s">
        <v>55</v>
      </c>
      <c r="J809" t="s">
        <v>43</v>
      </c>
      <c r="K809" t="s">
        <v>273</v>
      </c>
      <c r="L809" t="s">
        <v>468</v>
      </c>
      <c r="M809" t="s">
        <v>46</v>
      </c>
      <c r="N809" t="s">
        <v>388</v>
      </c>
      <c r="O809" t="s">
        <v>48</v>
      </c>
      <c r="P809" t="s">
        <v>190</v>
      </c>
      <c r="Q809" t="s">
        <v>389</v>
      </c>
      <c r="R809">
        <v>178</v>
      </c>
      <c r="S809">
        <v>2</v>
      </c>
      <c r="T809">
        <v>0</v>
      </c>
      <c r="U809" s="34" t="str">
        <f t="shared" si="76"/>
        <v>No Discount</v>
      </c>
      <c r="V809">
        <v>22.36</v>
      </c>
      <c r="W809" s="29">
        <f t="shared" si="77"/>
        <v>0.12561797752809</v>
      </c>
      <c r="X809">
        <v>32.26</v>
      </c>
      <c r="Y809" t="s">
        <v>38</v>
      </c>
      <c r="Z809" s="34" t="str">
        <f t="shared" si="78"/>
        <v>Small</v>
      </c>
    </row>
    <row r="810" spans="1:26">
      <c r="A810" t="s">
        <v>1687</v>
      </c>
      <c r="B810" s="44">
        <v>44529</v>
      </c>
      <c r="C810" s="34">
        <f t="shared" si="73"/>
        <v>2021</v>
      </c>
      <c r="D810" s="34">
        <f t="shared" si="74"/>
        <v>11</v>
      </c>
      <c r="E810" s="34" t="str">
        <f t="shared" si="75"/>
        <v>November</v>
      </c>
      <c r="F810" s="44">
        <v>44532</v>
      </c>
      <c r="G810" t="s">
        <v>597</v>
      </c>
      <c r="H810" t="s">
        <v>598</v>
      </c>
      <c r="I810" t="s">
        <v>29</v>
      </c>
      <c r="J810" t="s">
        <v>30</v>
      </c>
      <c r="K810" t="s">
        <v>199</v>
      </c>
      <c r="L810" t="s">
        <v>396</v>
      </c>
      <c r="M810" t="s">
        <v>46</v>
      </c>
      <c r="N810" t="s">
        <v>670</v>
      </c>
      <c r="O810" t="s">
        <v>48</v>
      </c>
      <c r="P810" t="s">
        <v>49</v>
      </c>
      <c r="Q810" t="s">
        <v>671</v>
      </c>
      <c r="R810">
        <v>93.1</v>
      </c>
      <c r="S810">
        <v>1</v>
      </c>
      <c r="T810">
        <v>0.05</v>
      </c>
      <c r="U810" s="34" t="str">
        <f t="shared" si="76"/>
        <v>Low</v>
      </c>
      <c r="V810">
        <v>-17.55</v>
      </c>
      <c r="W810" s="29">
        <f t="shared" si="77"/>
        <v>-0.188506981740064</v>
      </c>
      <c r="X810">
        <v>42.99</v>
      </c>
      <c r="Y810" t="s">
        <v>62</v>
      </c>
      <c r="Z810" s="34" t="str">
        <f t="shared" si="78"/>
        <v>Small</v>
      </c>
    </row>
    <row r="811" spans="1:26">
      <c r="A811" t="s">
        <v>1688</v>
      </c>
      <c r="B811" s="44">
        <v>45581</v>
      </c>
      <c r="C811" s="34">
        <f t="shared" si="73"/>
        <v>2024</v>
      </c>
      <c r="D811" s="34">
        <f t="shared" si="74"/>
        <v>10</v>
      </c>
      <c r="E811" s="34" t="str">
        <f t="shared" si="75"/>
        <v>October</v>
      </c>
      <c r="F811" s="44">
        <v>45586</v>
      </c>
      <c r="G811" t="s">
        <v>391</v>
      </c>
      <c r="H811" t="s">
        <v>392</v>
      </c>
      <c r="I811" t="s">
        <v>42</v>
      </c>
      <c r="J811" t="s">
        <v>43</v>
      </c>
      <c r="K811" t="s">
        <v>320</v>
      </c>
      <c r="L811" t="s">
        <v>181</v>
      </c>
      <c r="M811" t="s">
        <v>46</v>
      </c>
      <c r="N811" t="s">
        <v>127</v>
      </c>
      <c r="O811" t="s">
        <v>48</v>
      </c>
      <c r="P811" t="s">
        <v>128</v>
      </c>
      <c r="Q811" t="s">
        <v>129</v>
      </c>
      <c r="R811">
        <v>221</v>
      </c>
      <c r="S811">
        <v>4</v>
      </c>
      <c r="T811">
        <v>0.15</v>
      </c>
      <c r="U811" s="34" t="str">
        <f t="shared" si="76"/>
        <v>Medium</v>
      </c>
      <c r="V811">
        <v>-27.44</v>
      </c>
      <c r="W811" s="29">
        <f t="shared" si="77"/>
        <v>-0.124162895927602</v>
      </c>
      <c r="X811">
        <v>32.53</v>
      </c>
      <c r="Y811" t="s">
        <v>121</v>
      </c>
      <c r="Z811" s="34" t="str">
        <f t="shared" si="78"/>
        <v>Small</v>
      </c>
    </row>
    <row r="812" spans="1:26">
      <c r="A812" t="s">
        <v>1689</v>
      </c>
      <c r="B812" s="44">
        <v>45525</v>
      </c>
      <c r="C812" s="34">
        <f t="shared" si="73"/>
        <v>2024</v>
      </c>
      <c r="D812" s="34">
        <f t="shared" si="74"/>
        <v>8</v>
      </c>
      <c r="E812" s="34" t="str">
        <f t="shared" si="75"/>
        <v>August</v>
      </c>
      <c r="F812" s="44">
        <v>45529</v>
      </c>
      <c r="G812" t="s">
        <v>436</v>
      </c>
      <c r="H812" t="s">
        <v>437</v>
      </c>
      <c r="I812" t="s">
        <v>55</v>
      </c>
      <c r="J812" t="s">
        <v>43</v>
      </c>
      <c r="K812" t="s">
        <v>438</v>
      </c>
      <c r="L812" t="s">
        <v>439</v>
      </c>
      <c r="M812" t="s">
        <v>76</v>
      </c>
      <c r="N812" t="s">
        <v>162</v>
      </c>
      <c r="O812" t="s">
        <v>35</v>
      </c>
      <c r="P812" t="s">
        <v>163</v>
      </c>
      <c r="Q812" t="s">
        <v>164</v>
      </c>
      <c r="R812">
        <v>1098</v>
      </c>
      <c r="S812">
        <v>2</v>
      </c>
      <c r="T812">
        <v>0</v>
      </c>
      <c r="U812" s="34" t="str">
        <f t="shared" si="76"/>
        <v>No Discount</v>
      </c>
      <c r="V812">
        <v>-100.19</v>
      </c>
      <c r="W812" s="29">
        <f t="shared" si="77"/>
        <v>-0.091247723132969</v>
      </c>
      <c r="X812">
        <v>41.15</v>
      </c>
      <c r="Y812" t="s">
        <v>121</v>
      </c>
      <c r="Z812" s="34" t="str">
        <f t="shared" si="78"/>
        <v>Medium</v>
      </c>
    </row>
    <row r="813" spans="1:26">
      <c r="A813" t="s">
        <v>1690</v>
      </c>
      <c r="B813" s="44">
        <v>43961</v>
      </c>
      <c r="C813" s="34">
        <f t="shared" si="73"/>
        <v>2020</v>
      </c>
      <c r="D813" s="34">
        <f t="shared" si="74"/>
        <v>5</v>
      </c>
      <c r="E813" s="34" t="str">
        <f t="shared" si="75"/>
        <v>May</v>
      </c>
      <c r="F813" s="44">
        <v>43967</v>
      </c>
      <c r="G813" t="s">
        <v>780</v>
      </c>
      <c r="H813" t="s">
        <v>41</v>
      </c>
      <c r="I813" t="s">
        <v>42</v>
      </c>
      <c r="J813" t="s">
        <v>43</v>
      </c>
      <c r="K813" t="s">
        <v>74</v>
      </c>
      <c r="L813" t="s">
        <v>613</v>
      </c>
      <c r="M813" t="s">
        <v>76</v>
      </c>
      <c r="N813" t="s">
        <v>135</v>
      </c>
      <c r="O813" t="s">
        <v>67</v>
      </c>
      <c r="P813" t="s">
        <v>68</v>
      </c>
      <c r="Q813" t="s">
        <v>136</v>
      </c>
      <c r="R813">
        <v>3245</v>
      </c>
      <c r="S813">
        <v>5</v>
      </c>
      <c r="T813">
        <v>0</v>
      </c>
      <c r="U813" s="34" t="str">
        <f t="shared" si="76"/>
        <v>No Discount</v>
      </c>
      <c r="V813">
        <v>479.78</v>
      </c>
      <c r="W813" s="29">
        <f t="shared" si="77"/>
        <v>0.147852080123267</v>
      </c>
      <c r="X813">
        <v>23.24</v>
      </c>
      <c r="Y813" t="s">
        <v>38</v>
      </c>
      <c r="Z813" s="34" t="str">
        <f t="shared" si="78"/>
        <v>Large</v>
      </c>
    </row>
    <row r="814" spans="1:26">
      <c r="A814" t="s">
        <v>1691</v>
      </c>
      <c r="B814" s="44">
        <v>45542</v>
      </c>
      <c r="C814" s="34">
        <f t="shared" si="73"/>
        <v>2024</v>
      </c>
      <c r="D814" s="34">
        <f t="shared" si="74"/>
        <v>9</v>
      </c>
      <c r="E814" s="34" t="str">
        <f t="shared" si="75"/>
        <v>September</v>
      </c>
      <c r="F814" s="44">
        <v>45543</v>
      </c>
      <c r="G814" t="s">
        <v>733</v>
      </c>
      <c r="H814" t="s">
        <v>734</v>
      </c>
      <c r="I814" t="s">
        <v>29</v>
      </c>
      <c r="J814" t="s">
        <v>30</v>
      </c>
      <c r="K814" t="s">
        <v>645</v>
      </c>
      <c r="L814" t="s">
        <v>311</v>
      </c>
      <c r="M814" t="s">
        <v>58</v>
      </c>
      <c r="N814" t="s">
        <v>382</v>
      </c>
      <c r="O814" t="s">
        <v>67</v>
      </c>
      <c r="P814" t="s">
        <v>119</v>
      </c>
      <c r="Q814" t="s">
        <v>383</v>
      </c>
      <c r="R814">
        <v>1608.6</v>
      </c>
      <c r="S814">
        <v>2</v>
      </c>
      <c r="T814">
        <v>0.3</v>
      </c>
      <c r="U814" s="34" t="str">
        <f t="shared" si="76"/>
        <v>High</v>
      </c>
      <c r="V814">
        <v>-141.38</v>
      </c>
      <c r="W814" s="29">
        <f t="shared" si="77"/>
        <v>-0.0878900907621534</v>
      </c>
      <c r="X814">
        <v>42.29</v>
      </c>
      <c r="Y814" t="s">
        <v>137</v>
      </c>
      <c r="Z814" s="34" t="str">
        <f t="shared" si="78"/>
        <v>Medium</v>
      </c>
    </row>
    <row r="815" spans="1:26">
      <c r="A815" t="s">
        <v>1692</v>
      </c>
      <c r="B815" s="44">
        <v>44493</v>
      </c>
      <c r="C815" s="34">
        <f t="shared" si="73"/>
        <v>2021</v>
      </c>
      <c r="D815" s="34">
        <f t="shared" si="74"/>
        <v>10</v>
      </c>
      <c r="E815" s="34" t="str">
        <f t="shared" si="75"/>
        <v>October</v>
      </c>
      <c r="F815" s="44">
        <v>44495</v>
      </c>
      <c r="G815" t="s">
        <v>178</v>
      </c>
      <c r="H815" t="s">
        <v>179</v>
      </c>
      <c r="I815" t="s">
        <v>29</v>
      </c>
      <c r="J815" t="s">
        <v>43</v>
      </c>
      <c r="K815" t="s">
        <v>180</v>
      </c>
      <c r="L815" t="s">
        <v>181</v>
      </c>
      <c r="M815" t="s">
        <v>46</v>
      </c>
      <c r="N815" t="s">
        <v>382</v>
      </c>
      <c r="O815" t="s">
        <v>67</v>
      </c>
      <c r="P815" t="s">
        <v>119</v>
      </c>
      <c r="Q815" t="s">
        <v>383</v>
      </c>
      <c r="R815">
        <v>1034.1</v>
      </c>
      <c r="S815">
        <v>1</v>
      </c>
      <c r="T815">
        <v>0.1</v>
      </c>
      <c r="U815" s="34" t="str">
        <f t="shared" si="76"/>
        <v>Low</v>
      </c>
      <c r="V815">
        <v>96.73</v>
      </c>
      <c r="W815" s="29">
        <f t="shared" si="77"/>
        <v>0.0935402765689972</v>
      </c>
      <c r="X815">
        <v>22.26</v>
      </c>
      <c r="Y815" t="s">
        <v>96</v>
      </c>
      <c r="Z815" s="34" t="str">
        <f t="shared" si="78"/>
        <v>Medium</v>
      </c>
    </row>
    <row r="816" spans="1:26">
      <c r="A816" t="s">
        <v>1693</v>
      </c>
      <c r="B816" s="44">
        <v>44709</v>
      </c>
      <c r="C816" s="34">
        <f t="shared" si="73"/>
        <v>2022</v>
      </c>
      <c r="D816" s="34">
        <f t="shared" si="74"/>
        <v>5</v>
      </c>
      <c r="E816" s="34" t="str">
        <f t="shared" si="75"/>
        <v>May</v>
      </c>
      <c r="F816" s="44">
        <v>44713</v>
      </c>
      <c r="G816" t="s">
        <v>1397</v>
      </c>
      <c r="H816" t="s">
        <v>1398</v>
      </c>
      <c r="I816" t="s">
        <v>29</v>
      </c>
      <c r="J816" t="s">
        <v>43</v>
      </c>
      <c r="K816" t="s">
        <v>326</v>
      </c>
      <c r="L816" t="s">
        <v>1003</v>
      </c>
      <c r="M816" t="s">
        <v>58</v>
      </c>
      <c r="N816" t="s">
        <v>148</v>
      </c>
      <c r="O816" t="s">
        <v>48</v>
      </c>
      <c r="P816" t="s">
        <v>60</v>
      </c>
      <c r="Q816" t="s">
        <v>149</v>
      </c>
      <c r="R816">
        <v>220</v>
      </c>
      <c r="S816">
        <v>4</v>
      </c>
      <c r="T816">
        <v>0</v>
      </c>
      <c r="U816" s="34" t="str">
        <f t="shared" si="76"/>
        <v>No Discount</v>
      </c>
      <c r="V816">
        <v>46.39</v>
      </c>
      <c r="W816" s="29">
        <f t="shared" si="77"/>
        <v>0.210863636363636</v>
      </c>
      <c r="X816">
        <v>6.7</v>
      </c>
      <c r="Y816" t="s">
        <v>70</v>
      </c>
      <c r="Z816" s="34" t="str">
        <f t="shared" si="78"/>
        <v>Small</v>
      </c>
    </row>
    <row r="817" spans="1:26">
      <c r="A817" t="s">
        <v>1694</v>
      </c>
      <c r="B817" s="44">
        <v>44223</v>
      </c>
      <c r="C817" s="34">
        <f t="shared" si="73"/>
        <v>2021</v>
      </c>
      <c r="D817" s="34">
        <f t="shared" si="74"/>
        <v>1</v>
      </c>
      <c r="E817" s="34" t="str">
        <f t="shared" si="75"/>
        <v>January</v>
      </c>
      <c r="F817" s="44">
        <v>44228</v>
      </c>
      <c r="G817" t="s">
        <v>347</v>
      </c>
      <c r="H817" t="s">
        <v>348</v>
      </c>
      <c r="I817" t="s">
        <v>55</v>
      </c>
      <c r="J817" t="s">
        <v>43</v>
      </c>
      <c r="K817" t="s">
        <v>349</v>
      </c>
      <c r="L817" t="s">
        <v>350</v>
      </c>
      <c r="M817" t="s">
        <v>33</v>
      </c>
      <c r="N817" t="s">
        <v>118</v>
      </c>
      <c r="O817" t="s">
        <v>67</v>
      </c>
      <c r="P817" t="s">
        <v>119</v>
      </c>
      <c r="Q817" t="s">
        <v>120</v>
      </c>
      <c r="R817">
        <v>4076.6</v>
      </c>
      <c r="S817">
        <v>4</v>
      </c>
      <c r="T817">
        <v>0.15</v>
      </c>
      <c r="U817" s="34" t="str">
        <f t="shared" si="76"/>
        <v>Medium</v>
      </c>
      <c r="V817">
        <v>-331.92</v>
      </c>
      <c r="W817" s="29">
        <f t="shared" si="77"/>
        <v>-0.0814207918363342</v>
      </c>
      <c r="X817">
        <v>19.31</v>
      </c>
      <c r="Y817" t="s">
        <v>121</v>
      </c>
      <c r="Z817" s="34" t="str">
        <f t="shared" si="78"/>
        <v>Large</v>
      </c>
    </row>
    <row r="818" spans="1:26">
      <c r="A818" t="s">
        <v>1695</v>
      </c>
      <c r="B818" s="44">
        <v>43832</v>
      </c>
      <c r="C818" s="34">
        <f t="shared" si="73"/>
        <v>2020</v>
      </c>
      <c r="D818" s="34">
        <f t="shared" si="74"/>
        <v>1</v>
      </c>
      <c r="E818" s="34" t="str">
        <f t="shared" si="75"/>
        <v>January</v>
      </c>
      <c r="F818" s="44">
        <v>43836</v>
      </c>
      <c r="G818" t="s">
        <v>1360</v>
      </c>
      <c r="H818" t="s">
        <v>413</v>
      </c>
      <c r="I818" t="s">
        <v>29</v>
      </c>
      <c r="J818" t="s">
        <v>30</v>
      </c>
      <c r="K818" t="s">
        <v>472</v>
      </c>
      <c r="L818" t="s">
        <v>1361</v>
      </c>
      <c r="M818" t="s">
        <v>58</v>
      </c>
      <c r="N818" t="s">
        <v>102</v>
      </c>
      <c r="O818" t="s">
        <v>67</v>
      </c>
      <c r="P818" t="s">
        <v>103</v>
      </c>
      <c r="Q818" t="s">
        <v>104</v>
      </c>
      <c r="R818">
        <v>798</v>
      </c>
      <c r="S818">
        <v>2</v>
      </c>
      <c r="T818">
        <v>0</v>
      </c>
      <c r="U818" s="34" t="str">
        <f t="shared" si="76"/>
        <v>No Discount</v>
      </c>
      <c r="V818">
        <v>186.09</v>
      </c>
      <c r="W818" s="29">
        <f t="shared" si="77"/>
        <v>0.233195488721805</v>
      </c>
      <c r="X818">
        <v>44.7</v>
      </c>
      <c r="Y818" t="s">
        <v>51</v>
      </c>
      <c r="Z818" s="34" t="str">
        <f t="shared" si="78"/>
        <v>Medium</v>
      </c>
    </row>
    <row r="819" spans="1:26">
      <c r="A819" t="s">
        <v>1696</v>
      </c>
      <c r="B819" s="44">
        <v>44121</v>
      </c>
      <c r="C819" s="34">
        <f t="shared" si="73"/>
        <v>2020</v>
      </c>
      <c r="D819" s="34">
        <f t="shared" si="74"/>
        <v>10</v>
      </c>
      <c r="E819" s="34" t="str">
        <f t="shared" si="75"/>
        <v>October</v>
      </c>
      <c r="F819" s="44">
        <v>44128</v>
      </c>
      <c r="G819" t="s">
        <v>1334</v>
      </c>
      <c r="H819" t="s">
        <v>1335</v>
      </c>
      <c r="I819" t="s">
        <v>29</v>
      </c>
      <c r="J819" t="s">
        <v>43</v>
      </c>
      <c r="K819" t="s">
        <v>380</v>
      </c>
      <c r="L819" t="s">
        <v>381</v>
      </c>
      <c r="M819" t="s">
        <v>58</v>
      </c>
      <c r="N819" t="s">
        <v>66</v>
      </c>
      <c r="O819" t="s">
        <v>67</v>
      </c>
      <c r="P819" t="s">
        <v>68</v>
      </c>
      <c r="Q819" t="s">
        <v>69</v>
      </c>
      <c r="R819">
        <v>1598</v>
      </c>
      <c r="S819">
        <v>2</v>
      </c>
      <c r="T819">
        <v>0</v>
      </c>
      <c r="U819" s="34" t="str">
        <f t="shared" si="76"/>
        <v>No Discount</v>
      </c>
      <c r="V819">
        <v>183.35</v>
      </c>
      <c r="W819" s="29">
        <f t="shared" si="77"/>
        <v>0.11473717146433</v>
      </c>
      <c r="X819">
        <v>28.02</v>
      </c>
      <c r="Y819" t="s">
        <v>121</v>
      </c>
      <c r="Z819" s="34" t="str">
        <f t="shared" si="78"/>
        <v>Medium</v>
      </c>
    </row>
    <row r="820" spans="1:26">
      <c r="A820" t="s">
        <v>1697</v>
      </c>
      <c r="B820" s="44">
        <v>45388</v>
      </c>
      <c r="C820" s="34">
        <f t="shared" si="73"/>
        <v>2024</v>
      </c>
      <c r="D820" s="34">
        <f t="shared" si="74"/>
        <v>4</v>
      </c>
      <c r="E820" s="34" t="str">
        <f t="shared" si="75"/>
        <v>April</v>
      </c>
      <c r="F820" s="44">
        <v>45395</v>
      </c>
      <c r="G820" t="s">
        <v>72</v>
      </c>
      <c r="H820" t="s">
        <v>73</v>
      </c>
      <c r="I820" t="s">
        <v>55</v>
      </c>
      <c r="J820" t="s">
        <v>30</v>
      </c>
      <c r="K820" t="s">
        <v>74</v>
      </c>
      <c r="L820" t="s">
        <v>75</v>
      </c>
      <c r="M820" t="s">
        <v>76</v>
      </c>
      <c r="N820" t="s">
        <v>339</v>
      </c>
      <c r="O820" t="s">
        <v>35</v>
      </c>
      <c r="P820" t="s">
        <v>78</v>
      </c>
      <c r="Q820" t="s">
        <v>340</v>
      </c>
      <c r="R820">
        <v>652.65</v>
      </c>
      <c r="S820">
        <v>3</v>
      </c>
      <c r="T820">
        <v>0.05</v>
      </c>
      <c r="U820" s="34" t="str">
        <f t="shared" si="76"/>
        <v>Low</v>
      </c>
      <c r="V820">
        <v>94.01</v>
      </c>
      <c r="W820" s="29">
        <f t="shared" si="77"/>
        <v>0.144043514900789</v>
      </c>
      <c r="X820">
        <v>12.95</v>
      </c>
      <c r="Y820" t="s">
        <v>38</v>
      </c>
      <c r="Z820" s="34" t="str">
        <f t="shared" si="78"/>
        <v>Medium</v>
      </c>
    </row>
    <row r="821" spans="1:26">
      <c r="A821" t="s">
        <v>1698</v>
      </c>
      <c r="B821" s="44">
        <v>45398</v>
      </c>
      <c r="C821" s="34">
        <f t="shared" si="73"/>
        <v>2024</v>
      </c>
      <c r="D821" s="34">
        <f t="shared" si="74"/>
        <v>4</v>
      </c>
      <c r="E821" s="34" t="str">
        <f t="shared" si="75"/>
        <v>April</v>
      </c>
      <c r="F821" s="44">
        <v>45404</v>
      </c>
      <c r="G821" t="s">
        <v>712</v>
      </c>
      <c r="H821" t="s">
        <v>713</v>
      </c>
      <c r="I821" t="s">
        <v>42</v>
      </c>
      <c r="J821" t="s">
        <v>43</v>
      </c>
      <c r="K821" t="s">
        <v>349</v>
      </c>
      <c r="L821" t="s">
        <v>714</v>
      </c>
      <c r="M821" t="s">
        <v>33</v>
      </c>
      <c r="N821" t="s">
        <v>141</v>
      </c>
      <c r="O821" t="s">
        <v>35</v>
      </c>
      <c r="P821" t="s">
        <v>111</v>
      </c>
      <c r="Q821" t="s">
        <v>142</v>
      </c>
      <c r="R821">
        <v>357.6</v>
      </c>
      <c r="S821">
        <v>3</v>
      </c>
      <c r="T821">
        <v>0.2</v>
      </c>
      <c r="U821" s="34" t="str">
        <f t="shared" si="76"/>
        <v>Medium</v>
      </c>
      <c r="V821">
        <v>-20.69</v>
      </c>
      <c r="W821" s="29">
        <f t="shared" si="77"/>
        <v>-0.0578579418344519</v>
      </c>
      <c r="X821">
        <v>9.38</v>
      </c>
      <c r="Y821" t="s">
        <v>70</v>
      </c>
      <c r="Z821" s="34" t="str">
        <f t="shared" si="78"/>
        <v>Small</v>
      </c>
    </row>
    <row r="822" spans="1:26">
      <c r="A822" t="s">
        <v>1699</v>
      </c>
      <c r="B822" s="44">
        <v>45048</v>
      </c>
      <c r="C822" s="34">
        <f t="shared" si="73"/>
        <v>2023</v>
      </c>
      <c r="D822" s="34">
        <f t="shared" si="74"/>
        <v>5</v>
      </c>
      <c r="E822" s="34" t="str">
        <f t="shared" si="75"/>
        <v>May</v>
      </c>
      <c r="F822" s="44">
        <v>45049</v>
      </c>
      <c r="G822" t="s">
        <v>1110</v>
      </c>
      <c r="H822" t="s">
        <v>1111</v>
      </c>
      <c r="I822" t="s">
        <v>42</v>
      </c>
      <c r="J822" t="s">
        <v>43</v>
      </c>
      <c r="K822" t="s">
        <v>108</v>
      </c>
      <c r="L822" t="s">
        <v>1112</v>
      </c>
      <c r="M822" t="s">
        <v>58</v>
      </c>
      <c r="N822" t="s">
        <v>333</v>
      </c>
      <c r="O822" t="s">
        <v>48</v>
      </c>
      <c r="P822" t="s">
        <v>190</v>
      </c>
      <c r="Q822" t="s">
        <v>334</v>
      </c>
      <c r="R822">
        <v>425.25</v>
      </c>
      <c r="S822">
        <v>3</v>
      </c>
      <c r="T822">
        <v>0.25</v>
      </c>
      <c r="U822" s="34" t="str">
        <f t="shared" si="76"/>
        <v>High</v>
      </c>
      <c r="V822">
        <v>52.96</v>
      </c>
      <c r="W822" s="29">
        <f t="shared" si="77"/>
        <v>0.124538506760729</v>
      </c>
      <c r="X822">
        <v>36.08</v>
      </c>
      <c r="Y822" t="s">
        <v>137</v>
      </c>
      <c r="Z822" s="34" t="str">
        <f t="shared" si="78"/>
        <v>Small</v>
      </c>
    </row>
    <row r="823" spans="1:26">
      <c r="A823" t="s">
        <v>1700</v>
      </c>
      <c r="B823" s="44">
        <v>44045</v>
      </c>
      <c r="C823" s="34">
        <f t="shared" si="73"/>
        <v>2020</v>
      </c>
      <c r="D823" s="34">
        <f t="shared" si="74"/>
        <v>8</v>
      </c>
      <c r="E823" s="34" t="str">
        <f t="shared" si="75"/>
        <v>August</v>
      </c>
      <c r="F823" s="44">
        <v>44046</v>
      </c>
      <c r="G823" t="s">
        <v>106</v>
      </c>
      <c r="H823" t="s">
        <v>107</v>
      </c>
      <c r="I823" t="s">
        <v>29</v>
      </c>
      <c r="J823" t="s">
        <v>30</v>
      </c>
      <c r="K823" t="s">
        <v>108</v>
      </c>
      <c r="L823" t="s">
        <v>109</v>
      </c>
      <c r="M823" t="s">
        <v>58</v>
      </c>
      <c r="N823" t="s">
        <v>86</v>
      </c>
      <c r="O823" t="s">
        <v>67</v>
      </c>
      <c r="P823" t="s">
        <v>87</v>
      </c>
      <c r="Q823" t="s">
        <v>88</v>
      </c>
      <c r="R823">
        <v>147</v>
      </c>
      <c r="S823">
        <v>3</v>
      </c>
      <c r="T823">
        <v>0</v>
      </c>
      <c r="U823" s="34" t="str">
        <f t="shared" si="76"/>
        <v>No Discount</v>
      </c>
      <c r="V823">
        <v>15.91</v>
      </c>
      <c r="W823" s="29">
        <f t="shared" si="77"/>
        <v>0.108231292517007</v>
      </c>
      <c r="X823">
        <v>44.96</v>
      </c>
      <c r="Y823" t="s">
        <v>137</v>
      </c>
      <c r="Z823" s="34" t="str">
        <f t="shared" si="78"/>
        <v>Small</v>
      </c>
    </row>
    <row r="824" spans="1:26">
      <c r="A824" t="s">
        <v>1701</v>
      </c>
      <c r="B824" s="44">
        <v>45023</v>
      </c>
      <c r="C824" s="34">
        <f t="shared" si="73"/>
        <v>2023</v>
      </c>
      <c r="D824" s="34">
        <f t="shared" si="74"/>
        <v>4</v>
      </c>
      <c r="E824" s="34" t="str">
        <f t="shared" si="75"/>
        <v>April</v>
      </c>
      <c r="F824" s="44">
        <v>45027</v>
      </c>
      <c r="G824" t="s">
        <v>1045</v>
      </c>
      <c r="H824" t="s">
        <v>1046</v>
      </c>
      <c r="I824" t="s">
        <v>42</v>
      </c>
      <c r="J824" t="s">
        <v>30</v>
      </c>
      <c r="K824" t="s">
        <v>100</v>
      </c>
      <c r="L824" t="s">
        <v>590</v>
      </c>
      <c r="M824" t="s">
        <v>33</v>
      </c>
      <c r="N824" t="s">
        <v>102</v>
      </c>
      <c r="O824" t="s">
        <v>67</v>
      </c>
      <c r="P824" t="s">
        <v>103</v>
      </c>
      <c r="Q824" t="s">
        <v>104</v>
      </c>
      <c r="R824">
        <v>1396.5</v>
      </c>
      <c r="S824">
        <v>5</v>
      </c>
      <c r="T824">
        <v>0.3</v>
      </c>
      <c r="U824" s="34" t="str">
        <f t="shared" si="76"/>
        <v>High</v>
      </c>
      <c r="V824">
        <v>-125.69</v>
      </c>
      <c r="W824" s="29">
        <f t="shared" si="77"/>
        <v>-0.0900035803795202</v>
      </c>
      <c r="X824">
        <v>46.56</v>
      </c>
      <c r="Y824" t="s">
        <v>80</v>
      </c>
      <c r="Z824" s="34" t="str">
        <f t="shared" si="78"/>
        <v>Medium</v>
      </c>
    </row>
    <row r="825" spans="1:26">
      <c r="A825" t="s">
        <v>1702</v>
      </c>
      <c r="B825" s="44">
        <v>44491</v>
      </c>
      <c r="C825" s="34">
        <f t="shared" si="73"/>
        <v>2021</v>
      </c>
      <c r="D825" s="34">
        <f t="shared" si="74"/>
        <v>10</v>
      </c>
      <c r="E825" s="34" t="str">
        <f t="shared" si="75"/>
        <v>October</v>
      </c>
      <c r="F825" s="44">
        <v>44496</v>
      </c>
      <c r="G825" t="s">
        <v>1397</v>
      </c>
      <c r="H825" t="s">
        <v>1398</v>
      </c>
      <c r="I825" t="s">
        <v>29</v>
      </c>
      <c r="J825" t="s">
        <v>43</v>
      </c>
      <c r="K825" t="s">
        <v>326</v>
      </c>
      <c r="L825" t="s">
        <v>1003</v>
      </c>
      <c r="M825" t="s">
        <v>58</v>
      </c>
      <c r="N825" t="s">
        <v>292</v>
      </c>
      <c r="O825" t="s">
        <v>35</v>
      </c>
      <c r="P825" t="s">
        <v>163</v>
      </c>
      <c r="Q825" t="s">
        <v>293</v>
      </c>
      <c r="R825">
        <v>3897</v>
      </c>
      <c r="S825">
        <v>3</v>
      </c>
      <c r="T825">
        <v>0</v>
      </c>
      <c r="U825" s="34" t="str">
        <f t="shared" si="76"/>
        <v>No Discount</v>
      </c>
      <c r="V825">
        <v>464.23</v>
      </c>
      <c r="W825" s="29">
        <f t="shared" si="77"/>
        <v>0.119124967924044</v>
      </c>
      <c r="X825">
        <v>11.37</v>
      </c>
      <c r="Y825" t="s">
        <v>121</v>
      </c>
      <c r="Z825" s="34" t="str">
        <f t="shared" si="78"/>
        <v>Large</v>
      </c>
    </row>
    <row r="826" spans="1:26">
      <c r="A826" t="s">
        <v>1703</v>
      </c>
      <c r="B826" s="44">
        <v>45114</v>
      </c>
      <c r="C826" s="34">
        <f t="shared" si="73"/>
        <v>2023</v>
      </c>
      <c r="D826" s="34">
        <f t="shared" si="74"/>
        <v>7</v>
      </c>
      <c r="E826" s="34" t="str">
        <f t="shared" si="75"/>
        <v>July</v>
      </c>
      <c r="F826" s="44">
        <v>45119</v>
      </c>
      <c r="G826" t="s">
        <v>1439</v>
      </c>
      <c r="H826" t="s">
        <v>1440</v>
      </c>
      <c r="I826" t="s">
        <v>29</v>
      </c>
      <c r="J826" t="s">
        <v>30</v>
      </c>
      <c r="K826" t="s">
        <v>297</v>
      </c>
      <c r="L826" t="s">
        <v>298</v>
      </c>
      <c r="M826" t="s">
        <v>46</v>
      </c>
      <c r="N826" t="s">
        <v>94</v>
      </c>
      <c r="O826" t="s">
        <v>35</v>
      </c>
      <c r="P826" t="s">
        <v>36</v>
      </c>
      <c r="Q826" t="s">
        <v>95</v>
      </c>
      <c r="R826">
        <v>1695</v>
      </c>
      <c r="S826">
        <v>1</v>
      </c>
      <c r="T826">
        <v>0</v>
      </c>
      <c r="U826" s="34" t="str">
        <f t="shared" si="76"/>
        <v>No Discount</v>
      </c>
      <c r="V826">
        <v>302.52</v>
      </c>
      <c r="W826" s="29">
        <f t="shared" si="77"/>
        <v>0.178477876106195</v>
      </c>
      <c r="X826">
        <v>8.59</v>
      </c>
      <c r="Y826" t="s">
        <v>38</v>
      </c>
      <c r="Z826" s="34" t="str">
        <f t="shared" si="78"/>
        <v>Medium</v>
      </c>
    </row>
    <row r="827" spans="1:26">
      <c r="A827" t="s">
        <v>1704</v>
      </c>
      <c r="B827" s="44">
        <v>44282</v>
      </c>
      <c r="C827" s="34">
        <f t="shared" si="73"/>
        <v>2021</v>
      </c>
      <c r="D827" s="34">
        <f t="shared" si="74"/>
        <v>3</v>
      </c>
      <c r="E827" s="34" t="str">
        <f t="shared" si="75"/>
        <v>March</v>
      </c>
      <c r="F827" s="44">
        <v>44283</v>
      </c>
      <c r="G827" t="s">
        <v>1183</v>
      </c>
      <c r="H827" t="s">
        <v>1184</v>
      </c>
      <c r="I827" t="s">
        <v>29</v>
      </c>
      <c r="J827" t="s">
        <v>30</v>
      </c>
      <c r="K827" t="s">
        <v>180</v>
      </c>
      <c r="L827" t="s">
        <v>821</v>
      </c>
      <c r="M827" t="s">
        <v>46</v>
      </c>
      <c r="N827" t="s">
        <v>201</v>
      </c>
      <c r="O827" t="s">
        <v>35</v>
      </c>
      <c r="P827" t="s">
        <v>202</v>
      </c>
      <c r="Q827" t="s">
        <v>203</v>
      </c>
      <c r="R827">
        <v>898</v>
      </c>
      <c r="S827">
        <v>2</v>
      </c>
      <c r="T827">
        <v>0</v>
      </c>
      <c r="U827" s="34" t="str">
        <f t="shared" si="76"/>
        <v>No Discount</v>
      </c>
      <c r="V827">
        <v>105.67</v>
      </c>
      <c r="W827" s="29">
        <f t="shared" si="77"/>
        <v>0.117672605790646</v>
      </c>
      <c r="X827">
        <v>6.98</v>
      </c>
      <c r="Y827" t="s">
        <v>137</v>
      </c>
      <c r="Z827" s="34" t="str">
        <f t="shared" si="78"/>
        <v>Medium</v>
      </c>
    </row>
    <row r="828" spans="1:26">
      <c r="A828" t="s">
        <v>1705</v>
      </c>
      <c r="B828" s="44">
        <v>44765</v>
      </c>
      <c r="C828" s="34">
        <f t="shared" si="73"/>
        <v>2022</v>
      </c>
      <c r="D828" s="34">
        <f t="shared" si="74"/>
        <v>7</v>
      </c>
      <c r="E828" s="34" t="str">
        <f t="shared" si="75"/>
        <v>July</v>
      </c>
      <c r="F828" s="44">
        <v>44766</v>
      </c>
      <c r="G828" t="s">
        <v>687</v>
      </c>
      <c r="H828" t="s">
        <v>688</v>
      </c>
      <c r="I828" t="s">
        <v>42</v>
      </c>
      <c r="J828" t="s">
        <v>30</v>
      </c>
      <c r="K828" t="s">
        <v>213</v>
      </c>
      <c r="L828" t="s">
        <v>408</v>
      </c>
      <c r="M828" t="s">
        <v>33</v>
      </c>
      <c r="N828" t="s">
        <v>670</v>
      </c>
      <c r="O828" t="s">
        <v>48</v>
      </c>
      <c r="P828" t="s">
        <v>49</v>
      </c>
      <c r="Q828" t="s">
        <v>671</v>
      </c>
      <c r="R828">
        <v>235.2</v>
      </c>
      <c r="S828">
        <v>3</v>
      </c>
      <c r="T828">
        <v>0.2</v>
      </c>
      <c r="U828" s="34" t="str">
        <f t="shared" si="76"/>
        <v>Medium</v>
      </c>
      <c r="V828">
        <v>32.85</v>
      </c>
      <c r="W828" s="29">
        <f t="shared" si="77"/>
        <v>0.139668367346939</v>
      </c>
      <c r="X828">
        <v>47.31</v>
      </c>
      <c r="Y828" t="s">
        <v>121</v>
      </c>
      <c r="Z828" s="34" t="str">
        <f t="shared" si="78"/>
        <v>Small</v>
      </c>
    </row>
    <row r="829" spans="1:26">
      <c r="A829" t="s">
        <v>1706</v>
      </c>
      <c r="B829" s="44">
        <v>45455</v>
      </c>
      <c r="C829" s="34">
        <f t="shared" si="73"/>
        <v>2024</v>
      </c>
      <c r="D829" s="34">
        <f t="shared" si="74"/>
        <v>6</v>
      </c>
      <c r="E829" s="34" t="str">
        <f t="shared" si="75"/>
        <v>June</v>
      </c>
      <c r="F829" s="44">
        <v>45461</v>
      </c>
      <c r="G829" t="s">
        <v>1707</v>
      </c>
      <c r="H829" t="s">
        <v>1708</v>
      </c>
      <c r="I829" t="s">
        <v>55</v>
      </c>
      <c r="J829" t="s">
        <v>43</v>
      </c>
      <c r="K829" t="s">
        <v>257</v>
      </c>
      <c r="L829" t="s">
        <v>258</v>
      </c>
      <c r="M829" t="s">
        <v>76</v>
      </c>
      <c r="N829" t="s">
        <v>441</v>
      </c>
      <c r="O829" t="s">
        <v>67</v>
      </c>
      <c r="P829" t="s">
        <v>68</v>
      </c>
      <c r="Q829" t="s">
        <v>442</v>
      </c>
      <c r="R829">
        <v>4495</v>
      </c>
      <c r="S829">
        <v>5</v>
      </c>
      <c r="T829">
        <v>0</v>
      </c>
      <c r="U829" s="34" t="str">
        <f t="shared" si="76"/>
        <v>No Discount</v>
      </c>
      <c r="V829">
        <v>1115.92</v>
      </c>
      <c r="W829" s="29">
        <f t="shared" si="77"/>
        <v>0.248258064516129</v>
      </c>
      <c r="X829">
        <v>26.11</v>
      </c>
      <c r="Y829" t="s">
        <v>80</v>
      </c>
      <c r="Z829" s="34" t="str">
        <f t="shared" si="78"/>
        <v>Large</v>
      </c>
    </row>
    <row r="830" spans="1:26">
      <c r="A830" t="s">
        <v>1709</v>
      </c>
      <c r="B830" s="44">
        <v>44673</v>
      </c>
      <c r="C830" s="34">
        <f t="shared" si="73"/>
        <v>2022</v>
      </c>
      <c r="D830" s="34">
        <f t="shared" si="74"/>
        <v>4</v>
      </c>
      <c r="E830" s="34" t="str">
        <f t="shared" si="75"/>
        <v>April</v>
      </c>
      <c r="F830" s="44">
        <v>44679</v>
      </c>
      <c r="G830" t="s">
        <v>1650</v>
      </c>
      <c r="H830" t="s">
        <v>1197</v>
      </c>
      <c r="I830" t="s">
        <v>42</v>
      </c>
      <c r="J830" t="s">
        <v>43</v>
      </c>
      <c r="K830" t="s">
        <v>100</v>
      </c>
      <c r="L830" t="s">
        <v>590</v>
      </c>
      <c r="M830" t="s">
        <v>33</v>
      </c>
      <c r="N830" t="s">
        <v>397</v>
      </c>
      <c r="O830" t="s">
        <v>48</v>
      </c>
      <c r="P830" t="s">
        <v>128</v>
      </c>
      <c r="Q830" t="s">
        <v>398</v>
      </c>
      <c r="R830">
        <v>56.25</v>
      </c>
      <c r="S830">
        <v>3</v>
      </c>
      <c r="T830">
        <v>0.25</v>
      </c>
      <c r="U830" s="34" t="str">
        <f t="shared" si="76"/>
        <v>High</v>
      </c>
      <c r="V830">
        <v>-3.61</v>
      </c>
      <c r="W830" s="29">
        <f t="shared" si="77"/>
        <v>-0.0641777777777778</v>
      </c>
      <c r="X830">
        <v>40.16</v>
      </c>
      <c r="Y830" t="s">
        <v>96</v>
      </c>
      <c r="Z830" s="34" t="str">
        <f t="shared" si="78"/>
        <v>Small</v>
      </c>
    </row>
    <row r="831" spans="1:26">
      <c r="A831" t="s">
        <v>1710</v>
      </c>
      <c r="B831" s="44">
        <v>44114</v>
      </c>
      <c r="C831" s="34">
        <f t="shared" si="73"/>
        <v>2020</v>
      </c>
      <c r="D831" s="34">
        <f t="shared" si="74"/>
        <v>10</v>
      </c>
      <c r="E831" s="34" t="str">
        <f t="shared" si="75"/>
        <v>October</v>
      </c>
      <c r="F831" s="44">
        <v>44117</v>
      </c>
      <c r="G831" t="s">
        <v>318</v>
      </c>
      <c r="H831" t="s">
        <v>319</v>
      </c>
      <c r="I831" t="s">
        <v>42</v>
      </c>
      <c r="J831" t="s">
        <v>30</v>
      </c>
      <c r="K831" t="s">
        <v>320</v>
      </c>
      <c r="L831" t="s">
        <v>181</v>
      </c>
      <c r="M831" t="s">
        <v>46</v>
      </c>
      <c r="N831" t="s">
        <v>375</v>
      </c>
      <c r="O831" t="s">
        <v>35</v>
      </c>
      <c r="P831" t="s">
        <v>163</v>
      </c>
      <c r="Q831" t="s">
        <v>376</v>
      </c>
      <c r="R831">
        <v>1849.65</v>
      </c>
      <c r="S831">
        <v>3</v>
      </c>
      <c r="T831">
        <v>0.05</v>
      </c>
      <c r="U831" s="34" t="str">
        <f t="shared" si="76"/>
        <v>Low</v>
      </c>
      <c r="V831">
        <v>457.77</v>
      </c>
      <c r="W831" s="29">
        <f t="shared" si="77"/>
        <v>0.247490065688103</v>
      </c>
      <c r="X831">
        <v>15.48</v>
      </c>
      <c r="Y831" t="s">
        <v>137</v>
      </c>
      <c r="Z831" s="34" t="str">
        <f t="shared" si="78"/>
        <v>Medium</v>
      </c>
    </row>
    <row r="832" spans="1:26">
      <c r="A832" t="s">
        <v>1711</v>
      </c>
      <c r="B832" s="44">
        <v>44778</v>
      </c>
      <c r="C832" s="34">
        <f t="shared" si="73"/>
        <v>2022</v>
      </c>
      <c r="D832" s="34">
        <f t="shared" si="74"/>
        <v>8</v>
      </c>
      <c r="E832" s="34" t="str">
        <f t="shared" si="75"/>
        <v>August</v>
      </c>
      <c r="F832" s="44">
        <v>44785</v>
      </c>
      <c r="G832" t="s">
        <v>761</v>
      </c>
      <c r="H832" t="s">
        <v>762</v>
      </c>
      <c r="I832" t="s">
        <v>55</v>
      </c>
      <c r="J832" t="s">
        <v>43</v>
      </c>
      <c r="K832" t="s">
        <v>645</v>
      </c>
      <c r="L832" t="s">
        <v>646</v>
      </c>
      <c r="M832" t="s">
        <v>58</v>
      </c>
      <c r="N832" t="s">
        <v>275</v>
      </c>
      <c r="O832" t="s">
        <v>67</v>
      </c>
      <c r="P832" t="s">
        <v>103</v>
      </c>
      <c r="Q832" t="s">
        <v>276</v>
      </c>
      <c r="R832">
        <v>2808.75</v>
      </c>
      <c r="S832">
        <v>5</v>
      </c>
      <c r="T832">
        <v>0.25</v>
      </c>
      <c r="U832" s="34" t="str">
        <f t="shared" si="76"/>
        <v>High</v>
      </c>
      <c r="V832">
        <v>492.75</v>
      </c>
      <c r="W832" s="29">
        <f t="shared" si="77"/>
        <v>0.17543391188251</v>
      </c>
      <c r="X832">
        <v>42.76</v>
      </c>
      <c r="Y832" t="s">
        <v>80</v>
      </c>
      <c r="Z832" s="34" t="str">
        <f t="shared" si="78"/>
        <v>Large</v>
      </c>
    </row>
    <row r="833" spans="1:26">
      <c r="A833" t="s">
        <v>1712</v>
      </c>
      <c r="B833" s="44">
        <v>44817</v>
      </c>
      <c r="C833" s="34">
        <f t="shared" si="73"/>
        <v>2022</v>
      </c>
      <c r="D833" s="34">
        <f t="shared" si="74"/>
        <v>9</v>
      </c>
      <c r="E833" s="34" t="str">
        <f t="shared" si="75"/>
        <v>September</v>
      </c>
      <c r="F833" s="44">
        <v>44822</v>
      </c>
      <c r="G833" t="s">
        <v>197</v>
      </c>
      <c r="H833" t="s">
        <v>198</v>
      </c>
      <c r="I833" t="s">
        <v>55</v>
      </c>
      <c r="J833" t="s">
        <v>43</v>
      </c>
      <c r="K833" t="s">
        <v>199</v>
      </c>
      <c r="L833" t="s">
        <v>200</v>
      </c>
      <c r="M833" t="s">
        <v>46</v>
      </c>
      <c r="N833" t="s">
        <v>127</v>
      </c>
      <c r="O833" t="s">
        <v>48</v>
      </c>
      <c r="P833" t="s">
        <v>128</v>
      </c>
      <c r="Q833" t="s">
        <v>129</v>
      </c>
      <c r="R833">
        <v>130</v>
      </c>
      <c r="S833">
        <v>2</v>
      </c>
      <c r="T833">
        <v>0</v>
      </c>
      <c r="U833" s="34" t="str">
        <f t="shared" si="76"/>
        <v>No Discount</v>
      </c>
      <c r="V833">
        <v>-13.96</v>
      </c>
      <c r="W833" s="29">
        <f t="shared" si="77"/>
        <v>-0.107384615384615</v>
      </c>
      <c r="X833">
        <v>24.88</v>
      </c>
      <c r="Y833" t="s">
        <v>38</v>
      </c>
      <c r="Z833" s="34" t="str">
        <f t="shared" si="78"/>
        <v>Small</v>
      </c>
    </row>
    <row r="834" spans="1:26">
      <c r="A834" t="s">
        <v>1713</v>
      </c>
      <c r="B834" s="44">
        <v>45032</v>
      </c>
      <c r="C834" s="34">
        <f t="shared" ref="C834:C897" si="79">YEAR(B834)</f>
        <v>2023</v>
      </c>
      <c r="D834" s="34">
        <f t="shared" ref="D834:D897" si="80">MONTH(B834)</f>
        <v>4</v>
      </c>
      <c r="E834" s="34" t="str">
        <f t="shared" ref="E834:E897" si="81">TEXT(B834,"mmmm")</f>
        <v>April</v>
      </c>
      <c r="F834" s="44">
        <v>45036</v>
      </c>
      <c r="G834" t="s">
        <v>901</v>
      </c>
      <c r="H834" t="s">
        <v>902</v>
      </c>
      <c r="I834" t="s">
        <v>42</v>
      </c>
      <c r="J834" t="s">
        <v>43</v>
      </c>
      <c r="K834" t="s">
        <v>262</v>
      </c>
      <c r="L834" t="s">
        <v>568</v>
      </c>
      <c r="M834" t="s">
        <v>58</v>
      </c>
      <c r="N834" t="s">
        <v>415</v>
      </c>
      <c r="O834" t="s">
        <v>67</v>
      </c>
      <c r="P834" t="s">
        <v>252</v>
      </c>
      <c r="Q834" t="s">
        <v>416</v>
      </c>
      <c r="R834">
        <v>837.9</v>
      </c>
      <c r="S834">
        <v>3</v>
      </c>
      <c r="T834">
        <v>0.3</v>
      </c>
      <c r="U834" s="34" t="str">
        <f t="shared" ref="U834:U897" si="82">IF(T834=0,"No Discount",IF(T834&lt;=0.1,"Low",IF(T834&lt;=0.2,"Medium","High")))</f>
        <v>High</v>
      </c>
      <c r="V834">
        <v>119.43</v>
      </c>
      <c r="W834" s="29">
        <f t="shared" ref="W834:W897" si="83">V834/R834</f>
        <v>0.142534908700322</v>
      </c>
      <c r="X834">
        <v>20.85</v>
      </c>
      <c r="Y834" t="s">
        <v>137</v>
      </c>
      <c r="Z834" s="34" t="str">
        <f t="shared" ref="Z834:Z897" si="84">IF(R834&lt;500,"Small",IF(R834&lt;=2000,"Medium","Large"))</f>
        <v>Medium</v>
      </c>
    </row>
    <row r="835" spans="1:26">
      <c r="A835" t="s">
        <v>1714</v>
      </c>
      <c r="B835" s="44">
        <v>45150</v>
      </c>
      <c r="C835" s="34">
        <f t="shared" si="79"/>
        <v>2023</v>
      </c>
      <c r="D835" s="34">
        <f t="shared" si="80"/>
        <v>8</v>
      </c>
      <c r="E835" s="34" t="str">
        <f t="shared" si="81"/>
        <v>August</v>
      </c>
      <c r="F835" s="44">
        <v>45157</v>
      </c>
      <c r="G835" t="s">
        <v>342</v>
      </c>
      <c r="H835" t="s">
        <v>343</v>
      </c>
      <c r="I835" t="s">
        <v>55</v>
      </c>
      <c r="J835" t="s">
        <v>43</v>
      </c>
      <c r="K835" t="s">
        <v>199</v>
      </c>
      <c r="L835" t="s">
        <v>200</v>
      </c>
      <c r="M835" t="s">
        <v>46</v>
      </c>
      <c r="N835" t="s">
        <v>110</v>
      </c>
      <c r="O835" t="s">
        <v>35</v>
      </c>
      <c r="P835" t="s">
        <v>111</v>
      </c>
      <c r="Q835" t="s">
        <v>112</v>
      </c>
      <c r="R835">
        <v>149.25</v>
      </c>
      <c r="S835">
        <v>1</v>
      </c>
      <c r="T835">
        <v>0.25</v>
      </c>
      <c r="U835" s="34" t="str">
        <f t="shared" si="82"/>
        <v>High</v>
      </c>
      <c r="V835">
        <v>10.33</v>
      </c>
      <c r="W835" s="29">
        <f t="shared" si="83"/>
        <v>0.069212730318258</v>
      </c>
      <c r="X835">
        <v>40.2</v>
      </c>
      <c r="Y835" t="s">
        <v>137</v>
      </c>
      <c r="Z835" s="34" t="str">
        <f t="shared" si="84"/>
        <v>Small</v>
      </c>
    </row>
    <row r="836" spans="1:26">
      <c r="A836" t="s">
        <v>1715</v>
      </c>
      <c r="B836" s="44">
        <v>44100</v>
      </c>
      <c r="C836" s="34">
        <f t="shared" si="79"/>
        <v>2020</v>
      </c>
      <c r="D836" s="34">
        <f t="shared" si="80"/>
        <v>9</v>
      </c>
      <c r="E836" s="34" t="str">
        <f t="shared" si="81"/>
        <v>September</v>
      </c>
      <c r="F836" s="44">
        <v>44102</v>
      </c>
      <c r="G836" t="s">
        <v>1031</v>
      </c>
      <c r="H836" t="s">
        <v>1032</v>
      </c>
      <c r="I836" t="s">
        <v>55</v>
      </c>
      <c r="J836" t="s">
        <v>43</v>
      </c>
      <c r="K836" t="s">
        <v>125</v>
      </c>
      <c r="L836" t="s">
        <v>808</v>
      </c>
      <c r="M836" t="s">
        <v>58</v>
      </c>
      <c r="N836" t="s">
        <v>684</v>
      </c>
      <c r="O836" t="s">
        <v>48</v>
      </c>
      <c r="P836" t="s">
        <v>60</v>
      </c>
      <c r="Q836" t="s">
        <v>685</v>
      </c>
      <c r="R836">
        <v>55.3</v>
      </c>
      <c r="S836">
        <v>1</v>
      </c>
      <c r="T836">
        <v>0.3</v>
      </c>
      <c r="U836" s="34" t="str">
        <f t="shared" si="82"/>
        <v>High</v>
      </c>
      <c r="V836">
        <v>-0.91</v>
      </c>
      <c r="W836" s="29">
        <f t="shared" si="83"/>
        <v>-0.0164556962025316</v>
      </c>
      <c r="X836">
        <v>43.57</v>
      </c>
      <c r="Y836" t="s">
        <v>80</v>
      </c>
      <c r="Z836" s="34" t="str">
        <f t="shared" si="84"/>
        <v>Small</v>
      </c>
    </row>
    <row r="837" spans="1:26">
      <c r="A837" t="s">
        <v>1716</v>
      </c>
      <c r="B837" s="44">
        <v>44862</v>
      </c>
      <c r="C837" s="34">
        <f t="shared" si="79"/>
        <v>2022</v>
      </c>
      <c r="D837" s="34">
        <f t="shared" si="80"/>
        <v>10</v>
      </c>
      <c r="E837" s="34" t="str">
        <f t="shared" si="81"/>
        <v>October</v>
      </c>
      <c r="F837" s="44">
        <v>44863</v>
      </c>
      <c r="G837" t="s">
        <v>1717</v>
      </c>
      <c r="H837" t="s">
        <v>1718</v>
      </c>
      <c r="I837" t="s">
        <v>55</v>
      </c>
      <c r="J837" t="s">
        <v>43</v>
      </c>
      <c r="K837" t="s">
        <v>320</v>
      </c>
      <c r="L837" t="s">
        <v>1719</v>
      </c>
      <c r="M837" t="s">
        <v>46</v>
      </c>
      <c r="N837" t="s">
        <v>292</v>
      </c>
      <c r="O837" t="s">
        <v>35</v>
      </c>
      <c r="P837" t="s">
        <v>163</v>
      </c>
      <c r="Q837" t="s">
        <v>293</v>
      </c>
      <c r="R837">
        <v>1104.15</v>
      </c>
      <c r="S837">
        <v>1</v>
      </c>
      <c r="T837">
        <v>0.15</v>
      </c>
      <c r="U837" s="34" t="str">
        <f t="shared" si="82"/>
        <v>Medium</v>
      </c>
      <c r="V837">
        <v>96.76</v>
      </c>
      <c r="W837" s="29">
        <f t="shared" si="83"/>
        <v>0.0876330208757868</v>
      </c>
      <c r="X837">
        <v>45.52</v>
      </c>
      <c r="Y837" t="s">
        <v>96</v>
      </c>
      <c r="Z837" s="34" t="str">
        <f t="shared" si="84"/>
        <v>Medium</v>
      </c>
    </row>
    <row r="838" spans="1:26">
      <c r="A838" t="s">
        <v>1720</v>
      </c>
      <c r="B838" s="44">
        <v>44212</v>
      </c>
      <c r="C838" s="34">
        <f t="shared" si="79"/>
        <v>2021</v>
      </c>
      <c r="D838" s="34">
        <f t="shared" si="80"/>
        <v>1</v>
      </c>
      <c r="E838" s="34" t="str">
        <f t="shared" si="81"/>
        <v>January</v>
      </c>
      <c r="F838" s="44">
        <v>44218</v>
      </c>
      <c r="G838" t="s">
        <v>898</v>
      </c>
      <c r="H838" t="s">
        <v>899</v>
      </c>
      <c r="I838" t="s">
        <v>29</v>
      </c>
      <c r="J838" t="s">
        <v>43</v>
      </c>
      <c r="K838" t="s">
        <v>349</v>
      </c>
      <c r="L838" t="s">
        <v>892</v>
      </c>
      <c r="M838" t="s">
        <v>33</v>
      </c>
      <c r="N838" t="s">
        <v>424</v>
      </c>
      <c r="O838" t="s">
        <v>67</v>
      </c>
      <c r="P838" t="s">
        <v>103</v>
      </c>
      <c r="Q838" t="s">
        <v>425</v>
      </c>
      <c r="R838">
        <v>2076.8</v>
      </c>
      <c r="S838">
        <v>4</v>
      </c>
      <c r="T838">
        <v>0.2</v>
      </c>
      <c r="U838" s="34" t="str">
        <f t="shared" si="82"/>
        <v>Medium</v>
      </c>
      <c r="V838">
        <v>455</v>
      </c>
      <c r="W838" s="29">
        <f t="shared" si="83"/>
        <v>0.219087057010786</v>
      </c>
      <c r="X838">
        <v>6.31</v>
      </c>
      <c r="Y838" t="s">
        <v>62</v>
      </c>
      <c r="Z838" s="34" t="str">
        <f t="shared" si="84"/>
        <v>Large</v>
      </c>
    </row>
    <row r="839" spans="1:26">
      <c r="A839" t="s">
        <v>1721</v>
      </c>
      <c r="B839" s="44">
        <v>45364</v>
      </c>
      <c r="C839" s="34">
        <f t="shared" si="79"/>
        <v>2024</v>
      </c>
      <c r="D839" s="34">
        <f t="shared" si="80"/>
        <v>3</v>
      </c>
      <c r="E839" s="34" t="str">
        <f t="shared" si="81"/>
        <v>March</v>
      </c>
      <c r="F839" s="44">
        <v>45366</v>
      </c>
      <c r="G839" t="s">
        <v>480</v>
      </c>
      <c r="H839" t="s">
        <v>481</v>
      </c>
      <c r="I839" t="s">
        <v>29</v>
      </c>
      <c r="J839" t="s">
        <v>43</v>
      </c>
      <c r="K839" t="s">
        <v>257</v>
      </c>
      <c r="L839" t="s">
        <v>258</v>
      </c>
      <c r="M839" t="s">
        <v>76</v>
      </c>
      <c r="N839" t="s">
        <v>286</v>
      </c>
      <c r="O839" t="s">
        <v>35</v>
      </c>
      <c r="P839" t="s">
        <v>202</v>
      </c>
      <c r="Q839" t="s">
        <v>287</v>
      </c>
      <c r="R839">
        <v>536.4</v>
      </c>
      <c r="S839">
        <v>4</v>
      </c>
      <c r="T839">
        <v>0.1</v>
      </c>
      <c r="U839" s="34" t="str">
        <f t="shared" si="82"/>
        <v>Low</v>
      </c>
      <c r="V839">
        <v>105.69</v>
      </c>
      <c r="W839" s="29">
        <f t="shared" si="83"/>
        <v>0.197035794183445</v>
      </c>
      <c r="X839">
        <v>5.29</v>
      </c>
      <c r="Y839" t="s">
        <v>62</v>
      </c>
      <c r="Z839" s="34" t="str">
        <f t="shared" si="84"/>
        <v>Medium</v>
      </c>
    </row>
    <row r="840" spans="1:26">
      <c r="A840" t="s">
        <v>1722</v>
      </c>
      <c r="B840" s="44">
        <v>44686</v>
      </c>
      <c r="C840" s="34">
        <f t="shared" si="79"/>
        <v>2022</v>
      </c>
      <c r="D840" s="34">
        <f t="shared" si="80"/>
        <v>5</v>
      </c>
      <c r="E840" s="34" t="str">
        <f t="shared" si="81"/>
        <v>May</v>
      </c>
      <c r="F840" s="44">
        <v>44690</v>
      </c>
      <c r="G840" t="s">
        <v>980</v>
      </c>
      <c r="H840" t="s">
        <v>981</v>
      </c>
      <c r="I840" t="s">
        <v>29</v>
      </c>
      <c r="J840" t="s">
        <v>43</v>
      </c>
      <c r="K840" t="s">
        <v>257</v>
      </c>
      <c r="L840" t="s">
        <v>258</v>
      </c>
      <c r="M840" t="s">
        <v>76</v>
      </c>
      <c r="N840" t="s">
        <v>77</v>
      </c>
      <c r="O840" t="s">
        <v>35</v>
      </c>
      <c r="P840" t="s">
        <v>78</v>
      </c>
      <c r="Q840" t="s">
        <v>79</v>
      </c>
      <c r="R840">
        <v>6277.5</v>
      </c>
      <c r="S840">
        <v>5</v>
      </c>
      <c r="T840">
        <v>0.1</v>
      </c>
      <c r="U840" s="34" t="str">
        <f t="shared" si="82"/>
        <v>Low</v>
      </c>
      <c r="V840">
        <v>-323.01</v>
      </c>
      <c r="W840" s="29">
        <f t="shared" si="83"/>
        <v>-0.0514551971326165</v>
      </c>
      <c r="X840">
        <v>30.46</v>
      </c>
      <c r="Y840" t="s">
        <v>38</v>
      </c>
      <c r="Z840" s="34" t="str">
        <f t="shared" si="84"/>
        <v>Large</v>
      </c>
    </row>
    <row r="841" spans="1:26">
      <c r="A841" t="s">
        <v>1723</v>
      </c>
      <c r="B841" s="44">
        <v>44802</v>
      </c>
      <c r="C841" s="34">
        <f t="shared" si="79"/>
        <v>2022</v>
      </c>
      <c r="D841" s="34">
        <f t="shared" si="80"/>
        <v>8</v>
      </c>
      <c r="E841" s="34" t="str">
        <f t="shared" si="81"/>
        <v>August</v>
      </c>
      <c r="F841" s="44">
        <v>44805</v>
      </c>
      <c r="G841" t="s">
        <v>173</v>
      </c>
      <c r="H841" t="s">
        <v>174</v>
      </c>
      <c r="I841" t="s">
        <v>55</v>
      </c>
      <c r="J841" t="s">
        <v>43</v>
      </c>
      <c r="K841" t="s">
        <v>175</v>
      </c>
      <c r="L841" t="s">
        <v>176</v>
      </c>
      <c r="M841" t="s">
        <v>46</v>
      </c>
      <c r="N841" t="s">
        <v>868</v>
      </c>
      <c r="O841" t="s">
        <v>48</v>
      </c>
      <c r="P841" t="s">
        <v>190</v>
      </c>
      <c r="Q841" t="s">
        <v>869</v>
      </c>
      <c r="R841">
        <v>707.75</v>
      </c>
      <c r="S841">
        <v>5</v>
      </c>
      <c r="T841">
        <v>0.05</v>
      </c>
      <c r="U841" s="34" t="str">
        <f t="shared" si="82"/>
        <v>Low</v>
      </c>
      <c r="V841">
        <v>59.54</v>
      </c>
      <c r="W841" s="29">
        <f t="shared" si="83"/>
        <v>0.0841257506181561</v>
      </c>
      <c r="X841">
        <v>37.46</v>
      </c>
      <c r="Y841" t="s">
        <v>51</v>
      </c>
      <c r="Z841" s="34" t="str">
        <f t="shared" si="84"/>
        <v>Medium</v>
      </c>
    </row>
    <row r="842" spans="1:26">
      <c r="A842" t="s">
        <v>1724</v>
      </c>
      <c r="B842" s="44">
        <v>44265</v>
      </c>
      <c r="C842" s="34">
        <f t="shared" si="79"/>
        <v>2021</v>
      </c>
      <c r="D842" s="34">
        <f t="shared" si="80"/>
        <v>3</v>
      </c>
      <c r="E842" s="34" t="str">
        <f t="shared" si="81"/>
        <v>March</v>
      </c>
      <c r="F842" s="44">
        <v>44268</v>
      </c>
      <c r="G842" t="s">
        <v>906</v>
      </c>
      <c r="H842" t="s">
        <v>907</v>
      </c>
      <c r="I842" t="s">
        <v>55</v>
      </c>
      <c r="J842" t="s">
        <v>43</v>
      </c>
      <c r="K842" t="s">
        <v>472</v>
      </c>
      <c r="L842" t="s">
        <v>473</v>
      </c>
      <c r="M842" t="s">
        <v>58</v>
      </c>
      <c r="N842" t="s">
        <v>135</v>
      </c>
      <c r="O842" t="s">
        <v>67</v>
      </c>
      <c r="P842" t="s">
        <v>68</v>
      </c>
      <c r="Q842" t="s">
        <v>136</v>
      </c>
      <c r="R842">
        <v>2336.4</v>
      </c>
      <c r="S842">
        <v>4</v>
      </c>
      <c r="T842">
        <v>0.1</v>
      </c>
      <c r="U842" s="34" t="str">
        <f t="shared" si="82"/>
        <v>Low</v>
      </c>
      <c r="V842">
        <v>406.79</v>
      </c>
      <c r="W842" s="29">
        <f t="shared" si="83"/>
        <v>0.174109741482623</v>
      </c>
      <c r="X842">
        <v>45.88</v>
      </c>
      <c r="Y842" t="s">
        <v>38</v>
      </c>
      <c r="Z842" s="34" t="str">
        <f t="shared" si="84"/>
        <v>Large</v>
      </c>
    </row>
    <row r="843" spans="1:26">
      <c r="A843" t="s">
        <v>1725</v>
      </c>
      <c r="B843" s="44">
        <v>45234</v>
      </c>
      <c r="C843" s="34">
        <f t="shared" si="79"/>
        <v>2023</v>
      </c>
      <c r="D843" s="34">
        <f t="shared" si="80"/>
        <v>11</v>
      </c>
      <c r="E843" s="34" t="str">
        <f t="shared" si="81"/>
        <v>November</v>
      </c>
      <c r="F843" s="44">
        <v>45239</v>
      </c>
      <c r="G843" t="s">
        <v>1042</v>
      </c>
      <c r="H843" t="s">
        <v>206</v>
      </c>
      <c r="I843" t="s">
        <v>55</v>
      </c>
      <c r="J843" t="s">
        <v>30</v>
      </c>
      <c r="K843" t="s">
        <v>273</v>
      </c>
      <c r="L843" t="s">
        <v>274</v>
      </c>
      <c r="M843" t="s">
        <v>46</v>
      </c>
      <c r="N843" t="s">
        <v>59</v>
      </c>
      <c r="O843" t="s">
        <v>48</v>
      </c>
      <c r="P843" t="s">
        <v>60</v>
      </c>
      <c r="Q843" t="s">
        <v>61</v>
      </c>
      <c r="R843">
        <v>652.5</v>
      </c>
      <c r="S843">
        <v>5</v>
      </c>
      <c r="T843">
        <v>0.25</v>
      </c>
      <c r="U843" s="34" t="str">
        <f t="shared" si="82"/>
        <v>High</v>
      </c>
      <c r="V843">
        <v>122.57</v>
      </c>
      <c r="W843" s="29">
        <f t="shared" si="83"/>
        <v>0.187846743295019</v>
      </c>
      <c r="X843">
        <v>26.42</v>
      </c>
      <c r="Y843" t="s">
        <v>80</v>
      </c>
      <c r="Z843" s="34" t="str">
        <f t="shared" si="84"/>
        <v>Medium</v>
      </c>
    </row>
    <row r="844" spans="1:26">
      <c r="A844" t="s">
        <v>1726</v>
      </c>
      <c r="B844" s="44">
        <v>44134</v>
      </c>
      <c r="C844" s="34">
        <f t="shared" si="79"/>
        <v>2020</v>
      </c>
      <c r="D844" s="34">
        <f t="shared" si="80"/>
        <v>10</v>
      </c>
      <c r="E844" s="34" t="str">
        <f t="shared" si="81"/>
        <v>October</v>
      </c>
      <c r="F844" s="44">
        <v>44137</v>
      </c>
      <c r="G844" t="s">
        <v>626</v>
      </c>
      <c r="H844" t="s">
        <v>627</v>
      </c>
      <c r="I844" t="s">
        <v>29</v>
      </c>
      <c r="J844" t="s">
        <v>43</v>
      </c>
      <c r="K844" t="s">
        <v>245</v>
      </c>
      <c r="L844" t="s">
        <v>511</v>
      </c>
      <c r="M844" t="s">
        <v>76</v>
      </c>
      <c r="N844" t="s">
        <v>344</v>
      </c>
      <c r="O844" t="s">
        <v>35</v>
      </c>
      <c r="P844" t="s">
        <v>163</v>
      </c>
      <c r="Q844" t="s">
        <v>345</v>
      </c>
      <c r="R844">
        <v>1797.75</v>
      </c>
      <c r="S844">
        <v>3</v>
      </c>
      <c r="T844">
        <v>0.25</v>
      </c>
      <c r="U844" s="34" t="str">
        <f t="shared" si="82"/>
        <v>High</v>
      </c>
      <c r="V844">
        <v>345.14</v>
      </c>
      <c r="W844" s="29">
        <f t="shared" si="83"/>
        <v>0.191984424975664</v>
      </c>
      <c r="X844">
        <v>48.03</v>
      </c>
      <c r="Y844" t="s">
        <v>96</v>
      </c>
      <c r="Z844" s="34" t="str">
        <f t="shared" si="84"/>
        <v>Medium</v>
      </c>
    </row>
    <row r="845" spans="1:26">
      <c r="A845" t="s">
        <v>1727</v>
      </c>
      <c r="B845" s="44">
        <v>44705</v>
      </c>
      <c r="C845" s="34">
        <f t="shared" si="79"/>
        <v>2022</v>
      </c>
      <c r="D845" s="34">
        <f t="shared" si="80"/>
        <v>5</v>
      </c>
      <c r="E845" s="34" t="str">
        <f t="shared" si="81"/>
        <v>May</v>
      </c>
      <c r="F845" s="44">
        <v>44711</v>
      </c>
      <c r="G845" t="s">
        <v>701</v>
      </c>
      <c r="H845" t="s">
        <v>702</v>
      </c>
      <c r="I845" t="s">
        <v>42</v>
      </c>
      <c r="J845" t="s">
        <v>43</v>
      </c>
      <c r="K845" t="s">
        <v>146</v>
      </c>
      <c r="L845" t="s">
        <v>147</v>
      </c>
      <c r="M845" t="s">
        <v>33</v>
      </c>
      <c r="N845" t="s">
        <v>382</v>
      </c>
      <c r="O845" t="s">
        <v>67</v>
      </c>
      <c r="P845" t="s">
        <v>119</v>
      </c>
      <c r="Q845" t="s">
        <v>383</v>
      </c>
      <c r="R845">
        <v>2298</v>
      </c>
      <c r="S845">
        <v>2</v>
      </c>
      <c r="T845">
        <v>0</v>
      </c>
      <c r="U845" s="34" t="str">
        <f t="shared" si="82"/>
        <v>No Discount</v>
      </c>
      <c r="V845">
        <v>227</v>
      </c>
      <c r="W845" s="29">
        <f t="shared" si="83"/>
        <v>0.0987815491731941</v>
      </c>
      <c r="X845">
        <v>9.32</v>
      </c>
      <c r="Y845" t="s">
        <v>51</v>
      </c>
      <c r="Z845" s="34" t="str">
        <f t="shared" si="84"/>
        <v>Large</v>
      </c>
    </row>
    <row r="846" spans="1:26">
      <c r="A846" t="s">
        <v>1728</v>
      </c>
      <c r="B846" s="44">
        <v>45197</v>
      </c>
      <c r="C846" s="34">
        <f t="shared" si="79"/>
        <v>2023</v>
      </c>
      <c r="D846" s="34">
        <f t="shared" si="80"/>
        <v>9</v>
      </c>
      <c r="E846" s="34" t="str">
        <f t="shared" si="81"/>
        <v>September</v>
      </c>
      <c r="F846" s="44">
        <v>45203</v>
      </c>
      <c r="G846" t="s">
        <v>1631</v>
      </c>
      <c r="H846" t="s">
        <v>1632</v>
      </c>
      <c r="I846" t="s">
        <v>55</v>
      </c>
      <c r="J846" t="s">
        <v>43</v>
      </c>
      <c r="K846" t="s">
        <v>44</v>
      </c>
      <c r="L846" t="s">
        <v>439</v>
      </c>
      <c r="M846" t="s">
        <v>46</v>
      </c>
      <c r="N846" t="s">
        <v>223</v>
      </c>
      <c r="O846" t="s">
        <v>48</v>
      </c>
      <c r="P846" t="s">
        <v>60</v>
      </c>
      <c r="Q846" t="s">
        <v>224</v>
      </c>
      <c r="R846">
        <v>240.3</v>
      </c>
      <c r="S846">
        <v>3</v>
      </c>
      <c r="T846">
        <v>0.1</v>
      </c>
      <c r="U846" s="34" t="str">
        <f t="shared" si="82"/>
        <v>Low</v>
      </c>
      <c r="V846">
        <v>37.05</v>
      </c>
      <c r="W846" s="29">
        <f t="shared" si="83"/>
        <v>0.1541822721598</v>
      </c>
      <c r="X846">
        <v>20.68</v>
      </c>
      <c r="Y846" t="s">
        <v>96</v>
      </c>
      <c r="Z846" s="34" t="str">
        <f t="shared" si="84"/>
        <v>Small</v>
      </c>
    </row>
    <row r="847" spans="1:26">
      <c r="A847" t="s">
        <v>1729</v>
      </c>
      <c r="B847" s="44">
        <v>44933</v>
      </c>
      <c r="C847" s="34">
        <f t="shared" si="79"/>
        <v>2023</v>
      </c>
      <c r="D847" s="34">
        <f t="shared" si="80"/>
        <v>1</v>
      </c>
      <c r="E847" s="34" t="str">
        <f t="shared" si="81"/>
        <v>January</v>
      </c>
      <c r="F847" s="44">
        <v>44936</v>
      </c>
      <c r="G847" t="s">
        <v>740</v>
      </c>
      <c r="H847" t="s">
        <v>741</v>
      </c>
      <c r="I847" t="s">
        <v>29</v>
      </c>
      <c r="J847" t="s">
        <v>43</v>
      </c>
      <c r="K847" t="s">
        <v>31</v>
      </c>
      <c r="L847" t="s">
        <v>32</v>
      </c>
      <c r="M847" t="s">
        <v>33</v>
      </c>
      <c r="N847" t="s">
        <v>201</v>
      </c>
      <c r="O847" t="s">
        <v>35</v>
      </c>
      <c r="P847" t="s">
        <v>202</v>
      </c>
      <c r="Q847" t="s">
        <v>203</v>
      </c>
      <c r="R847">
        <v>336.75</v>
      </c>
      <c r="S847">
        <v>1</v>
      </c>
      <c r="T847">
        <v>0.25</v>
      </c>
      <c r="U847" s="34" t="str">
        <f t="shared" si="82"/>
        <v>High</v>
      </c>
      <c r="V847">
        <v>-37.32</v>
      </c>
      <c r="W847" s="29">
        <f t="shared" si="83"/>
        <v>-0.110824053452116</v>
      </c>
      <c r="X847">
        <v>34.6</v>
      </c>
      <c r="Y847" t="s">
        <v>38</v>
      </c>
      <c r="Z847" s="34" t="str">
        <f t="shared" si="84"/>
        <v>Small</v>
      </c>
    </row>
    <row r="848" spans="1:26">
      <c r="A848" t="s">
        <v>1730</v>
      </c>
      <c r="B848" s="44">
        <v>44237</v>
      </c>
      <c r="C848" s="34">
        <f t="shared" si="79"/>
        <v>2021</v>
      </c>
      <c r="D848" s="34">
        <f t="shared" si="80"/>
        <v>2</v>
      </c>
      <c r="E848" s="34" t="str">
        <f t="shared" si="81"/>
        <v>February</v>
      </c>
      <c r="F848" s="44">
        <v>44242</v>
      </c>
      <c r="G848" t="s">
        <v>1401</v>
      </c>
      <c r="H848" t="s">
        <v>1398</v>
      </c>
      <c r="I848" t="s">
        <v>55</v>
      </c>
      <c r="J848" t="s">
        <v>43</v>
      </c>
      <c r="K848" t="s">
        <v>273</v>
      </c>
      <c r="L848" t="s">
        <v>468</v>
      </c>
      <c r="M848" t="s">
        <v>46</v>
      </c>
      <c r="N848" t="s">
        <v>351</v>
      </c>
      <c r="O848" t="s">
        <v>67</v>
      </c>
      <c r="P848" t="s">
        <v>68</v>
      </c>
      <c r="Q848" t="s">
        <v>352</v>
      </c>
      <c r="R848">
        <v>1078.2</v>
      </c>
      <c r="S848">
        <v>2</v>
      </c>
      <c r="T848">
        <v>0.1</v>
      </c>
      <c r="U848" s="34" t="str">
        <f t="shared" si="82"/>
        <v>Low</v>
      </c>
      <c r="V848">
        <v>224.48</v>
      </c>
      <c r="W848" s="29">
        <f t="shared" si="83"/>
        <v>0.208198849935077</v>
      </c>
      <c r="X848">
        <v>42.42</v>
      </c>
      <c r="Y848" t="s">
        <v>70</v>
      </c>
      <c r="Z848" s="34" t="str">
        <f t="shared" si="84"/>
        <v>Medium</v>
      </c>
    </row>
    <row r="849" spans="1:26">
      <c r="A849" t="s">
        <v>1731</v>
      </c>
      <c r="B849" s="44">
        <v>44712</v>
      </c>
      <c r="C849" s="34">
        <f t="shared" si="79"/>
        <v>2022</v>
      </c>
      <c r="D849" s="34">
        <f t="shared" si="80"/>
        <v>5</v>
      </c>
      <c r="E849" s="34" t="str">
        <f t="shared" si="81"/>
        <v>May</v>
      </c>
      <c r="F849" s="44">
        <v>44715</v>
      </c>
      <c r="G849" t="s">
        <v>803</v>
      </c>
      <c r="H849" t="s">
        <v>804</v>
      </c>
      <c r="I849" t="s">
        <v>55</v>
      </c>
      <c r="J849" t="s">
        <v>43</v>
      </c>
      <c r="K849" t="s">
        <v>551</v>
      </c>
      <c r="L849" t="s">
        <v>718</v>
      </c>
      <c r="M849" t="s">
        <v>33</v>
      </c>
      <c r="N849" t="s">
        <v>344</v>
      </c>
      <c r="O849" t="s">
        <v>35</v>
      </c>
      <c r="P849" t="s">
        <v>163</v>
      </c>
      <c r="Q849" t="s">
        <v>345</v>
      </c>
      <c r="R849">
        <v>799</v>
      </c>
      <c r="S849">
        <v>1</v>
      </c>
      <c r="T849">
        <v>0</v>
      </c>
      <c r="U849" s="34" t="str">
        <f t="shared" si="82"/>
        <v>No Discount</v>
      </c>
      <c r="V849">
        <v>-44.84</v>
      </c>
      <c r="W849" s="29">
        <f t="shared" si="83"/>
        <v>-0.0561201501877347</v>
      </c>
      <c r="X849">
        <v>16.31</v>
      </c>
      <c r="Y849" t="s">
        <v>96</v>
      </c>
      <c r="Z849" s="34" t="str">
        <f t="shared" si="84"/>
        <v>Medium</v>
      </c>
    </row>
    <row r="850" spans="1:26">
      <c r="A850" t="s">
        <v>1732</v>
      </c>
      <c r="B850" s="44">
        <v>44435</v>
      </c>
      <c r="C850" s="34">
        <f t="shared" si="79"/>
        <v>2021</v>
      </c>
      <c r="D850" s="34">
        <f t="shared" si="80"/>
        <v>8</v>
      </c>
      <c r="E850" s="34" t="str">
        <f t="shared" si="81"/>
        <v>August</v>
      </c>
      <c r="F850" s="44">
        <v>44437</v>
      </c>
      <c r="G850" t="s">
        <v>1733</v>
      </c>
      <c r="H850" t="s">
        <v>1734</v>
      </c>
      <c r="I850" t="s">
        <v>55</v>
      </c>
      <c r="J850" t="s">
        <v>30</v>
      </c>
      <c r="K850" t="s">
        <v>108</v>
      </c>
      <c r="L850" t="s">
        <v>485</v>
      </c>
      <c r="M850" t="s">
        <v>58</v>
      </c>
      <c r="N850" t="s">
        <v>837</v>
      </c>
      <c r="O850" t="s">
        <v>35</v>
      </c>
      <c r="P850" t="s">
        <v>111</v>
      </c>
      <c r="Q850" t="s">
        <v>838</v>
      </c>
      <c r="R850">
        <v>304.3</v>
      </c>
      <c r="S850">
        <v>2</v>
      </c>
      <c r="T850">
        <v>0.15</v>
      </c>
      <c r="U850" s="34" t="str">
        <f t="shared" si="82"/>
        <v>Medium</v>
      </c>
      <c r="V850">
        <v>62.34</v>
      </c>
      <c r="W850" s="29">
        <f t="shared" si="83"/>
        <v>0.204863621426224</v>
      </c>
      <c r="X850">
        <v>15.35</v>
      </c>
      <c r="Y850" t="s">
        <v>62</v>
      </c>
      <c r="Z850" s="34" t="str">
        <f t="shared" si="84"/>
        <v>Small</v>
      </c>
    </row>
    <row r="851" spans="1:26">
      <c r="A851" t="s">
        <v>1735</v>
      </c>
      <c r="B851" s="44">
        <v>45124</v>
      </c>
      <c r="C851" s="34">
        <f t="shared" si="79"/>
        <v>2023</v>
      </c>
      <c r="D851" s="34">
        <f t="shared" si="80"/>
        <v>7</v>
      </c>
      <c r="E851" s="34" t="str">
        <f t="shared" si="81"/>
        <v>July</v>
      </c>
      <c r="F851" s="44">
        <v>45126</v>
      </c>
      <c r="G851" t="s">
        <v>687</v>
      </c>
      <c r="H851" t="s">
        <v>688</v>
      </c>
      <c r="I851" t="s">
        <v>42</v>
      </c>
      <c r="J851" t="s">
        <v>30</v>
      </c>
      <c r="K851" t="s">
        <v>213</v>
      </c>
      <c r="L851" t="s">
        <v>408</v>
      </c>
      <c r="M851" t="s">
        <v>33</v>
      </c>
      <c r="N851" t="s">
        <v>397</v>
      </c>
      <c r="O851" t="s">
        <v>48</v>
      </c>
      <c r="P851" t="s">
        <v>128</v>
      </c>
      <c r="Q851" t="s">
        <v>398</v>
      </c>
      <c r="R851">
        <v>42.5</v>
      </c>
      <c r="S851">
        <v>2</v>
      </c>
      <c r="T851">
        <v>0.15</v>
      </c>
      <c r="U851" s="34" t="str">
        <f t="shared" si="82"/>
        <v>Medium</v>
      </c>
      <c r="V851">
        <v>-10.59</v>
      </c>
      <c r="W851" s="29">
        <f t="shared" si="83"/>
        <v>-0.249176470588235</v>
      </c>
      <c r="X851">
        <v>23.98</v>
      </c>
      <c r="Y851" t="s">
        <v>137</v>
      </c>
      <c r="Z851" s="34" t="str">
        <f t="shared" si="84"/>
        <v>Small</v>
      </c>
    </row>
    <row r="852" spans="1:26">
      <c r="A852" t="s">
        <v>1736</v>
      </c>
      <c r="B852" s="44">
        <v>44729</v>
      </c>
      <c r="C852" s="34">
        <f t="shared" si="79"/>
        <v>2022</v>
      </c>
      <c r="D852" s="34">
        <f t="shared" si="80"/>
        <v>6</v>
      </c>
      <c r="E852" s="34" t="str">
        <f t="shared" si="81"/>
        <v>June</v>
      </c>
      <c r="F852" s="44">
        <v>44731</v>
      </c>
      <c r="G852" t="s">
        <v>611</v>
      </c>
      <c r="H852" t="s">
        <v>612</v>
      </c>
      <c r="I852" t="s">
        <v>42</v>
      </c>
      <c r="J852" t="s">
        <v>30</v>
      </c>
      <c r="K852" t="s">
        <v>74</v>
      </c>
      <c r="L852" t="s">
        <v>613</v>
      </c>
      <c r="M852" t="s">
        <v>76</v>
      </c>
      <c r="N852" t="s">
        <v>66</v>
      </c>
      <c r="O852" t="s">
        <v>67</v>
      </c>
      <c r="P852" t="s">
        <v>68</v>
      </c>
      <c r="Q852" t="s">
        <v>69</v>
      </c>
      <c r="R852">
        <v>2397</v>
      </c>
      <c r="S852">
        <v>3</v>
      </c>
      <c r="T852">
        <v>0</v>
      </c>
      <c r="U852" s="34" t="str">
        <f t="shared" si="82"/>
        <v>No Discount</v>
      </c>
      <c r="V852">
        <v>521.6</v>
      </c>
      <c r="W852" s="29">
        <f t="shared" si="83"/>
        <v>0.217605340008344</v>
      </c>
      <c r="X852">
        <v>19.14</v>
      </c>
      <c r="Y852" t="s">
        <v>96</v>
      </c>
      <c r="Z852" s="34" t="str">
        <f t="shared" si="84"/>
        <v>Large</v>
      </c>
    </row>
    <row r="853" spans="1:26">
      <c r="A853" t="s">
        <v>1737</v>
      </c>
      <c r="B853" s="44">
        <v>44468</v>
      </c>
      <c r="C853" s="34">
        <f t="shared" si="79"/>
        <v>2021</v>
      </c>
      <c r="D853" s="34">
        <f t="shared" si="80"/>
        <v>9</v>
      </c>
      <c r="E853" s="34" t="str">
        <f t="shared" si="81"/>
        <v>September</v>
      </c>
      <c r="F853" s="44">
        <v>44474</v>
      </c>
      <c r="G853" t="s">
        <v>1665</v>
      </c>
      <c r="H853" t="s">
        <v>1666</v>
      </c>
      <c r="I853" t="s">
        <v>29</v>
      </c>
      <c r="J853" t="s">
        <v>43</v>
      </c>
      <c r="K853" t="s">
        <v>175</v>
      </c>
      <c r="L853" t="s">
        <v>738</v>
      </c>
      <c r="M853" t="s">
        <v>46</v>
      </c>
      <c r="N853" t="s">
        <v>162</v>
      </c>
      <c r="O853" t="s">
        <v>35</v>
      </c>
      <c r="P853" t="s">
        <v>163</v>
      </c>
      <c r="Q853" t="s">
        <v>164</v>
      </c>
      <c r="R853">
        <v>1647</v>
      </c>
      <c r="S853">
        <v>3</v>
      </c>
      <c r="T853">
        <v>0</v>
      </c>
      <c r="U853" s="34" t="str">
        <f t="shared" si="82"/>
        <v>No Discount</v>
      </c>
      <c r="V853">
        <v>-133.75</v>
      </c>
      <c r="W853" s="29">
        <f t="shared" si="83"/>
        <v>-0.0812082574377656</v>
      </c>
      <c r="X853">
        <v>6.64</v>
      </c>
      <c r="Y853" t="s">
        <v>80</v>
      </c>
      <c r="Z853" s="34" t="str">
        <f t="shared" si="84"/>
        <v>Medium</v>
      </c>
    </row>
    <row r="854" spans="1:26">
      <c r="A854" t="s">
        <v>1738</v>
      </c>
      <c r="B854" s="44">
        <v>45514</v>
      </c>
      <c r="C854" s="34">
        <f t="shared" si="79"/>
        <v>2024</v>
      </c>
      <c r="D854" s="34">
        <f t="shared" si="80"/>
        <v>8</v>
      </c>
      <c r="E854" s="34" t="str">
        <f t="shared" si="81"/>
        <v>August</v>
      </c>
      <c r="F854" s="44">
        <v>45517</v>
      </c>
      <c r="G854" t="s">
        <v>691</v>
      </c>
      <c r="H854" t="s">
        <v>692</v>
      </c>
      <c r="I854" t="s">
        <v>42</v>
      </c>
      <c r="J854" t="s">
        <v>43</v>
      </c>
      <c r="K854" t="s">
        <v>213</v>
      </c>
      <c r="L854" t="s">
        <v>356</v>
      </c>
      <c r="M854" t="s">
        <v>33</v>
      </c>
      <c r="N854" t="s">
        <v>837</v>
      </c>
      <c r="O854" t="s">
        <v>35</v>
      </c>
      <c r="P854" t="s">
        <v>111</v>
      </c>
      <c r="Q854" t="s">
        <v>838</v>
      </c>
      <c r="R854">
        <v>161.1</v>
      </c>
      <c r="S854">
        <v>1</v>
      </c>
      <c r="T854">
        <v>0.1</v>
      </c>
      <c r="U854" s="34" t="str">
        <f t="shared" si="82"/>
        <v>Low</v>
      </c>
      <c r="V854">
        <v>20.35</v>
      </c>
      <c r="W854" s="29">
        <f t="shared" si="83"/>
        <v>0.126319056486654</v>
      </c>
      <c r="X854">
        <v>28.81</v>
      </c>
      <c r="Y854" t="s">
        <v>96</v>
      </c>
      <c r="Z854" s="34" t="str">
        <f t="shared" si="84"/>
        <v>Small</v>
      </c>
    </row>
    <row r="855" spans="1:26">
      <c r="A855" t="s">
        <v>1739</v>
      </c>
      <c r="B855" s="44">
        <v>44490</v>
      </c>
      <c r="C855" s="34">
        <f t="shared" si="79"/>
        <v>2021</v>
      </c>
      <c r="D855" s="34">
        <f t="shared" si="80"/>
        <v>10</v>
      </c>
      <c r="E855" s="34" t="str">
        <f t="shared" si="81"/>
        <v>October</v>
      </c>
      <c r="F855" s="44">
        <v>44492</v>
      </c>
      <c r="G855" t="s">
        <v>218</v>
      </c>
      <c r="H855" t="s">
        <v>219</v>
      </c>
      <c r="I855" t="s">
        <v>29</v>
      </c>
      <c r="J855" t="s">
        <v>43</v>
      </c>
      <c r="K855" t="s">
        <v>146</v>
      </c>
      <c r="L855" t="s">
        <v>147</v>
      </c>
      <c r="M855" t="s">
        <v>33</v>
      </c>
      <c r="N855" t="s">
        <v>223</v>
      </c>
      <c r="O855" t="s">
        <v>48</v>
      </c>
      <c r="P855" t="s">
        <v>60</v>
      </c>
      <c r="Q855" t="s">
        <v>224</v>
      </c>
      <c r="R855">
        <v>302.6</v>
      </c>
      <c r="S855">
        <v>4</v>
      </c>
      <c r="T855">
        <v>0.15</v>
      </c>
      <c r="U855" s="34" t="str">
        <f t="shared" si="82"/>
        <v>Medium</v>
      </c>
      <c r="V855">
        <v>49.31</v>
      </c>
      <c r="W855" s="29">
        <f t="shared" si="83"/>
        <v>0.162954395241243</v>
      </c>
      <c r="X855">
        <v>17.21</v>
      </c>
      <c r="Y855" t="s">
        <v>70</v>
      </c>
      <c r="Z855" s="34" t="str">
        <f t="shared" si="84"/>
        <v>Small</v>
      </c>
    </row>
    <row r="856" spans="1:26">
      <c r="A856" t="s">
        <v>1740</v>
      </c>
      <c r="B856" s="44">
        <v>44842</v>
      </c>
      <c r="C856" s="34">
        <f t="shared" si="79"/>
        <v>2022</v>
      </c>
      <c r="D856" s="34">
        <f t="shared" si="80"/>
        <v>10</v>
      </c>
      <c r="E856" s="34" t="str">
        <f t="shared" si="81"/>
        <v>October</v>
      </c>
      <c r="F856" s="44">
        <v>44847</v>
      </c>
      <c r="G856" t="s">
        <v>1707</v>
      </c>
      <c r="H856" t="s">
        <v>1708</v>
      </c>
      <c r="I856" t="s">
        <v>55</v>
      </c>
      <c r="J856" t="s">
        <v>43</v>
      </c>
      <c r="K856" t="s">
        <v>257</v>
      </c>
      <c r="L856" t="s">
        <v>258</v>
      </c>
      <c r="M856" t="s">
        <v>76</v>
      </c>
      <c r="N856" t="s">
        <v>1074</v>
      </c>
      <c r="O856" t="s">
        <v>35</v>
      </c>
      <c r="P856" t="s">
        <v>111</v>
      </c>
      <c r="Q856" t="s">
        <v>1075</v>
      </c>
      <c r="R856">
        <v>1098.2</v>
      </c>
      <c r="S856">
        <v>4</v>
      </c>
      <c r="T856">
        <v>0</v>
      </c>
      <c r="U856" s="34" t="str">
        <f t="shared" si="82"/>
        <v>No Discount</v>
      </c>
      <c r="V856">
        <v>162.87</v>
      </c>
      <c r="W856" s="29">
        <f t="shared" si="83"/>
        <v>0.148306319431797</v>
      </c>
      <c r="X856">
        <v>6.21</v>
      </c>
      <c r="Y856" t="s">
        <v>51</v>
      </c>
      <c r="Z856" s="34" t="str">
        <f t="shared" si="84"/>
        <v>Medium</v>
      </c>
    </row>
    <row r="857" spans="1:26">
      <c r="A857" t="s">
        <v>1741</v>
      </c>
      <c r="B857" s="44">
        <v>44664</v>
      </c>
      <c r="C857" s="34">
        <f t="shared" si="79"/>
        <v>2022</v>
      </c>
      <c r="D857" s="34">
        <f t="shared" si="80"/>
        <v>4</v>
      </c>
      <c r="E857" s="34" t="str">
        <f t="shared" si="81"/>
        <v>April</v>
      </c>
      <c r="F857" s="44">
        <v>44667</v>
      </c>
      <c r="G857" t="s">
        <v>466</v>
      </c>
      <c r="H857" t="s">
        <v>467</v>
      </c>
      <c r="I857" t="s">
        <v>42</v>
      </c>
      <c r="J857" t="s">
        <v>43</v>
      </c>
      <c r="K857" t="s">
        <v>273</v>
      </c>
      <c r="L857" t="s">
        <v>468</v>
      </c>
      <c r="M857" t="s">
        <v>46</v>
      </c>
      <c r="N857" t="s">
        <v>459</v>
      </c>
      <c r="O857" t="s">
        <v>48</v>
      </c>
      <c r="P857" t="s">
        <v>128</v>
      </c>
      <c r="Q857" t="s">
        <v>460</v>
      </c>
      <c r="R857">
        <v>23.2</v>
      </c>
      <c r="S857">
        <v>1</v>
      </c>
      <c r="T857">
        <v>0.2</v>
      </c>
      <c r="U857" s="34" t="str">
        <f t="shared" si="82"/>
        <v>Medium</v>
      </c>
      <c r="V857">
        <v>-9.59</v>
      </c>
      <c r="W857" s="29">
        <f t="shared" si="83"/>
        <v>-0.413362068965517</v>
      </c>
      <c r="X857">
        <v>47.44</v>
      </c>
      <c r="Y857" t="s">
        <v>121</v>
      </c>
      <c r="Z857" s="34" t="str">
        <f t="shared" si="84"/>
        <v>Small</v>
      </c>
    </row>
    <row r="858" spans="1:26">
      <c r="A858" t="s">
        <v>1742</v>
      </c>
      <c r="B858" s="44">
        <v>44639</v>
      </c>
      <c r="C858" s="34">
        <f t="shared" si="79"/>
        <v>2022</v>
      </c>
      <c r="D858" s="34">
        <f t="shared" si="80"/>
        <v>3</v>
      </c>
      <c r="E858" s="34" t="str">
        <f t="shared" si="81"/>
        <v>March</v>
      </c>
      <c r="F858" s="44">
        <v>44641</v>
      </c>
      <c r="G858" t="s">
        <v>114</v>
      </c>
      <c r="H858" t="s">
        <v>115</v>
      </c>
      <c r="I858" t="s">
        <v>55</v>
      </c>
      <c r="J858" t="s">
        <v>43</v>
      </c>
      <c r="K858" t="s">
        <v>116</v>
      </c>
      <c r="L858" t="s">
        <v>117</v>
      </c>
      <c r="M858" t="s">
        <v>33</v>
      </c>
      <c r="N858" t="s">
        <v>837</v>
      </c>
      <c r="O858" t="s">
        <v>35</v>
      </c>
      <c r="P858" t="s">
        <v>111</v>
      </c>
      <c r="Q858" t="s">
        <v>838</v>
      </c>
      <c r="R858">
        <v>286.4</v>
      </c>
      <c r="S858">
        <v>2</v>
      </c>
      <c r="T858">
        <v>0.2</v>
      </c>
      <c r="U858" s="34" t="str">
        <f t="shared" si="82"/>
        <v>Medium</v>
      </c>
      <c r="V858">
        <v>50.32</v>
      </c>
      <c r="W858" s="29">
        <f t="shared" si="83"/>
        <v>0.175698324022346</v>
      </c>
      <c r="X858">
        <v>42.28</v>
      </c>
      <c r="Y858" t="s">
        <v>96</v>
      </c>
      <c r="Z858" s="34" t="str">
        <f t="shared" si="84"/>
        <v>Small</v>
      </c>
    </row>
    <row r="859" spans="1:26">
      <c r="A859" t="s">
        <v>1743</v>
      </c>
      <c r="B859" s="44">
        <v>45226</v>
      </c>
      <c r="C859" s="34">
        <f t="shared" si="79"/>
        <v>2023</v>
      </c>
      <c r="D859" s="34">
        <f t="shared" si="80"/>
        <v>10</v>
      </c>
      <c r="E859" s="34" t="str">
        <f t="shared" si="81"/>
        <v>October</v>
      </c>
      <c r="F859" s="44">
        <v>45233</v>
      </c>
      <c r="G859" t="s">
        <v>248</v>
      </c>
      <c r="H859" t="s">
        <v>249</v>
      </c>
      <c r="I859" t="s">
        <v>55</v>
      </c>
      <c r="J859" t="s">
        <v>30</v>
      </c>
      <c r="K859" t="s">
        <v>31</v>
      </c>
      <c r="L859" t="s">
        <v>250</v>
      </c>
      <c r="M859" t="s">
        <v>33</v>
      </c>
      <c r="N859" t="s">
        <v>546</v>
      </c>
      <c r="O859" t="s">
        <v>35</v>
      </c>
      <c r="P859" t="s">
        <v>36</v>
      </c>
      <c r="Q859" t="s">
        <v>547</v>
      </c>
      <c r="R859">
        <v>4190</v>
      </c>
      <c r="S859">
        <v>2</v>
      </c>
      <c r="T859">
        <v>0</v>
      </c>
      <c r="U859" s="34" t="str">
        <f t="shared" si="82"/>
        <v>No Discount</v>
      </c>
      <c r="V859">
        <v>823.48</v>
      </c>
      <c r="W859" s="29">
        <f t="shared" si="83"/>
        <v>0.196534606205251</v>
      </c>
      <c r="X859">
        <v>48.4</v>
      </c>
      <c r="Y859" t="s">
        <v>38</v>
      </c>
      <c r="Z859" s="34" t="str">
        <f t="shared" si="84"/>
        <v>Large</v>
      </c>
    </row>
    <row r="860" spans="1:26">
      <c r="A860" t="s">
        <v>1744</v>
      </c>
      <c r="B860" s="44">
        <v>45337</v>
      </c>
      <c r="C860" s="34">
        <f t="shared" si="79"/>
        <v>2024</v>
      </c>
      <c r="D860" s="34">
        <f t="shared" si="80"/>
        <v>2</v>
      </c>
      <c r="E860" s="34" t="str">
        <f t="shared" si="81"/>
        <v>February</v>
      </c>
      <c r="F860" s="44">
        <v>45339</v>
      </c>
      <c r="G860" t="s">
        <v>611</v>
      </c>
      <c r="H860" t="s">
        <v>612</v>
      </c>
      <c r="I860" t="s">
        <v>42</v>
      </c>
      <c r="J860" t="s">
        <v>30</v>
      </c>
      <c r="K860" t="s">
        <v>74</v>
      </c>
      <c r="L860" t="s">
        <v>613</v>
      </c>
      <c r="M860" t="s">
        <v>76</v>
      </c>
      <c r="N860" t="s">
        <v>148</v>
      </c>
      <c r="O860" t="s">
        <v>48</v>
      </c>
      <c r="P860" t="s">
        <v>60</v>
      </c>
      <c r="Q860" t="s">
        <v>149</v>
      </c>
      <c r="R860">
        <v>82.5</v>
      </c>
      <c r="S860">
        <v>2</v>
      </c>
      <c r="T860">
        <v>0.25</v>
      </c>
      <c r="U860" s="34" t="str">
        <f t="shared" si="82"/>
        <v>High</v>
      </c>
      <c r="V860">
        <v>-6.09</v>
      </c>
      <c r="W860" s="29">
        <f t="shared" si="83"/>
        <v>-0.0738181818181818</v>
      </c>
      <c r="X860">
        <v>6.55</v>
      </c>
      <c r="Y860" t="s">
        <v>80</v>
      </c>
      <c r="Z860" s="34" t="str">
        <f t="shared" si="84"/>
        <v>Small</v>
      </c>
    </row>
    <row r="861" spans="1:26">
      <c r="A861" t="s">
        <v>1745</v>
      </c>
      <c r="B861" s="44">
        <v>44801</v>
      </c>
      <c r="C861" s="34">
        <f t="shared" si="79"/>
        <v>2022</v>
      </c>
      <c r="D861" s="34">
        <f t="shared" si="80"/>
        <v>8</v>
      </c>
      <c r="E861" s="34" t="str">
        <f t="shared" si="81"/>
        <v>August</v>
      </c>
      <c r="F861" s="44">
        <v>44804</v>
      </c>
      <c r="G861" t="s">
        <v>1235</v>
      </c>
      <c r="H861" t="s">
        <v>1236</v>
      </c>
      <c r="I861" t="s">
        <v>29</v>
      </c>
      <c r="J861" t="s">
        <v>30</v>
      </c>
      <c r="K861" t="s">
        <v>133</v>
      </c>
      <c r="L861" t="s">
        <v>1237</v>
      </c>
      <c r="M861" t="s">
        <v>33</v>
      </c>
      <c r="N861" t="s">
        <v>127</v>
      </c>
      <c r="O861" t="s">
        <v>48</v>
      </c>
      <c r="P861" t="s">
        <v>128</v>
      </c>
      <c r="Q861" t="s">
        <v>129</v>
      </c>
      <c r="R861">
        <v>325</v>
      </c>
      <c r="S861">
        <v>5</v>
      </c>
      <c r="T861">
        <v>0</v>
      </c>
      <c r="U861" s="34" t="str">
        <f t="shared" si="82"/>
        <v>No Discount</v>
      </c>
      <c r="V861">
        <v>20.21</v>
      </c>
      <c r="W861" s="29">
        <f t="shared" si="83"/>
        <v>0.0621846153846154</v>
      </c>
      <c r="X861">
        <v>40.98</v>
      </c>
      <c r="Y861" t="s">
        <v>70</v>
      </c>
      <c r="Z861" s="34" t="str">
        <f t="shared" si="84"/>
        <v>Small</v>
      </c>
    </row>
    <row r="862" spans="1:26">
      <c r="A862" t="s">
        <v>1746</v>
      </c>
      <c r="B862" s="44">
        <v>44795</v>
      </c>
      <c r="C862" s="34">
        <f t="shared" si="79"/>
        <v>2022</v>
      </c>
      <c r="D862" s="34">
        <f t="shared" si="80"/>
        <v>8</v>
      </c>
      <c r="E862" s="34" t="str">
        <f t="shared" si="81"/>
        <v>August</v>
      </c>
      <c r="F862" s="44">
        <v>44800</v>
      </c>
      <c r="G862" t="s">
        <v>576</v>
      </c>
      <c r="H862" t="s">
        <v>577</v>
      </c>
      <c r="I862" t="s">
        <v>55</v>
      </c>
      <c r="J862" t="s">
        <v>43</v>
      </c>
      <c r="K862" t="s">
        <v>160</v>
      </c>
      <c r="L862" t="s">
        <v>578</v>
      </c>
      <c r="M862" t="s">
        <v>76</v>
      </c>
      <c r="N862" t="s">
        <v>400</v>
      </c>
      <c r="O862" t="s">
        <v>67</v>
      </c>
      <c r="P862" t="s">
        <v>87</v>
      </c>
      <c r="Q862" t="s">
        <v>401</v>
      </c>
      <c r="R862">
        <v>1326.2</v>
      </c>
      <c r="S862">
        <v>4</v>
      </c>
      <c r="T862">
        <v>0.05</v>
      </c>
      <c r="U862" s="34" t="str">
        <f t="shared" si="82"/>
        <v>Low</v>
      </c>
      <c r="V862">
        <v>-119.92</v>
      </c>
      <c r="W862" s="29">
        <f t="shared" si="83"/>
        <v>-0.0904237671542754</v>
      </c>
      <c r="X862">
        <v>46.08</v>
      </c>
      <c r="Y862" t="s">
        <v>62</v>
      </c>
      <c r="Z862" s="34" t="str">
        <f t="shared" si="84"/>
        <v>Medium</v>
      </c>
    </row>
    <row r="863" spans="1:26">
      <c r="A863" t="s">
        <v>1747</v>
      </c>
      <c r="B863" s="44">
        <v>44247</v>
      </c>
      <c r="C863" s="34">
        <f t="shared" si="79"/>
        <v>2021</v>
      </c>
      <c r="D863" s="34">
        <f t="shared" si="80"/>
        <v>2</v>
      </c>
      <c r="E863" s="34" t="str">
        <f t="shared" si="81"/>
        <v>February</v>
      </c>
      <c r="F863" s="44">
        <v>44248</v>
      </c>
      <c r="G863" t="s">
        <v>1507</v>
      </c>
      <c r="H863" t="s">
        <v>1508</v>
      </c>
      <c r="I863" t="s">
        <v>42</v>
      </c>
      <c r="J863" t="s">
        <v>43</v>
      </c>
      <c r="K863" t="s">
        <v>302</v>
      </c>
      <c r="L863" t="s">
        <v>303</v>
      </c>
      <c r="M863" t="s">
        <v>76</v>
      </c>
      <c r="N863" t="s">
        <v>321</v>
      </c>
      <c r="O863" t="s">
        <v>48</v>
      </c>
      <c r="P863" t="s">
        <v>190</v>
      </c>
      <c r="Q863" t="s">
        <v>322</v>
      </c>
      <c r="R863">
        <v>118</v>
      </c>
      <c r="S863">
        <v>2</v>
      </c>
      <c r="T863">
        <v>0</v>
      </c>
      <c r="U863" s="34" t="str">
        <f t="shared" si="82"/>
        <v>No Discount</v>
      </c>
      <c r="V863">
        <v>-15.79</v>
      </c>
      <c r="W863" s="29">
        <f t="shared" si="83"/>
        <v>-0.133813559322034</v>
      </c>
      <c r="X863">
        <v>21.18</v>
      </c>
      <c r="Y863" t="s">
        <v>137</v>
      </c>
      <c r="Z863" s="34" t="str">
        <f t="shared" si="84"/>
        <v>Small</v>
      </c>
    </row>
    <row r="864" spans="1:26">
      <c r="A864" t="s">
        <v>1748</v>
      </c>
      <c r="B864" s="44">
        <v>45528</v>
      </c>
      <c r="C864" s="34">
        <f t="shared" si="79"/>
        <v>2024</v>
      </c>
      <c r="D864" s="34">
        <f t="shared" si="80"/>
        <v>8</v>
      </c>
      <c r="E864" s="34" t="str">
        <f t="shared" si="81"/>
        <v>August</v>
      </c>
      <c r="F864" s="44">
        <v>45532</v>
      </c>
      <c r="G864" t="s">
        <v>513</v>
      </c>
      <c r="H864" t="s">
        <v>514</v>
      </c>
      <c r="I864" t="s">
        <v>29</v>
      </c>
      <c r="J864" t="s">
        <v>43</v>
      </c>
      <c r="K864" t="s">
        <v>233</v>
      </c>
      <c r="L864" t="s">
        <v>515</v>
      </c>
      <c r="M864" t="s">
        <v>46</v>
      </c>
      <c r="N864" t="s">
        <v>409</v>
      </c>
      <c r="O864" t="s">
        <v>48</v>
      </c>
      <c r="P864" t="s">
        <v>60</v>
      </c>
      <c r="Q864" t="s">
        <v>410</v>
      </c>
      <c r="R864">
        <v>185.25</v>
      </c>
      <c r="S864">
        <v>5</v>
      </c>
      <c r="T864">
        <v>0.05</v>
      </c>
      <c r="U864" s="34" t="str">
        <f t="shared" si="82"/>
        <v>Low</v>
      </c>
      <c r="V864">
        <v>29.65</v>
      </c>
      <c r="W864" s="29">
        <f t="shared" si="83"/>
        <v>0.160053981106613</v>
      </c>
      <c r="X864">
        <v>12.32</v>
      </c>
      <c r="Y864" t="s">
        <v>80</v>
      </c>
      <c r="Z864" s="34" t="str">
        <f t="shared" si="84"/>
        <v>Small</v>
      </c>
    </row>
    <row r="865" spans="1:26">
      <c r="A865" t="s">
        <v>1749</v>
      </c>
      <c r="B865" s="44">
        <v>45471</v>
      </c>
      <c r="C865" s="34">
        <f t="shared" si="79"/>
        <v>2024</v>
      </c>
      <c r="D865" s="34">
        <f t="shared" si="80"/>
        <v>6</v>
      </c>
      <c r="E865" s="34" t="str">
        <f t="shared" si="81"/>
        <v>June</v>
      </c>
      <c r="F865" s="44">
        <v>45476</v>
      </c>
      <c r="G865" t="s">
        <v>770</v>
      </c>
      <c r="H865" t="s">
        <v>115</v>
      </c>
      <c r="I865" t="s">
        <v>55</v>
      </c>
      <c r="J865" t="s">
        <v>43</v>
      </c>
      <c r="K865" t="s">
        <v>262</v>
      </c>
      <c r="L865" t="s">
        <v>771</v>
      </c>
      <c r="M865" t="s">
        <v>58</v>
      </c>
      <c r="N865" t="s">
        <v>102</v>
      </c>
      <c r="O865" t="s">
        <v>67</v>
      </c>
      <c r="P865" t="s">
        <v>103</v>
      </c>
      <c r="Q865" t="s">
        <v>104</v>
      </c>
      <c r="R865">
        <v>1596</v>
      </c>
      <c r="S865">
        <v>4</v>
      </c>
      <c r="T865">
        <v>0</v>
      </c>
      <c r="U865" s="34" t="str">
        <f t="shared" si="82"/>
        <v>No Discount</v>
      </c>
      <c r="V865">
        <v>146.54</v>
      </c>
      <c r="W865" s="29">
        <f t="shared" si="83"/>
        <v>0.0918170426065163</v>
      </c>
      <c r="X865">
        <v>43.55</v>
      </c>
      <c r="Y865" t="s">
        <v>70</v>
      </c>
      <c r="Z865" s="34" t="str">
        <f t="shared" si="84"/>
        <v>Medium</v>
      </c>
    </row>
    <row r="866" spans="1:26">
      <c r="A866" t="s">
        <v>1750</v>
      </c>
      <c r="B866" s="44">
        <v>44678</v>
      </c>
      <c r="C866" s="34">
        <f t="shared" si="79"/>
        <v>2022</v>
      </c>
      <c r="D866" s="34">
        <f t="shared" si="80"/>
        <v>4</v>
      </c>
      <c r="E866" s="34" t="str">
        <f t="shared" si="81"/>
        <v>April</v>
      </c>
      <c r="F866" s="44">
        <v>44679</v>
      </c>
      <c r="G866" t="s">
        <v>1199</v>
      </c>
      <c r="H866" t="s">
        <v>1200</v>
      </c>
      <c r="I866" t="s">
        <v>55</v>
      </c>
      <c r="J866" t="s">
        <v>43</v>
      </c>
      <c r="K866" t="s">
        <v>233</v>
      </c>
      <c r="L866" t="s">
        <v>234</v>
      </c>
      <c r="M866" t="s">
        <v>46</v>
      </c>
      <c r="N866" t="s">
        <v>333</v>
      </c>
      <c r="O866" t="s">
        <v>48</v>
      </c>
      <c r="P866" t="s">
        <v>190</v>
      </c>
      <c r="Q866" t="s">
        <v>334</v>
      </c>
      <c r="R866">
        <v>718.2</v>
      </c>
      <c r="S866">
        <v>4</v>
      </c>
      <c r="T866">
        <v>0.05</v>
      </c>
      <c r="U866" s="34" t="str">
        <f t="shared" si="82"/>
        <v>Low</v>
      </c>
      <c r="V866">
        <v>173.03</v>
      </c>
      <c r="W866" s="29">
        <f t="shared" si="83"/>
        <v>0.240921748816486</v>
      </c>
      <c r="X866">
        <v>21.72</v>
      </c>
      <c r="Y866" t="s">
        <v>121</v>
      </c>
      <c r="Z866" s="34" t="str">
        <f t="shared" si="84"/>
        <v>Medium</v>
      </c>
    </row>
    <row r="867" spans="1:26">
      <c r="A867" t="s">
        <v>1751</v>
      </c>
      <c r="B867" s="44">
        <v>45016</v>
      </c>
      <c r="C867" s="34">
        <f t="shared" si="79"/>
        <v>2023</v>
      </c>
      <c r="D867" s="34">
        <f t="shared" si="80"/>
        <v>3</v>
      </c>
      <c r="E867" s="34" t="str">
        <f t="shared" si="81"/>
        <v>March</v>
      </c>
      <c r="F867" s="44">
        <v>45020</v>
      </c>
      <c r="G867" t="s">
        <v>1752</v>
      </c>
      <c r="H867" t="s">
        <v>1753</v>
      </c>
      <c r="I867" t="s">
        <v>42</v>
      </c>
      <c r="J867" t="s">
        <v>43</v>
      </c>
      <c r="K867" t="s">
        <v>175</v>
      </c>
      <c r="L867" t="s">
        <v>311</v>
      </c>
      <c r="M867" t="s">
        <v>46</v>
      </c>
      <c r="N867" t="s">
        <v>868</v>
      </c>
      <c r="O867" t="s">
        <v>48</v>
      </c>
      <c r="P867" t="s">
        <v>190</v>
      </c>
      <c r="Q867" t="s">
        <v>869</v>
      </c>
      <c r="R867">
        <v>707.75</v>
      </c>
      <c r="S867">
        <v>5</v>
      </c>
      <c r="T867">
        <v>0.05</v>
      </c>
      <c r="U867" s="34" t="str">
        <f t="shared" si="82"/>
        <v>Low</v>
      </c>
      <c r="V867">
        <v>71.2</v>
      </c>
      <c r="W867" s="29">
        <f t="shared" si="83"/>
        <v>0.100600494524903</v>
      </c>
      <c r="X867">
        <v>45.78</v>
      </c>
      <c r="Y867" t="s">
        <v>96</v>
      </c>
      <c r="Z867" s="34" t="str">
        <f t="shared" si="84"/>
        <v>Medium</v>
      </c>
    </row>
    <row r="868" spans="1:26">
      <c r="A868" t="s">
        <v>1754</v>
      </c>
      <c r="B868" s="44">
        <v>45272</v>
      </c>
      <c r="C868" s="34">
        <f t="shared" si="79"/>
        <v>2023</v>
      </c>
      <c r="D868" s="34">
        <f t="shared" si="80"/>
        <v>12</v>
      </c>
      <c r="E868" s="34" t="str">
        <f t="shared" si="81"/>
        <v>December</v>
      </c>
      <c r="F868" s="44">
        <v>45278</v>
      </c>
      <c r="G868" t="s">
        <v>1001</v>
      </c>
      <c r="H868" t="s">
        <v>1002</v>
      </c>
      <c r="I868" t="s">
        <v>42</v>
      </c>
      <c r="J868" t="s">
        <v>30</v>
      </c>
      <c r="K868" t="s">
        <v>326</v>
      </c>
      <c r="L868" t="s">
        <v>1003</v>
      </c>
      <c r="M868" t="s">
        <v>58</v>
      </c>
      <c r="N868" t="s">
        <v>623</v>
      </c>
      <c r="O868" t="s">
        <v>67</v>
      </c>
      <c r="P868" t="s">
        <v>87</v>
      </c>
      <c r="Q868" t="s">
        <v>624</v>
      </c>
      <c r="R868">
        <v>249</v>
      </c>
      <c r="S868">
        <v>1</v>
      </c>
      <c r="T868">
        <v>0</v>
      </c>
      <c r="U868" s="34" t="str">
        <f t="shared" si="82"/>
        <v>No Discount</v>
      </c>
      <c r="V868">
        <v>-19.15</v>
      </c>
      <c r="W868" s="29">
        <f t="shared" si="83"/>
        <v>-0.0769076305220883</v>
      </c>
      <c r="X868">
        <v>22.32</v>
      </c>
      <c r="Y868" t="s">
        <v>80</v>
      </c>
      <c r="Z868" s="34" t="str">
        <f t="shared" si="84"/>
        <v>Small</v>
      </c>
    </row>
    <row r="869" spans="1:26">
      <c r="A869" t="s">
        <v>1755</v>
      </c>
      <c r="B869" s="44">
        <v>44720</v>
      </c>
      <c r="C869" s="34">
        <f t="shared" si="79"/>
        <v>2022</v>
      </c>
      <c r="D869" s="34">
        <f t="shared" si="80"/>
        <v>6</v>
      </c>
      <c r="E869" s="34" t="str">
        <f t="shared" si="81"/>
        <v>June</v>
      </c>
      <c r="F869" s="44">
        <v>44724</v>
      </c>
      <c r="G869" t="s">
        <v>40</v>
      </c>
      <c r="H869" t="s">
        <v>41</v>
      </c>
      <c r="I869" t="s">
        <v>42</v>
      </c>
      <c r="J869" t="s">
        <v>43</v>
      </c>
      <c r="K869" t="s">
        <v>44</v>
      </c>
      <c r="L869" t="s">
        <v>45</v>
      </c>
      <c r="M869" t="s">
        <v>46</v>
      </c>
      <c r="N869" t="s">
        <v>141</v>
      </c>
      <c r="O869" t="s">
        <v>35</v>
      </c>
      <c r="P869" t="s">
        <v>111</v>
      </c>
      <c r="Q869" t="s">
        <v>142</v>
      </c>
      <c r="R869">
        <v>402.3</v>
      </c>
      <c r="S869">
        <v>3</v>
      </c>
      <c r="T869">
        <v>0.1</v>
      </c>
      <c r="U869" s="34" t="str">
        <f t="shared" si="82"/>
        <v>Low</v>
      </c>
      <c r="V869">
        <v>-40.25</v>
      </c>
      <c r="W869" s="29">
        <f t="shared" si="83"/>
        <v>-0.100049714143674</v>
      </c>
      <c r="X869">
        <v>26.87</v>
      </c>
      <c r="Y869" t="s">
        <v>121</v>
      </c>
      <c r="Z869" s="34" t="str">
        <f t="shared" si="84"/>
        <v>Small</v>
      </c>
    </row>
    <row r="870" spans="1:26">
      <c r="A870" t="s">
        <v>1756</v>
      </c>
      <c r="B870" s="44">
        <v>45334</v>
      </c>
      <c r="C870" s="34">
        <f t="shared" si="79"/>
        <v>2024</v>
      </c>
      <c r="D870" s="34">
        <f t="shared" si="80"/>
        <v>2</v>
      </c>
      <c r="E870" s="34" t="str">
        <f t="shared" si="81"/>
        <v>February</v>
      </c>
      <c r="F870" s="44">
        <v>45335</v>
      </c>
      <c r="G870" t="s">
        <v>780</v>
      </c>
      <c r="H870" t="s">
        <v>41</v>
      </c>
      <c r="I870" t="s">
        <v>42</v>
      </c>
      <c r="J870" t="s">
        <v>43</v>
      </c>
      <c r="K870" t="s">
        <v>74</v>
      </c>
      <c r="L870" t="s">
        <v>613</v>
      </c>
      <c r="M870" t="s">
        <v>76</v>
      </c>
      <c r="N870" t="s">
        <v>110</v>
      </c>
      <c r="O870" t="s">
        <v>35</v>
      </c>
      <c r="P870" t="s">
        <v>111</v>
      </c>
      <c r="Q870" t="s">
        <v>112</v>
      </c>
      <c r="R870">
        <v>447.75</v>
      </c>
      <c r="S870">
        <v>3</v>
      </c>
      <c r="T870">
        <v>0.25</v>
      </c>
      <c r="U870" s="34" t="str">
        <f t="shared" si="82"/>
        <v>High</v>
      </c>
      <c r="V870">
        <v>76.76</v>
      </c>
      <c r="W870" s="29">
        <f t="shared" si="83"/>
        <v>0.17143495254048</v>
      </c>
      <c r="X870">
        <v>12.78</v>
      </c>
      <c r="Y870" t="s">
        <v>96</v>
      </c>
      <c r="Z870" s="34" t="str">
        <f t="shared" si="84"/>
        <v>Small</v>
      </c>
    </row>
    <row r="871" spans="1:26">
      <c r="A871" t="s">
        <v>1757</v>
      </c>
      <c r="B871" s="44">
        <v>45300</v>
      </c>
      <c r="C871" s="34">
        <f t="shared" si="79"/>
        <v>2024</v>
      </c>
      <c r="D871" s="34">
        <f t="shared" si="80"/>
        <v>1</v>
      </c>
      <c r="E871" s="34" t="str">
        <f t="shared" si="81"/>
        <v>January</v>
      </c>
      <c r="F871" s="44">
        <v>45304</v>
      </c>
      <c r="G871" t="s">
        <v>1240</v>
      </c>
      <c r="H871" t="s">
        <v>1241</v>
      </c>
      <c r="I871" t="s">
        <v>42</v>
      </c>
      <c r="J871" t="s">
        <v>43</v>
      </c>
      <c r="K871" t="s">
        <v>125</v>
      </c>
      <c r="L871" t="s">
        <v>808</v>
      </c>
      <c r="M871" t="s">
        <v>58</v>
      </c>
      <c r="N871" t="s">
        <v>684</v>
      </c>
      <c r="O871" t="s">
        <v>48</v>
      </c>
      <c r="P871" t="s">
        <v>60</v>
      </c>
      <c r="Q871" t="s">
        <v>685</v>
      </c>
      <c r="R871">
        <v>79</v>
      </c>
      <c r="S871">
        <v>1</v>
      </c>
      <c r="T871">
        <v>0</v>
      </c>
      <c r="U871" s="34" t="str">
        <f t="shared" si="82"/>
        <v>No Discount</v>
      </c>
      <c r="V871">
        <v>-1.45</v>
      </c>
      <c r="W871" s="29">
        <f t="shared" si="83"/>
        <v>-0.0183544303797468</v>
      </c>
      <c r="X871">
        <v>36.43</v>
      </c>
      <c r="Y871" t="s">
        <v>137</v>
      </c>
      <c r="Z871" s="34" t="str">
        <f t="shared" si="84"/>
        <v>Small</v>
      </c>
    </row>
    <row r="872" spans="1:26">
      <c r="A872" t="s">
        <v>1758</v>
      </c>
      <c r="B872" s="44">
        <v>43890</v>
      </c>
      <c r="C872" s="34">
        <f t="shared" si="79"/>
        <v>2020</v>
      </c>
      <c r="D872" s="34">
        <f t="shared" si="80"/>
        <v>2</v>
      </c>
      <c r="E872" s="34" t="str">
        <f t="shared" si="81"/>
        <v>February</v>
      </c>
      <c r="F872" s="44">
        <v>43892</v>
      </c>
      <c r="G872" t="s">
        <v>988</v>
      </c>
      <c r="H872" t="s">
        <v>989</v>
      </c>
      <c r="I872" t="s">
        <v>29</v>
      </c>
      <c r="J872" t="s">
        <v>43</v>
      </c>
      <c r="K872" t="s">
        <v>297</v>
      </c>
      <c r="L872" t="s">
        <v>298</v>
      </c>
      <c r="M872" t="s">
        <v>46</v>
      </c>
      <c r="N872" t="s">
        <v>141</v>
      </c>
      <c r="O872" t="s">
        <v>35</v>
      </c>
      <c r="P872" t="s">
        <v>111</v>
      </c>
      <c r="Q872" t="s">
        <v>142</v>
      </c>
      <c r="R872">
        <v>149</v>
      </c>
      <c r="S872">
        <v>1</v>
      </c>
      <c r="T872">
        <v>0</v>
      </c>
      <c r="U872" s="34" t="str">
        <f t="shared" si="82"/>
        <v>No Discount</v>
      </c>
      <c r="V872">
        <v>-10.82</v>
      </c>
      <c r="W872" s="29">
        <f t="shared" si="83"/>
        <v>-0.0726174496644295</v>
      </c>
      <c r="X872">
        <v>11.24</v>
      </c>
      <c r="Y872" t="s">
        <v>38</v>
      </c>
      <c r="Z872" s="34" t="str">
        <f t="shared" si="84"/>
        <v>Small</v>
      </c>
    </row>
    <row r="873" spans="1:26">
      <c r="A873" t="s">
        <v>1759</v>
      </c>
      <c r="B873" s="44">
        <v>44959</v>
      </c>
      <c r="C873" s="34">
        <f t="shared" si="79"/>
        <v>2023</v>
      </c>
      <c r="D873" s="34">
        <f t="shared" si="80"/>
        <v>2</v>
      </c>
      <c r="E873" s="34" t="str">
        <f t="shared" si="81"/>
        <v>February</v>
      </c>
      <c r="F873" s="44">
        <v>44961</v>
      </c>
      <c r="G873" t="s">
        <v>687</v>
      </c>
      <c r="H873" t="s">
        <v>688</v>
      </c>
      <c r="I873" t="s">
        <v>42</v>
      </c>
      <c r="J873" t="s">
        <v>30</v>
      </c>
      <c r="K873" t="s">
        <v>213</v>
      </c>
      <c r="L873" t="s">
        <v>408</v>
      </c>
      <c r="M873" t="s">
        <v>33</v>
      </c>
      <c r="N873" t="s">
        <v>182</v>
      </c>
      <c r="O873" t="s">
        <v>48</v>
      </c>
      <c r="P873" t="s">
        <v>128</v>
      </c>
      <c r="Q873" t="s">
        <v>183</v>
      </c>
      <c r="R873">
        <v>300.2</v>
      </c>
      <c r="S873">
        <v>4</v>
      </c>
      <c r="T873">
        <v>0.05</v>
      </c>
      <c r="U873" s="34" t="str">
        <f t="shared" si="82"/>
        <v>Low</v>
      </c>
      <c r="V873">
        <v>60.17</v>
      </c>
      <c r="W873" s="29">
        <f t="shared" si="83"/>
        <v>0.200433044636909</v>
      </c>
      <c r="X873">
        <v>19.59</v>
      </c>
      <c r="Y873" t="s">
        <v>38</v>
      </c>
      <c r="Z873" s="34" t="str">
        <f t="shared" si="84"/>
        <v>Small</v>
      </c>
    </row>
    <row r="874" spans="1:26">
      <c r="A874" t="s">
        <v>1760</v>
      </c>
      <c r="B874" s="44">
        <v>44420</v>
      </c>
      <c r="C874" s="34">
        <f t="shared" si="79"/>
        <v>2021</v>
      </c>
      <c r="D874" s="34">
        <f t="shared" si="80"/>
        <v>8</v>
      </c>
      <c r="E874" s="34" t="str">
        <f t="shared" si="81"/>
        <v>August</v>
      </c>
      <c r="F874" s="44">
        <v>44426</v>
      </c>
      <c r="G874" t="s">
        <v>1138</v>
      </c>
      <c r="H874" t="s">
        <v>1139</v>
      </c>
      <c r="I874" t="s">
        <v>55</v>
      </c>
      <c r="J874" t="s">
        <v>30</v>
      </c>
      <c r="K874" t="s">
        <v>284</v>
      </c>
      <c r="L874" t="s">
        <v>414</v>
      </c>
      <c r="M874" t="s">
        <v>76</v>
      </c>
      <c r="N874" t="s">
        <v>182</v>
      </c>
      <c r="O874" t="s">
        <v>48</v>
      </c>
      <c r="P874" t="s">
        <v>128</v>
      </c>
      <c r="Q874" t="s">
        <v>183</v>
      </c>
      <c r="R874">
        <v>79</v>
      </c>
      <c r="S874">
        <v>1</v>
      </c>
      <c r="T874">
        <v>0</v>
      </c>
      <c r="U874" s="34" t="str">
        <f t="shared" si="82"/>
        <v>No Discount</v>
      </c>
      <c r="V874">
        <v>3.9</v>
      </c>
      <c r="W874" s="29">
        <f t="shared" si="83"/>
        <v>0.0493670886075949</v>
      </c>
      <c r="X874">
        <v>13.33</v>
      </c>
      <c r="Y874" t="s">
        <v>96</v>
      </c>
      <c r="Z874" s="34" t="str">
        <f t="shared" si="84"/>
        <v>Small</v>
      </c>
    </row>
    <row r="875" spans="1:26">
      <c r="A875" t="s">
        <v>1761</v>
      </c>
      <c r="B875" s="44">
        <v>44272</v>
      </c>
      <c r="C875" s="34">
        <f t="shared" si="79"/>
        <v>2021</v>
      </c>
      <c r="D875" s="34">
        <f t="shared" si="80"/>
        <v>3</v>
      </c>
      <c r="E875" s="34" t="str">
        <f t="shared" si="81"/>
        <v>March</v>
      </c>
      <c r="F875" s="44">
        <v>44279</v>
      </c>
      <c r="G875" t="s">
        <v>829</v>
      </c>
      <c r="H875" t="s">
        <v>830</v>
      </c>
      <c r="I875" t="s">
        <v>29</v>
      </c>
      <c r="J875" t="s">
        <v>43</v>
      </c>
      <c r="K875" t="s">
        <v>168</v>
      </c>
      <c r="L875" t="s">
        <v>169</v>
      </c>
      <c r="M875" t="s">
        <v>76</v>
      </c>
      <c r="N875" t="s">
        <v>357</v>
      </c>
      <c r="O875" t="s">
        <v>48</v>
      </c>
      <c r="P875" t="s">
        <v>49</v>
      </c>
      <c r="Q875" t="s">
        <v>358</v>
      </c>
      <c r="R875">
        <v>155.25</v>
      </c>
      <c r="S875">
        <v>3</v>
      </c>
      <c r="T875">
        <v>0.25</v>
      </c>
      <c r="U875" s="34" t="str">
        <f t="shared" si="82"/>
        <v>High</v>
      </c>
      <c r="V875">
        <v>15.12</v>
      </c>
      <c r="W875" s="29">
        <f t="shared" si="83"/>
        <v>0.0973913043478261</v>
      </c>
      <c r="X875">
        <v>42.75</v>
      </c>
      <c r="Y875" t="s">
        <v>62</v>
      </c>
      <c r="Z875" s="34" t="str">
        <f t="shared" si="84"/>
        <v>Small</v>
      </c>
    </row>
    <row r="876" spans="1:26">
      <c r="A876" t="s">
        <v>1762</v>
      </c>
      <c r="B876" s="44">
        <v>45177</v>
      </c>
      <c r="C876" s="34">
        <f t="shared" si="79"/>
        <v>2023</v>
      </c>
      <c r="D876" s="34">
        <f t="shared" si="80"/>
        <v>9</v>
      </c>
      <c r="E876" s="34" t="str">
        <f t="shared" si="81"/>
        <v>September</v>
      </c>
      <c r="F876" s="44">
        <v>45178</v>
      </c>
      <c r="G876" t="s">
        <v>655</v>
      </c>
      <c r="H876" t="s">
        <v>656</v>
      </c>
      <c r="I876" t="s">
        <v>42</v>
      </c>
      <c r="J876" t="s">
        <v>43</v>
      </c>
      <c r="K876" t="s">
        <v>153</v>
      </c>
      <c r="L876" t="s">
        <v>338</v>
      </c>
      <c r="M876" t="s">
        <v>58</v>
      </c>
      <c r="N876" t="s">
        <v>148</v>
      </c>
      <c r="O876" t="s">
        <v>48</v>
      </c>
      <c r="P876" t="s">
        <v>60</v>
      </c>
      <c r="Q876" t="s">
        <v>149</v>
      </c>
      <c r="R876">
        <v>55</v>
      </c>
      <c r="S876">
        <v>1</v>
      </c>
      <c r="T876">
        <v>0</v>
      </c>
      <c r="U876" s="34" t="str">
        <f t="shared" si="82"/>
        <v>No Discount</v>
      </c>
      <c r="V876">
        <v>1.72</v>
      </c>
      <c r="W876" s="29">
        <f t="shared" si="83"/>
        <v>0.0312727272727273</v>
      </c>
      <c r="X876">
        <v>16.26</v>
      </c>
      <c r="Y876" t="s">
        <v>121</v>
      </c>
      <c r="Z876" s="34" t="str">
        <f t="shared" si="84"/>
        <v>Small</v>
      </c>
    </row>
    <row r="877" spans="1:26">
      <c r="A877" t="s">
        <v>1763</v>
      </c>
      <c r="B877" s="44">
        <v>45019</v>
      </c>
      <c r="C877" s="34">
        <f t="shared" si="79"/>
        <v>2023</v>
      </c>
      <c r="D877" s="34">
        <f t="shared" si="80"/>
        <v>4</v>
      </c>
      <c r="E877" s="34" t="str">
        <f t="shared" si="81"/>
        <v>April</v>
      </c>
      <c r="F877" s="44">
        <v>45024</v>
      </c>
      <c r="G877" t="s">
        <v>1100</v>
      </c>
      <c r="H877" t="s">
        <v>261</v>
      </c>
      <c r="I877" t="s">
        <v>42</v>
      </c>
      <c r="J877" t="s">
        <v>43</v>
      </c>
      <c r="K877" t="s">
        <v>175</v>
      </c>
      <c r="L877" t="s">
        <v>176</v>
      </c>
      <c r="M877" t="s">
        <v>46</v>
      </c>
      <c r="N877" t="s">
        <v>208</v>
      </c>
      <c r="O877" t="s">
        <v>48</v>
      </c>
      <c r="P877" t="s">
        <v>128</v>
      </c>
      <c r="Q877" t="s">
        <v>209</v>
      </c>
      <c r="R877">
        <v>105</v>
      </c>
      <c r="S877">
        <v>3</v>
      </c>
      <c r="T877">
        <v>0</v>
      </c>
      <c r="U877" s="34" t="str">
        <f t="shared" si="82"/>
        <v>No Discount</v>
      </c>
      <c r="V877">
        <v>16.37</v>
      </c>
      <c r="W877" s="29">
        <f t="shared" si="83"/>
        <v>0.155904761904762</v>
      </c>
      <c r="X877">
        <v>32.94</v>
      </c>
      <c r="Y877" t="s">
        <v>80</v>
      </c>
      <c r="Z877" s="34" t="str">
        <f t="shared" si="84"/>
        <v>Small</v>
      </c>
    </row>
    <row r="878" spans="1:26">
      <c r="A878" t="s">
        <v>1764</v>
      </c>
      <c r="B878" s="44">
        <v>44617</v>
      </c>
      <c r="C878" s="34">
        <f t="shared" si="79"/>
        <v>2022</v>
      </c>
      <c r="D878" s="34">
        <f t="shared" si="80"/>
        <v>2</v>
      </c>
      <c r="E878" s="34" t="str">
        <f t="shared" si="81"/>
        <v>February</v>
      </c>
      <c r="F878" s="44">
        <v>44621</v>
      </c>
      <c r="G878" t="s">
        <v>1001</v>
      </c>
      <c r="H878" t="s">
        <v>1002</v>
      </c>
      <c r="I878" t="s">
        <v>42</v>
      </c>
      <c r="J878" t="s">
        <v>30</v>
      </c>
      <c r="K878" t="s">
        <v>326</v>
      </c>
      <c r="L878" t="s">
        <v>1003</v>
      </c>
      <c r="M878" t="s">
        <v>58</v>
      </c>
      <c r="N878" t="s">
        <v>34</v>
      </c>
      <c r="O878" t="s">
        <v>35</v>
      </c>
      <c r="P878" t="s">
        <v>36</v>
      </c>
      <c r="Q878" t="s">
        <v>37</v>
      </c>
      <c r="R878">
        <v>1347</v>
      </c>
      <c r="S878">
        <v>3</v>
      </c>
      <c r="T878">
        <v>0</v>
      </c>
      <c r="U878" s="34" t="str">
        <f t="shared" si="82"/>
        <v>No Discount</v>
      </c>
      <c r="V878">
        <v>195.03</v>
      </c>
      <c r="W878" s="29">
        <f t="shared" si="83"/>
        <v>0.144788418708241</v>
      </c>
      <c r="X878">
        <v>23.4</v>
      </c>
      <c r="Y878" t="s">
        <v>137</v>
      </c>
      <c r="Z878" s="34" t="str">
        <f t="shared" si="84"/>
        <v>Medium</v>
      </c>
    </row>
    <row r="879" spans="1:26">
      <c r="A879" t="s">
        <v>1765</v>
      </c>
      <c r="B879" s="44">
        <v>44575</v>
      </c>
      <c r="C879" s="34">
        <f t="shared" si="79"/>
        <v>2022</v>
      </c>
      <c r="D879" s="34">
        <f t="shared" si="80"/>
        <v>1</v>
      </c>
      <c r="E879" s="34" t="str">
        <f t="shared" si="81"/>
        <v>January</v>
      </c>
      <c r="F879" s="44">
        <v>44577</v>
      </c>
      <c r="G879" t="s">
        <v>82</v>
      </c>
      <c r="H879" t="s">
        <v>83</v>
      </c>
      <c r="I879" t="s">
        <v>55</v>
      </c>
      <c r="J879" t="s">
        <v>30</v>
      </c>
      <c r="K879" t="s">
        <v>84</v>
      </c>
      <c r="L879" t="s">
        <v>85</v>
      </c>
      <c r="M879" t="s">
        <v>33</v>
      </c>
      <c r="N879" t="s">
        <v>357</v>
      </c>
      <c r="O879" t="s">
        <v>48</v>
      </c>
      <c r="P879" t="s">
        <v>49</v>
      </c>
      <c r="Q879" t="s">
        <v>358</v>
      </c>
      <c r="R879">
        <v>196.65</v>
      </c>
      <c r="S879">
        <v>3</v>
      </c>
      <c r="T879">
        <v>0.05</v>
      </c>
      <c r="U879" s="34" t="str">
        <f t="shared" si="82"/>
        <v>Low</v>
      </c>
      <c r="V879">
        <v>-25.26</v>
      </c>
      <c r="W879" s="29">
        <f t="shared" si="83"/>
        <v>-0.128451563691838</v>
      </c>
      <c r="X879">
        <v>31.77</v>
      </c>
      <c r="Y879" t="s">
        <v>137</v>
      </c>
      <c r="Z879" s="34" t="str">
        <f t="shared" si="84"/>
        <v>Small</v>
      </c>
    </row>
    <row r="880" spans="1:26">
      <c r="A880" t="s">
        <v>1766</v>
      </c>
      <c r="B880" s="44">
        <v>45365</v>
      </c>
      <c r="C880" s="34">
        <f t="shared" si="79"/>
        <v>2024</v>
      </c>
      <c r="D880" s="34">
        <f t="shared" si="80"/>
        <v>3</v>
      </c>
      <c r="E880" s="34" t="str">
        <f t="shared" si="81"/>
        <v>March</v>
      </c>
      <c r="F880" s="44">
        <v>45370</v>
      </c>
      <c r="G880" t="s">
        <v>1042</v>
      </c>
      <c r="H880" t="s">
        <v>206</v>
      </c>
      <c r="I880" t="s">
        <v>55</v>
      </c>
      <c r="J880" t="s">
        <v>30</v>
      </c>
      <c r="K880" t="s">
        <v>273</v>
      </c>
      <c r="L880" t="s">
        <v>274</v>
      </c>
      <c r="M880" t="s">
        <v>46</v>
      </c>
      <c r="N880" t="s">
        <v>47</v>
      </c>
      <c r="O880" t="s">
        <v>48</v>
      </c>
      <c r="P880" t="s">
        <v>49</v>
      </c>
      <c r="Q880" t="s">
        <v>50</v>
      </c>
      <c r="R880">
        <v>316</v>
      </c>
      <c r="S880">
        <v>4</v>
      </c>
      <c r="T880">
        <v>0</v>
      </c>
      <c r="U880" s="34" t="str">
        <f t="shared" si="82"/>
        <v>No Discount</v>
      </c>
      <c r="V880">
        <v>-27.64</v>
      </c>
      <c r="W880" s="29">
        <f t="shared" si="83"/>
        <v>-0.0874683544303797</v>
      </c>
      <c r="X880">
        <v>39.48</v>
      </c>
      <c r="Y880" t="s">
        <v>62</v>
      </c>
      <c r="Z880" s="34" t="str">
        <f t="shared" si="84"/>
        <v>Small</v>
      </c>
    </row>
    <row r="881" spans="1:26">
      <c r="A881" t="s">
        <v>1767</v>
      </c>
      <c r="B881" s="44">
        <v>44725</v>
      </c>
      <c r="C881" s="34">
        <f t="shared" si="79"/>
        <v>2022</v>
      </c>
      <c r="D881" s="34">
        <f t="shared" si="80"/>
        <v>6</v>
      </c>
      <c r="E881" s="34" t="str">
        <f t="shared" si="81"/>
        <v>June</v>
      </c>
      <c r="F881" s="44">
        <v>44726</v>
      </c>
      <c r="G881" t="s">
        <v>1052</v>
      </c>
      <c r="H881" t="s">
        <v>1053</v>
      </c>
      <c r="I881" t="s">
        <v>55</v>
      </c>
      <c r="J881" t="s">
        <v>43</v>
      </c>
      <c r="K881" t="s">
        <v>160</v>
      </c>
      <c r="L881" t="s">
        <v>1054</v>
      </c>
      <c r="M881" t="s">
        <v>76</v>
      </c>
      <c r="N881" t="s">
        <v>118</v>
      </c>
      <c r="O881" t="s">
        <v>67</v>
      </c>
      <c r="P881" t="s">
        <v>119</v>
      </c>
      <c r="Q881" t="s">
        <v>120</v>
      </c>
      <c r="R881">
        <v>2398</v>
      </c>
      <c r="S881">
        <v>2</v>
      </c>
      <c r="T881">
        <v>0</v>
      </c>
      <c r="U881" s="34" t="str">
        <f t="shared" si="82"/>
        <v>No Discount</v>
      </c>
      <c r="V881">
        <v>-130.64</v>
      </c>
      <c r="W881" s="29">
        <f t="shared" si="83"/>
        <v>-0.0544787322768974</v>
      </c>
      <c r="X881">
        <v>35.81</v>
      </c>
      <c r="Y881" t="s">
        <v>80</v>
      </c>
      <c r="Z881" s="34" t="str">
        <f t="shared" si="84"/>
        <v>Large</v>
      </c>
    </row>
    <row r="882" spans="1:26">
      <c r="A882" t="s">
        <v>1768</v>
      </c>
      <c r="B882" s="44">
        <v>45556</v>
      </c>
      <c r="C882" s="34">
        <f t="shared" si="79"/>
        <v>2024</v>
      </c>
      <c r="D882" s="34">
        <f t="shared" si="80"/>
        <v>9</v>
      </c>
      <c r="E882" s="34" t="str">
        <f t="shared" si="81"/>
        <v>September</v>
      </c>
      <c r="F882" s="44">
        <v>45558</v>
      </c>
      <c r="G882" t="s">
        <v>819</v>
      </c>
      <c r="H882" t="s">
        <v>820</v>
      </c>
      <c r="I882" t="s">
        <v>29</v>
      </c>
      <c r="J882" t="s">
        <v>43</v>
      </c>
      <c r="K882" t="s">
        <v>180</v>
      </c>
      <c r="L882" t="s">
        <v>821</v>
      </c>
      <c r="M882" t="s">
        <v>46</v>
      </c>
      <c r="N882" t="s">
        <v>215</v>
      </c>
      <c r="O882" t="s">
        <v>35</v>
      </c>
      <c r="P882" t="s">
        <v>36</v>
      </c>
      <c r="Q882" t="s">
        <v>216</v>
      </c>
      <c r="R882">
        <v>5196</v>
      </c>
      <c r="S882">
        <v>5</v>
      </c>
      <c r="T882">
        <v>0.2</v>
      </c>
      <c r="U882" s="34" t="str">
        <f t="shared" si="82"/>
        <v>Medium</v>
      </c>
      <c r="V882">
        <v>931.25</v>
      </c>
      <c r="W882" s="29">
        <f t="shared" si="83"/>
        <v>0.179224403387221</v>
      </c>
      <c r="X882">
        <v>13.43</v>
      </c>
      <c r="Y882" t="s">
        <v>96</v>
      </c>
      <c r="Z882" s="34" t="str">
        <f t="shared" si="84"/>
        <v>Large</v>
      </c>
    </row>
    <row r="883" spans="1:26">
      <c r="A883" t="s">
        <v>1769</v>
      </c>
      <c r="B883" s="44">
        <v>45543</v>
      </c>
      <c r="C883" s="34">
        <f t="shared" si="79"/>
        <v>2024</v>
      </c>
      <c r="D883" s="34">
        <f t="shared" si="80"/>
        <v>9</v>
      </c>
      <c r="E883" s="34" t="str">
        <f t="shared" si="81"/>
        <v>September</v>
      </c>
      <c r="F883" s="44">
        <v>45547</v>
      </c>
      <c r="G883" t="s">
        <v>491</v>
      </c>
      <c r="H883" t="s">
        <v>492</v>
      </c>
      <c r="I883" t="s">
        <v>29</v>
      </c>
      <c r="J883" t="s">
        <v>43</v>
      </c>
      <c r="K883" t="s">
        <v>56</v>
      </c>
      <c r="L883" t="s">
        <v>493</v>
      </c>
      <c r="M883" t="s">
        <v>58</v>
      </c>
      <c r="N883" t="s">
        <v>201</v>
      </c>
      <c r="O883" t="s">
        <v>35</v>
      </c>
      <c r="P883" t="s">
        <v>202</v>
      </c>
      <c r="Q883" t="s">
        <v>203</v>
      </c>
      <c r="R883">
        <v>1796</v>
      </c>
      <c r="S883">
        <v>4</v>
      </c>
      <c r="T883">
        <v>0</v>
      </c>
      <c r="U883" s="34" t="str">
        <f t="shared" si="82"/>
        <v>No Discount</v>
      </c>
      <c r="V883">
        <v>434.86</v>
      </c>
      <c r="W883" s="29">
        <f t="shared" si="83"/>
        <v>0.242126948775056</v>
      </c>
      <c r="X883">
        <v>47.15</v>
      </c>
      <c r="Y883" t="s">
        <v>80</v>
      </c>
      <c r="Z883" s="34" t="str">
        <f t="shared" si="84"/>
        <v>Medium</v>
      </c>
    </row>
    <row r="884" spans="1:26">
      <c r="A884" t="s">
        <v>1770</v>
      </c>
      <c r="B884" s="44">
        <v>45009</v>
      </c>
      <c r="C884" s="34">
        <f t="shared" si="79"/>
        <v>2023</v>
      </c>
      <c r="D884" s="34">
        <f t="shared" si="80"/>
        <v>3</v>
      </c>
      <c r="E884" s="34" t="str">
        <f t="shared" si="81"/>
        <v>March</v>
      </c>
      <c r="F884" s="44">
        <v>45016</v>
      </c>
      <c r="G884" t="s">
        <v>588</v>
      </c>
      <c r="H884" t="s">
        <v>589</v>
      </c>
      <c r="I884" t="s">
        <v>42</v>
      </c>
      <c r="J884" t="s">
        <v>30</v>
      </c>
      <c r="K884" t="s">
        <v>100</v>
      </c>
      <c r="L884" t="s">
        <v>590</v>
      </c>
      <c r="M884" t="s">
        <v>33</v>
      </c>
      <c r="N884" t="s">
        <v>684</v>
      </c>
      <c r="O884" t="s">
        <v>48</v>
      </c>
      <c r="P884" t="s">
        <v>60</v>
      </c>
      <c r="Q884" t="s">
        <v>685</v>
      </c>
      <c r="R884">
        <v>355.5</v>
      </c>
      <c r="S884">
        <v>5</v>
      </c>
      <c r="T884">
        <v>0.1</v>
      </c>
      <c r="U884" s="34" t="str">
        <f t="shared" si="82"/>
        <v>Low</v>
      </c>
      <c r="V884">
        <v>21</v>
      </c>
      <c r="W884" s="29">
        <f t="shared" si="83"/>
        <v>0.0590717299578059</v>
      </c>
      <c r="X884">
        <v>48.5</v>
      </c>
      <c r="Y884" t="s">
        <v>121</v>
      </c>
      <c r="Z884" s="34" t="str">
        <f t="shared" si="84"/>
        <v>Small</v>
      </c>
    </row>
    <row r="885" spans="1:26">
      <c r="A885" t="s">
        <v>1771</v>
      </c>
      <c r="B885" s="44">
        <v>44331</v>
      </c>
      <c r="C885" s="34">
        <f t="shared" si="79"/>
        <v>2021</v>
      </c>
      <c r="D885" s="34">
        <f t="shared" si="80"/>
        <v>5</v>
      </c>
      <c r="E885" s="34" t="str">
        <f t="shared" si="81"/>
        <v>May</v>
      </c>
      <c r="F885" s="44">
        <v>44332</v>
      </c>
      <c r="G885" t="s">
        <v>597</v>
      </c>
      <c r="H885" t="s">
        <v>598</v>
      </c>
      <c r="I885" t="s">
        <v>29</v>
      </c>
      <c r="J885" t="s">
        <v>30</v>
      </c>
      <c r="K885" t="s">
        <v>199</v>
      </c>
      <c r="L885" t="s">
        <v>396</v>
      </c>
      <c r="M885" t="s">
        <v>46</v>
      </c>
      <c r="N885" t="s">
        <v>441</v>
      </c>
      <c r="O885" t="s">
        <v>67</v>
      </c>
      <c r="P885" t="s">
        <v>68</v>
      </c>
      <c r="Q885" t="s">
        <v>442</v>
      </c>
      <c r="R885">
        <v>3056.6</v>
      </c>
      <c r="S885">
        <v>4</v>
      </c>
      <c r="T885">
        <v>0.15</v>
      </c>
      <c r="U885" s="34" t="str">
        <f t="shared" si="82"/>
        <v>Medium</v>
      </c>
      <c r="V885">
        <v>604.65</v>
      </c>
      <c r="W885" s="29">
        <f t="shared" si="83"/>
        <v>0.197817836812144</v>
      </c>
      <c r="X885">
        <v>22.23</v>
      </c>
      <c r="Y885" t="s">
        <v>51</v>
      </c>
      <c r="Z885" s="34" t="str">
        <f t="shared" si="84"/>
        <v>Large</v>
      </c>
    </row>
    <row r="886" spans="1:26">
      <c r="A886" t="s">
        <v>1772</v>
      </c>
      <c r="B886" s="44">
        <v>45073</v>
      </c>
      <c r="C886" s="34">
        <f t="shared" si="79"/>
        <v>2023</v>
      </c>
      <c r="D886" s="34">
        <f t="shared" si="80"/>
        <v>5</v>
      </c>
      <c r="E886" s="34" t="str">
        <f t="shared" si="81"/>
        <v>May</v>
      </c>
      <c r="F886" s="44">
        <v>45074</v>
      </c>
      <c r="G886" t="s">
        <v>694</v>
      </c>
      <c r="H886" t="s">
        <v>695</v>
      </c>
      <c r="I886" t="s">
        <v>55</v>
      </c>
      <c r="J886" t="s">
        <v>43</v>
      </c>
      <c r="K886" t="s">
        <v>160</v>
      </c>
      <c r="L886" t="s">
        <v>696</v>
      </c>
      <c r="M886" t="s">
        <v>76</v>
      </c>
      <c r="N886" t="s">
        <v>86</v>
      </c>
      <c r="O886" t="s">
        <v>67</v>
      </c>
      <c r="P886" t="s">
        <v>87</v>
      </c>
      <c r="Q886" t="s">
        <v>88</v>
      </c>
      <c r="R886">
        <v>110.25</v>
      </c>
      <c r="S886">
        <v>3</v>
      </c>
      <c r="T886">
        <v>0.25</v>
      </c>
      <c r="U886" s="34" t="str">
        <f t="shared" si="82"/>
        <v>High</v>
      </c>
      <c r="V886">
        <v>9.89</v>
      </c>
      <c r="W886" s="29">
        <f t="shared" si="83"/>
        <v>0.0897052154195011</v>
      </c>
      <c r="X886">
        <v>22.16</v>
      </c>
      <c r="Y886" t="s">
        <v>62</v>
      </c>
      <c r="Z886" s="34" t="str">
        <f t="shared" si="84"/>
        <v>Small</v>
      </c>
    </row>
    <row r="887" spans="1:26">
      <c r="A887" t="s">
        <v>1773</v>
      </c>
      <c r="B887" s="44">
        <v>45348</v>
      </c>
      <c r="C887" s="34">
        <f t="shared" si="79"/>
        <v>2024</v>
      </c>
      <c r="D887" s="34">
        <f t="shared" si="80"/>
        <v>2</v>
      </c>
      <c r="E887" s="34" t="str">
        <f t="shared" si="81"/>
        <v>February</v>
      </c>
      <c r="F887" s="44">
        <v>45351</v>
      </c>
      <c r="G887" t="s">
        <v>106</v>
      </c>
      <c r="H887" t="s">
        <v>107</v>
      </c>
      <c r="I887" t="s">
        <v>29</v>
      </c>
      <c r="J887" t="s">
        <v>30</v>
      </c>
      <c r="K887" t="s">
        <v>108</v>
      </c>
      <c r="L887" t="s">
        <v>109</v>
      </c>
      <c r="M887" t="s">
        <v>58</v>
      </c>
      <c r="N887" t="s">
        <v>424</v>
      </c>
      <c r="O887" t="s">
        <v>67</v>
      </c>
      <c r="P887" t="s">
        <v>103</v>
      </c>
      <c r="Q887" t="s">
        <v>425</v>
      </c>
      <c r="R887">
        <v>3245</v>
      </c>
      <c r="S887">
        <v>5</v>
      </c>
      <c r="T887">
        <v>0</v>
      </c>
      <c r="U887" s="34" t="str">
        <f t="shared" si="82"/>
        <v>No Discount</v>
      </c>
      <c r="V887">
        <v>-176.53</v>
      </c>
      <c r="W887" s="29">
        <f t="shared" si="83"/>
        <v>-0.0544006163328197</v>
      </c>
      <c r="X887">
        <v>47.61</v>
      </c>
      <c r="Y887" t="s">
        <v>137</v>
      </c>
      <c r="Z887" s="34" t="str">
        <f t="shared" si="84"/>
        <v>Large</v>
      </c>
    </row>
    <row r="888" spans="1:26">
      <c r="A888" t="s">
        <v>1774</v>
      </c>
      <c r="B888" s="44">
        <v>44432</v>
      </c>
      <c r="C888" s="34">
        <f t="shared" si="79"/>
        <v>2021</v>
      </c>
      <c r="D888" s="34">
        <f t="shared" si="80"/>
        <v>8</v>
      </c>
      <c r="E888" s="34" t="str">
        <f t="shared" si="81"/>
        <v>August</v>
      </c>
      <c r="F888" s="44">
        <v>44437</v>
      </c>
      <c r="G888" t="s">
        <v>1154</v>
      </c>
      <c r="H888" t="s">
        <v>1155</v>
      </c>
      <c r="I888" t="s">
        <v>55</v>
      </c>
      <c r="J888" t="s">
        <v>43</v>
      </c>
      <c r="K888" t="s">
        <v>602</v>
      </c>
      <c r="L888" t="s">
        <v>726</v>
      </c>
      <c r="M888" t="s">
        <v>46</v>
      </c>
      <c r="N888" t="s">
        <v>339</v>
      </c>
      <c r="O888" t="s">
        <v>35</v>
      </c>
      <c r="P888" t="s">
        <v>78</v>
      </c>
      <c r="Q888" t="s">
        <v>340</v>
      </c>
      <c r="R888">
        <v>458</v>
      </c>
      <c r="S888">
        <v>2</v>
      </c>
      <c r="T888">
        <v>0</v>
      </c>
      <c r="U888" s="34" t="str">
        <f t="shared" si="82"/>
        <v>No Discount</v>
      </c>
      <c r="V888">
        <v>41.72</v>
      </c>
      <c r="W888" s="29">
        <f t="shared" si="83"/>
        <v>0.0910917030567686</v>
      </c>
      <c r="X888">
        <v>44.14</v>
      </c>
      <c r="Y888" t="s">
        <v>80</v>
      </c>
      <c r="Z888" s="34" t="str">
        <f t="shared" si="84"/>
        <v>Small</v>
      </c>
    </row>
    <row r="889" spans="1:26">
      <c r="A889" t="s">
        <v>1775</v>
      </c>
      <c r="B889" s="44">
        <v>44084</v>
      </c>
      <c r="C889" s="34">
        <f t="shared" si="79"/>
        <v>2020</v>
      </c>
      <c r="D889" s="34">
        <f t="shared" si="80"/>
        <v>9</v>
      </c>
      <c r="E889" s="34" t="str">
        <f t="shared" si="81"/>
        <v>September</v>
      </c>
      <c r="F889" s="44">
        <v>44089</v>
      </c>
      <c r="G889" t="s">
        <v>231</v>
      </c>
      <c r="H889" t="s">
        <v>232</v>
      </c>
      <c r="I889" t="s">
        <v>55</v>
      </c>
      <c r="J889" t="s">
        <v>43</v>
      </c>
      <c r="K889" t="s">
        <v>233</v>
      </c>
      <c r="L889" t="s">
        <v>234</v>
      </c>
      <c r="M889" t="s">
        <v>46</v>
      </c>
      <c r="N889" t="s">
        <v>94</v>
      </c>
      <c r="O889" t="s">
        <v>35</v>
      </c>
      <c r="P889" t="s">
        <v>36</v>
      </c>
      <c r="Q889" t="s">
        <v>95</v>
      </c>
      <c r="R889">
        <v>3813.75</v>
      </c>
      <c r="S889">
        <v>3</v>
      </c>
      <c r="T889">
        <v>0.25</v>
      </c>
      <c r="U889" s="34" t="str">
        <f t="shared" si="82"/>
        <v>High</v>
      </c>
      <c r="V889">
        <v>828.05</v>
      </c>
      <c r="W889" s="29">
        <f t="shared" si="83"/>
        <v>0.217122254998361</v>
      </c>
      <c r="X889">
        <v>36.58</v>
      </c>
      <c r="Y889" t="s">
        <v>80</v>
      </c>
      <c r="Z889" s="34" t="str">
        <f t="shared" si="84"/>
        <v>Large</v>
      </c>
    </row>
    <row r="890" spans="1:26">
      <c r="A890" t="s">
        <v>1776</v>
      </c>
      <c r="B890" s="44">
        <v>44721</v>
      </c>
      <c r="C890" s="34">
        <f t="shared" si="79"/>
        <v>2022</v>
      </c>
      <c r="D890" s="34">
        <f t="shared" si="80"/>
        <v>6</v>
      </c>
      <c r="E890" s="34" t="str">
        <f t="shared" si="81"/>
        <v>June</v>
      </c>
      <c r="F890" s="44">
        <v>44724</v>
      </c>
      <c r="G890" t="s">
        <v>1196</v>
      </c>
      <c r="H890" t="s">
        <v>1197</v>
      </c>
      <c r="I890" t="s">
        <v>42</v>
      </c>
      <c r="J890" t="s">
        <v>43</v>
      </c>
      <c r="K890" t="s">
        <v>153</v>
      </c>
      <c r="L890" t="s">
        <v>207</v>
      </c>
      <c r="M890" t="s">
        <v>58</v>
      </c>
      <c r="N890" t="s">
        <v>66</v>
      </c>
      <c r="O890" t="s">
        <v>67</v>
      </c>
      <c r="P890" t="s">
        <v>68</v>
      </c>
      <c r="Q890" t="s">
        <v>69</v>
      </c>
      <c r="R890">
        <v>2876.4</v>
      </c>
      <c r="S890">
        <v>4</v>
      </c>
      <c r="T890">
        <v>0.1</v>
      </c>
      <c r="U890" s="34" t="str">
        <f t="shared" si="82"/>
        <v>Low</v>
      </c>
      <c r="V890">
        <v>509.71</v>
      </c>
      <c r="W890" s="29">
        <f t="shared" si="83"/>
        <v>0.177204144068975</v>
      </c>
      <c r="X890">
        <v>26.79</v>
      </c>
      <c r="Y890" t="s">
        <v>70</v>
      </c>
      <c r="Z890" s="34" t="str">
        <f t="shared" si="84"/>
        <v>Large</v>
      </c>
    </row>
    <row r="891" spans="1:26">
      <c r="A891" t="s">
        <v>1777</v>
      </c>
      <c r="B891" s="44">
        <v>45081</v>
      </c>
      <c r="C891" s="34">
        <f t="shared" si="79"/>
        <v>2023</v>
      </c>
      <c r="D891" s="34">
        <f t="shared" si="80"/>
        <v>6</v>
      </c>
      <c r="E891" s="34" t="str">
        <f t="shared" si="81"/>
        <v>June</v>
      </c>
      <c r="F891" s="44">
        <v>45087</v>
      </c>
      <c r="G891" t="s">
        <v>691</v>
      </c>
      <c r="H891" t="s">
        <v>692</v>
      </c>
      <c r="I891" t="s">
        <v>42</v>
      </c>
      <c r="J891" t="s">
        <v>43</v>
      </c>
      <c r="K891" t="s">
        <v>213</v>
      </c>
      <c r="L891" t="s">
        <v>356</v>
      </c>
      <c r="M891" t="s">
        <v>33</v>
      </c>
      <c r="N891" t="s">
        <v>582</v>
      </c>
      <c r="O891" t="s">
        <v>35</v>
      </c>
      <c r="P891" t="s">
        <v>78</v>
      </c>
      <c r="Q891" t="s">
        <v>583</v>
      </c>
      <c r="R891">
        <v>1996</v>
      </c>
      <c r="S891">
        <v>4</v>
      </c>
      <c r="T891">
        <v>0</v>
      </c>
      <c r="U891" s="34" t="str">
        <f t="shared" si="82"/>
        <v>No Discount</v>
      </c>
      <c r="V891">
        <v>296.53</v>
      </c>
      <c r="W891" s="29">
        <f t="shared" si="83"/>
        <v>0.148562124248497</v>
      </c>
      <c r="X891">
        <v>9.58</v>
      </c>
      <c r="Y891" t="s">
        <v>80</v>
      </c>
      <c r="Z891" s="34" t="str">
        <f t="shared" si="84"/>
        <v>Medium</v>
      </c>
    </row>
    <row r="892" spans="1:26">
      <c r="A892" t="s">
        <v>1778</v>
      </c>
      <c r="B892" s="44">
        <v>45086</v>
      </c>
      <c r="C892" s="34">
        <f t="shared" si="79"/>
        <v>2023</v>
      </c>
      <c r="D892" s="34">
        <f t="shared" si="80"/>
        <v>6</v>
      </c>
      <c r="E892" s="34" t="str">
        <f t="shared" si="81"/>
        <v>June</v>
      </c>
      <c r="F892" s="44">
        <v>45089</v>
      </c>
      <c r="G892" t="s">
        <v>1471</v>
      </c>
      <c r="H892" t="s">
        <v>1472</v>
      </c>
      <c r="I892" t="s">
        <v>55</v>
      </c>
      <c r="J892" t="s">
        <v>30</v>
      </c>
      <c r="K892" t="s">
        <v>56</v>
      </c>
      <c r="L892" t="s">
        <v>519</v>
      </c>
      <c r="M892" t="s">
        <v>58</v>
      </c>
      <c r="N892" t="s">
        <v>170</v>
      </c>
      <c r="O892" t="s">
        <v>48</v>
      </c>
      <c r="P892" t="s">
        <v>49</v>
      </c>
      <c r="Q892" t="s">
        <v>171</v>
      </c>
      <c r="R892">
        <v>238.4</v>
      </c>
      <c r="S892">
        <v>2</v>
      </c>
      <c r="T892">
        <v>0.2</v>
      </c>
      <c r="U892" s="34" t="str">
        <f t="shared" si="82"/>
        <v>Medium</v>
      </c>
      <c r="V892">
        <v>44.73</v>
      </c>
      <c r="W892" s="29">
        <f t="shared" si="83"/>
        <v>0.187625838926174</v>
      </c>
      <c r="X892">
        <v>49.58</v>
      </c>
      <c r="Y892" t="s">
        <v>70</v>
      </c>
      <c r="Z892" s="34" t="str">
        <f t="shared" si="84"/>
        <v>Small</v>
      </c>
    </row>
    <row r="893" spans="1:26">
      <c r="A893" t="s">
        <v>1779</v>
      </c>
      <c r="B893" s="44">
        <v>44259</v>
      </c>
      <c r="C893" s="34">
        <f t="shared" si="79"/>
        <v>2021</v>
      </c>
      <c r="D893" s="34">
        <f t="shared" si="80"/>
        <v>3</v>
      </c>
      <c r="E893" s="34" t="str">
        <f t="shared" si="81"/>
        <v>March</v>
      </c>
      <c r="F893" s="44">
        <v>44263</v>
      </c>
      <c r="G893" t="s">
        <v>1733</v>
      </c>
      <c r="H893" t="s">
        <v>1734</v>
      </c>
      <c r="I893" t="s">
        <v>55</v>
      </c>
      <c r="J893" t="s">
        <v>30</v>
      </c>
      <c r="K893" t="s">
        <v>108</v>
      </c>
      <c r="L893" t="s">
        <v>485</v>
      </c>
      <c r="M893" t="s">
        <v>58</v>
      </c>
      <c r="N893" t="s">
        <v>357</v>
      </c>
      <c r="O893" t="s">
        <v>48</v>
      </c>
      <c r="P893" t="s">
        <v>49</v>
      </c>
      <c r="Q893" t="s">
        <v>358</v>
      </c>
      <c r="R893">
        <v>131.1</v>
      </c>
      <c r="S893">
        <v>2</v>
      </c>
      <c r="T893">
        <v>0.05</v>
      </c>
      <c r="U893" s="34" t="str">
        <f t="shared" si="82"/>
        <v>Low</v>
      </c>
      <c r="V893">
        <v>8.35</v>
      </c>
      <c r="W893" s="29">
        <f t="shared" si="83"/>
        <v>0.0636918382913806</v>
      </c>
      <c r="X893">
        <v>24.61</v>
      </c>
      <c r="Y893" t="s">
        <v>121</v>
      </c>
      <c r="Z893" s="34" t="str">
        <f t="shared" si="84"/>
        <v>Small</v>
      </c>
    </row>
    <row r="894" spans="1:26">
      <c r="A894" t="s">
        <v>1780</v>
      </c>
      <c r="B894" s="44">
        <v>45031</v>
      </c>
      <c r="C894" s="34">
        <f t="shared" si="79"/>
        <v>2023</v>
      </c>
      <c r="D894" s="34">
        <f t="shared" si="80"/>
        <v>4</v>
      </c>
      <c r="E894" s="34" t="str">
        <f t="shared" si="81"/>
        <v>April</v>
      </c>
      <c r="F894" s="44">
        <v>45033</v>
      </c>
      <c r="G894" t="s">
        <v>1296</v>
      </c>
      <c r="H894" t="s">
        <v>1297</v>
      </c>
      <c r="I894" t="s">
        <v>42</v>
      </c>
      <c r="J894" t="s">
        <v>30</v>
      </c>
      <c r="K894" t="s">
        <v>273</v>
      </c>
      <c r="L894" t="s">
        <v>468</v>
      </c>
      <c r="M894" t="s">
        <v>46</v>
      </c>
      <c r="N894" t="s">
        <v>148</v>
      </c>
      <c r="O894" t="s">
        <v>48</v>
      </c>
      <c r="P894" t="s">
        <v>60</v>
      </c>
      <c r="Q894" t="s">
        <v>149</v>
      </c>
      <c r="R894">
        <v>275</v>
      </c>
      <c r="S894">
        <v>5</v>
      </c>
      <c r="T894">
        <v>0</v>
      </c>
      <c r="U894" s="34" t="str">
        <f t="shared" si="82"/>
        <v>No Discount</v>
      </c>
      <c r="V894">
        <v>38.05</v>
      </c>
      <c r="W894" s="29">
        <f t="shared" si="83"/>
        <v>0.138363636363636</v>
      </c>
      <c r="X894">
        <v>38.16</v>
      </c>
      <c r="Y894" t="s">
        <v>137</v>
      </c>
      <c r="Z894" s="34" t="str">
        <f t="shared" si="84"/>
        <v>Small</v>
      </c>
    </row>
    <row r="895" spans="1:26">
      <c r="A895" t="s">
        <v>1781</v>
      </c>
      <c r="B895" s="44">
        <v>44117</v>
      </c>
      <c r="C895" s="34">
        <f t="shared" si="79"/>
        <v>2020</v>
      </c>
      <c r="D895" s="34">
        <f t="shared" si="80"/>
        <v>10</v>
      </c>
      <c r="E895" s="34" t="str">
        <f t="shared" si="81"/>
        <v>October</v>
      </c>
      <c r="F895" s="44">
        <v>44124</v>
      </c>
      <c r="G895" t="s">
        <v>450</v>
      </c>
      <c r="H895" t="s">
        <v>451</v>
      </c>
      <c r="I895" t="s">
        <v>42</v>
      </c>
      <c r="J895" t="s">
        <v>43</v>
      </c>
      <c r="K895" t="s">
        <v>199</v>
      </c>
      <c r="L895" t="s">
        <v>396</v>
      </c>
      <c r="M895" t="s">
        <v>46</v>
      </c>
      <c r="N895" t="s">
        <v>441</v>
      </c>
      <c r="O895" t="s">
        <v>67</v>
      </c>
      <c r="P895" t="s">
        <v>68</v>
      </c>
      <c r="Q895" t="s">
        <v>442</v>
      </c>
      <c r="R895">
        <v>719.2</v>
      </c>
      <c r="S895">
        <v>1</v>
      </c>
      <c r="T895">
        <v>0.2</v>
      </c>
      <c r="U895" s="34" t="str">
        <f t="shared" si="82"/>
        <v>Medium</v>
      </c>
      <c r="V895">
        <v>-63.78</v>
      </c>
      <c r="W895" s="29">
        <f t="shared" si="83"/>
        <v>-0.0886818687430478</v>
      </c>
      <c r="X895">
        <v>20.82</v>
      </c>
      <c r="Y895" t="s">
        <v>70</v>
      </c>
      <c r="Z895" s="34" t="str">
        <f t="shared" si="84"/>
        <v>Medium</v>
      </c>
    </row>
    <row r="896" spans="1:26">
      <c r="A896" t="s">
        <v>1782</v>
      </c>
      <c r="B896" s="44">
        <v>44834</v>
      </c>
      <c r="C896" s="34">
        <f t="shared" si="79"/>
        <v>2022</v>
      </c>
      <c r="D896" s="34">
        <f t="shared" si="80"/>
        <v>9</v>
      </c>
      <c r="E896" s="34" t="str">
        <f t="shared" si="81"/>
        <v>September</v>
      </c>
      <c r="F896" s="44">
        <v>44837</v>
      </c>
      <c r="G896" t="s">
        <v>1397</v>
      </c>
      <c r="H896" t="s">
        <v>1398</v>
      </c>
      <c r="I896" t="s">
        <v>29</v>
      </c>
      <c r="J896" t="s">
        <v>43</v>
      </c>
      <c r="K896" t="s">
        <v>326</v>
      </c>
      <c r="L896" t="s">
        <v>1003</v>
      </c>
      <c r="M896" t="s">
        <v>58</v>
      </c>
      <c r="N896" t="s">
        <v>170</v>
      </c>
      <c r="O896" t="s">
        <v>48</v>
      </c>
      <c r="P896" t="s">
        <v>49</v>
      </c>
      <c r="Q896" t="s">
        <v>171</v>
      </c>
      <c r="R896">
        <v>298</v>
      </c>
      <c r="S896">
        <v>2</v>
      </c>
      <c r="T896">
        <v>0</v>
      </c>
      <c r="U896" s="34" t="str">
        <f t="shared" si="82"/>
        <v>No Discount</v>
      </c>
      <c r="V896">
        <v>-38.14</v>
      </c>
      <c r="W896" s="29">
        <f t="shared" si="83"/>
        <v>-0.127986577181208</v>
      </c>
      <c r="X896">
        <v>47.66</v>
      </c>
      <c r="Y896" t="s">
        <v>80</v>
      </c>
      <c r="Z896" s="34" t="str">
        <f t="shared" si="84"/>
        <v>Small</v>
      </c>
    </row>
    <row r="897" spans="1:26">
      <c r="A897" t="s">
        <v>1783</v>
      </c>
      <c r="B897" s="44">
        <v>45055</v>
      </c>
      <c r="C897" s="34">
        <f t="shared" si="79"/>
        <v>2023</v>
      </c>
      <c r="D897" s="34">
        <f t="shared" si="80"/>
        <v>5</v>
      </c>
      <c r="E897" s="34" t="str">
        <f t="shared" si="81"/>
        <v>May</v>
      </c>
      <c r="F897" s="44">
        <v>45062</v>
      </c>
      <c r="G897" t="s">
        <v>629</v>
      </c>
      <c r="H897" t="s">
        <v>630</v>
      </c>
      <c r="I897" t="s">
        <v>42</v>
      </c>
      <c r="J897" t="s">
        <v>43</v>
      </c>
      <c r="K897" t="s">
        <v>125</v>
      </c>
      <c r="L897" t="s">
        <v>631</v>
      </c>
      <c r="M897" t="s">
        <v>58</v>
      </c>
      <c r="N897" t="s">
        <v>868</v>
      </c>
      <c r="O897" t="s">
        <v>48</v>
      </c>
      <c r="P897" t="s">
        <v>190</v>
      </c>
      <c r="Q897" t="s">
        <v>869</v>
      </c>
      <c r="R897">
        <v>357.6</v>
      </c>
      <c r="S897">
        <v>3</v>
      </c>
      <c r="T897">
        <v>0.2</v>
      </c>
      <c r="U897" s="34" t="str">
        <f t="shared" si="82"/>
        <v>Medium</v>
      </c>
      <c r="V897">
        <v>-30.28</v>
      </c>
      <c r="W897" s="29">
        <f t="shared" si="83"/>
        <v>-0.084675615212528</v>
      </c>
      <c r="X897">
        <v>5.56</v>
      </c>
      <c r="Y897" t="s">
        <v>38</v>
      </c>
      <c r="Z897" s="34" t="str">
        <f t="shared" si="84"/>
        <v>Small</v>
      </c>
    </row>
    <row r="898" spans="1:26">
      <c r="A898" t="s">
        <v>1784</v>
      </c>
      <c r="B898" s="44">
        <v>44047</v>
      </c>
      <c r="C898" s="34">
        <f t="shared" ref="C898:C961" si="85">YEAR(B898)</f>
        <v>2020</v>
      </c>
      <c r="D898" s="34">
        <f t="shared" ref="D898:D961" si="86">MONTH(B898)</f>
        <v>8</v>
      </c>
      <c r="E898" s="34" t="str">
        <f t="shared" ref="E898:E961" si="87">TEXT(B898,"mmmm")</f>
        <v>August</v>
      </c>
      <c r="F898" s="44">
        <v>44052</v>
      </c>
      <c r="G898" t="s">
        <v>1471</v>
      </c>
      <c r="H898" t="s">
        <v>1472</v>
      </c>
      <c r="I898" t="s">
        <v>55</v>
      </c>
      <c r="J898" t="s">
        <v>30</v>
      </c>
      <c r="K898" t="s">
        <v>56</v>
      </c>
      <c r="L898" t="s">
        <v>519</v>
      </c>
      <c r="M898" t="s">
        <v>58</v>
      </c>
      <c r="N898" t="s">
        <v>315</v>
      </c>
      <c r="O898" t="s">
        <v>67</v>
      </c>
      <c r="P898" t="s">
        <v>252</v>
      </c>
      <c r="Q898" t="s">
        <v>316</v>
      </c>
      <c r="R898">
        <v>611.1</v>
      </c>
      <c r="S898">
        <v>1</v>
      </c>
      <c r="T898">
        <v>0.1</v>
      </c>
      <c r="U898" s="34" t="str">
        <f t="shared" ref="U898:U961" si="88">IF(T898=0,"No Discount",IF(T898&lt;=0.1,"Low",IF(T898&lt;=0.2,"Medium","High")))</f>
        <v>Low</v>
      </c>
      <c r="V898">
        <v>-43.77</v>
      </c>
      <c r="W898" s="29">
        <f t="shared" ref="W898:W961" si="89">V898/R898</f>
        <v>-0.0716249386352479</v>
      </c>
      <c r="X898">
        <v>44.04</v>
      </c>
      <c r="Y898" t="s">
        <v>38</v>
      </c>
      <c r="Z898" s="34" t="str">
        <f t="shared" ref="Z898:Z961" si="90">IF(R898&lt;500,"Small",IF(R898&lt;=2000,"Medium","Large"))</f>
        <v>Medium</v>
      </c>
    </row>
    <row r="899" spans="1:26">
      <c r="A899" t="s">
        <v>1785</v>
      </c>
      <c r="B899" s="44">
        <v>45441</v>
      </c>
      <c r="C899" s="34">
        <f t="shared" si="85"/>
        <v>2024</v>
      </c>
      <c r="D899" s="34">
        <f t="shared" si="86"/>
        <v>5</v>
      </c>
      <c r="E899" s="34" t="str">
        <f t="shared" si="87"/>
        <v>May</v>
      </c>
      <c r="F899" s="44">
        <v>45447</v>
      </c>
      <c r="G899" t="s">
        <v>373</v>
      </c>
      <c r="H899" t="s">
        <v>374</v>
      </c>
      <c r="I899" t="s">
        <v>42</v>
      </c>
      <c r="J899" t="s">
        <v>43</v>
      </c>
      <c r="K899" t="s">
        <v>74</v>
      </c>
      <c r="L899" t="s">
        <v>75</v>
      </c>
      <c r="M899" t="s">
        <v>76</v>
      </c>
      <c r="N899" t="s">
        <v>409</v>
      </c>
      <c r="O899" t="s">
        <v>48</v>
      </c>
      <c r="P899" t="s">
        <v>60</v>
      </c>
      <c r="Q899" t="s">
        <v>410</v>
      </c>
      <c r="R899">
        <v>136.5</v>
      </c>
      <c r="S899">
        <v>5</v>
      </c>
      <c r="T899">
        <v>0.3</v>
      </c>
      <c r="U899" s="34" t="str">
        <f t="shared" si="88"/>
        <v>High</v>
      </c>
      <c r="V899">
        <v>12.52</v>
      </c>
      <c r="W899" s="29">
        <f t="shared" si="89"/>
        <v>0.0917216117216117</v>
      </c>
      <c r="X899">
        <v>40.18</v>
      </c>
      <c r="Y899" t="s">
        <v>38</v>
      </c>
      <c r="Z899" s="34" t="str">
        <f t="shared" si="90"/>
        <v>Small</v>
      </c>
    </row>
    <row r="900" spans="1:26">
      <c r="A900" t="s">
        <v>1786</v>
      </c>
      <c r="B900" s="44">
        <v>44990</v>
      </c>
      <c r="C900" s="34">
        <f t="shared" si="85"/>
        <v>2023</v>
      </c>
      <c r="D900" s="34">
        <f t="shared" si="86"/>
        <v>3</v>
      </c>
      <c r="E900" s="34" t="str">
        <f t="shared" si="87"/>
        <v>March</v>
      </c>
      <c r="F900" s="44">
        <v>44994</v>
      </c>
      <c r="G900" t="s">
        <v>1787</v>
      </c>
      <c r="H900" t="s">
        <v>481</v>
      </c>
      <c r="I900" t="s">
        <v>55</v>
      </c>
      <c r="J900" t="s">
        <v>43</v>
      </c>
      <c r="K900" t="s">
        <v>240</v>
      </c>
      <c r="L900" t="s">
        <v>765</v>
      </c>
      <c r="M900" t="s">
        <v>46</v>
      </c>
      <c r="N900" t="s">
        <v>141</v>
      </c>
      <c r="O900" t="s">
        <v>35</v>
      </c>
      <c r="P900" t="s">
        <v>111</v>
      </c>
      <c r="Q900" t="s">
        <v>142</v>
      </c>
      <c r="R900">
        <v>149</v>
      </c>
      <c r="S900">
        <v>1</v>
      </c>
      <c r="T900">
        <v>0</v>
      </c>
      <c r="U900" s="34" t="str">
        <f t="shared" si="88"/>
        <v>No Discount</v>
      </c>
      <c r="V900">
        <v>15.91</v>
      </c>
      <c r="W900" s="29">
        <f t="shared" si="89"/>
        <v>0.106778523489933</v>
      </c>
      <c r="X900">
        <v>46.31</v>
      </c>
      <c r="Y900" t="s">
        <v>137</v>
      </c>
      <c r="Z900" s="34" t="str">
        <f t="shared" si="90"/>
        <v>Small</v>
      </c>
    </row>
    <row r="901" spans="1:26">
      <c r="A901" t="s">
        <v>1788</v>
      </c>
      <c r="B901" s="44">
        <v>45336</v>
      </c>
      <c r="C901" s="34">
        <f t="shared" si="85"/>
        <v>2024</v>
      </c>
      <c r="D901" s="34">
        <f t="shared" si="86"/>
        <v>2</v>
      </c>
      <c r="E901" s="34" t="str">
        <f t="shared" si="87"/>
        <v>February</v>
      </c>
      <c r="F901" s="44">
        <v>45343</v>
      </c>
      <c r="G901" t="s">
        <v>391</v>
      </c>
      <c r="H901" t="s">
        <v>392</v>
      </c>
      <c r="I901" t="s">
        <v>42</v>
      </c>
      <c r="J901" t="s">
        <v>43</v>
      </c>
      <c r="K901" t="s">
        <v>320</v>
      </c>
      <c r="L901" t="s">
        <v>181</v>
      </c>
      <c r="M901" t="s">
        <v>46</v>
      </c>
      <c r="N901" t="s">
        <v>235</v>
      </c>
      <c r="O901" t="s">
        <v>35</v>
      </c>
      <c r="P901" t="s">
        <v>78</v>
      </c>
      <c r="Q901" t="s">
        <v>236</v>
      </c>
      <c r="R901">
        <v>1866.6</v>
      </c>
      <c r="S901">
        <v>4</v>
      </c>
      <c r="T901">
        <v>0.15</v>
      </c>
      <c r="U901" s="34" t="str">
        <f t="shared" si="88"/>
        <v>Medium</v>
      </c>
      <c r="V901">
        <v>217.17</v>
      </c>
      <c r="W901" s="29">
        <f t="shared" si="89"/>
        <v>0.116345226615236</v>
      </c>
      <c r="X901">
        <v>22.74</v>
      </c>
      <c r="Y901" t="s">
        <v>80</v>
      </c>
      <c r="Z901" s="34" t="str">
        <f t="shared" si="90"/>
        <v>Medium</v>
      </c>
    </row>
    <row r="902" spans="1:26">
      <c r="A902" t="s">
        <v>1789</v>
      </c>
      <c r="B902" s="44">
        <v>44897</v>
      </c>
      <c r="C902" s="34">
        <f t="shared" si="85"/>
        <v>2022</v>
      </c>
      <c r="D902" s="34">
        <f t="shared" si="86"/>
        <v>12</v>
      </c>
      <c r="E902" s="34" t="str">
        <f t="shared" si="87"/>
        <v>December</v>
      </c>
      <c r="F902" s="44">
        <v>44903</v>
      </c>
      <c r="G902" t="s">
        <v>694</v>
      </c>
      <c r="H902" t="s">
        <v>695</v>
      </c>
      <c r="I902" t="s">
        <v>55</v>
      </c>
      <c r="J902" t="s">
        <v>43</v>
      </c>
      <c r="K902" t="s">
        <v>160</v>
      </c>
      <c r="L902" t="s">
        <v>696</v>
      </c>
      <c r="M902" t="s">
        <v>76</v>
      </c>
      <c r="N902" t="s">
        <v>162</v>
      </c>
      <c r="O902" t="s">
        <v>35</v>
      </c>
      <c r="P902" t="s">
        <v>163</v>
      </c>
      <c r="Q902" t="s">
        <v>164</v>
      </c>
      <c r="R902">
        <v>988.2</v>
      </c>
      <c r="S902">
        <v>2</v>
      </c>
      <c r="T902">
        <v>0.1</v>
      </c>
      <c r="U902" s="34" t="str">
        <f t="shared" si="88"/>
        <v>Low</v>
      </c>
      <c r="V902">
        <v>167.8</v>
      </c>
      <c r="W902" s="29">
        <f t="shared" si="89"/>
        <v>0.169803683464886</v>
      </c>
      <c r="X902">
        <v>33.6</v>
      </c>
      <c r="Y902" t="s">
        <v>96</v>
      </c>
      <c r="Z902" s="34" t="str">
        <f t="shared" si="90"/>
        <v>Medium</v>
      </c>
    </row>
    <row r="903" spans="1:26">
      <c r="A903" t="s">
        <v>1790</v>
      </c>
      <c r="B903" s="44">
        <v>45399</v>
      </c>
      <c r="C903" s="34">
        <f t="shared" si="85"/>
        <v>2024</v>
      </c>
      <c r="D903" s="34">
        <f t="shared" si="86"/>
        <v>4</v>
      </c>
      <c r="E903" s="34" t="str">
        <f t="shared" si="87"/>
        <v>April</v>
      </c>
      <c r="F903" s="44">
        <v>45404</v>
      </c>
      <c r="G903" t="s">
        <v>643</v>
      </c>
      <c r="H903" t="s">
        <v>644</v>
      </c>
      <c r="I903" t="s">
        <v>42</v>
      </c>
      <c r="J903" t="s">
        <v>43</v>
      </c>
      <c r="K903" t="s">
        <v>645</v>
      </c>
      <c r="L903" t="s">
        <v>646</v>
      </c>
      <c r="M903" t="s">
        <v>58</v>
      </c>
      <c r="N903" t="s">
        <v>670</v>
      </c>
      <c r="O903" t="s">
        <v>48</v>
      </c>
      <c r="P903" t="s">
        <v>49</v>
      </c>
      <c r="Q903" t="s">
        <v>671</v>
      </c>
      <c r="R903">
        <v>249.9</v>
      </c>
      <c r="S903">
        <v>3</v>
      </c>
      <c r="T903">
        <v>0.15</v>
      </c>
      <c r="U903" s="34" t="str">
        <f t="shared" si="88"/>
        <v>Medium</v>
      </c>
      <c r="V903">
        <v>10.51</v>
      </c>
      <c r="W903" s="29">
        <f t="shared" si="89"/>
        <v>0.0420568227290916</v>
      </c>
      <c r="X903">
        <v>48.27</v>
      </c>
      <c r="Y903" t="s">
        <v>38</v>
      </c>
      <c r="Z903" s="34" t="str">
        <f t="shared" si="90"/>
        <v>Small</v>
      </c>
    </row>
    <row r="904" spans="1:26">
      <c r="A904" t="s">
        <v>1791</v>
      </c>
      <c r="B904" s="44">
        <v>45576</v>
      </c>
      <c r="C904" s="34">
        <f t="shared" si="85"/>
        <v>2024</v>
      </c>
      <c r="D904" s="34">
        <f t="shared" si="86"/>
        <v>10</v>
      </c>
      <c r="E904" s="34" t="str">
        <f t="shared" si="87"/>
        <v>October</v>
      </c>
      <c r="F904" s="44">
        <v>45579</v>
      </c>
      <c r="G904" t="s">
        <v>98</v>
      </c>
      <c r="H904" t="s">
        <v>99</v>
      </c>
      <c r="I904" t="s">
        <v>55</v>
      </c>
      <c r="J904" t="s">
        <v>43</v>
      </c>
      <c r="K904" t="s">
        <v>100</v>
      </c>
      <c r="L904" t="s">
        <v>101</v>
      </c>
      <c r="M904" t="s">
        <v>33</v>
      </c>
      <c r="N904" t="s">
        <v>223</v>
      </c>
      <c r="O904" t="s">
        <v>48</v>
      </c>
      <c r="P904" t="s">
        <v>60</v>
      </c>
      <c r="Q904" t="s">
        <v>224</v>
      </c>
      <c r="R904">
        <v>75.65</v>
      </c>
      <c r="S904">
        <v>1</v>
      </c>
      <c r="T904">
        <v>0.15</v>
      </c>
      <c r="U904" s="34" t="str">
        <f t="shared" si="88"/>
        <v>Medium</v>
      </c>
      <c r="V904">
        <v>-2.32</v>
      </c>
      <c r="W904" s="29">
        <f t="shared" si="89"/>
        <v>-0.0306675479180436</v>
      </c>
      <c r="X904">
        <v>45.55</v>
      </c>
      <c r="Y904" t="s">
        <v>80</v>
      </c>
      <c r="Z904" s="34" t="str">
        <f t="shared" si="90"/>
        <v>Small</v>
      </c>
    </row>
    <row r="905" spans="1:26">
      <c r="A905" t="s">
        <v>1792</v>
      </c>
      <c r="B905" s="44">
        <v>44339</v>
      </c>
      <c r="C905" s="34">
        <f t="shared" si="85"/>
        <v>2021</v>
      </c>
      <c r="D905" s="34">
        <f t="shared" si="86"/>
        <v>5</v>
      </c>
      <c r="E905" s="34" t="str">
        <f t="shared" si="87"/>
        <v>May</v>
      </c>
      <c r="F905" s="44">
        <v>44344</v>
      </c>
      <c r="G905" t="s">
        <v>1100</v>
      </c>
      <c r="H905" t="s">
        <v>261</v>
      </c>
      <c r="I905" t="s">
        <v>42</v>
      </c>
      <c r="J905" t="s">
        <v>43</v>
      </c>
      <c r="K905" t="s">
        <v>175</v>
      </c>
      <c r="L905" t="s">
        <v>176</v>
      </c>
      <c r="M905" t="s">
        <v>46</v>
      </c>
      <c r="N905" t="s">
        <v>400</v>
      </c>
      <c r="O905" t="s">
        <v>67</v>
      </c>
      <c r="P905" t="s">
        <v>87</v>
      </c>
      <c r="Q905" t="s">
        <v>401</v>
      </c>
      <c r="R905">
        <v>1570.5</v>
      </c>
      <c r="S905">
        <v>5</v>
      </c>
      <c r="T905">
        <v>0.1</v>
      </c>
      <c r="U905" s="34" t="str">
        <f t="shared" si="88"/>
        <v>Low</v>
      </c>
      <c r="V905">
        <v>223.56</v>
      </c>
      <c r="W905" s="29">
        <f t="shared" si="89"/>
        <v>0.142349570200573</v>
      </c>
      <c r="X905">
        <v>40.05</v>
      </c>
      <c r="Y905" t="s">
        <v>96</v>
      </c>
      <c r="Z905" s="34" t="str">
        <f t="shared" si="90"/>
        <v>Medium</v>
      </c>
    </row>
    <row r="906" spans="1:26">
      <c r="A906" t="s">
        <v>1793</v>
      </c>
      <c r="B906" s="44">
        <v>45347</v>
      </c>
      <c r="C906" s="34">
        <f t="shared" si="85"/>
        <v>2024</v>
      </c>
      <c r="D906" s="34">
        <f t="shared" si="86"/>
        <v>2</v>
      </c>
      <c r="E906" s="34" t="str">
        <f t="shared" si="87"/>
        <v>February</v>
      </c>
      <c r="F906" s="44">
        <v>45354</v>
      </c>
      <c r="G906" t="s">
        <v>1403</v>
      </c>
      <c r="H906" t="s">
        <v>1404</v>
      </c>
      <c r="I906" t="s">
        <v>55</v>
      </c>
      <c r="J906" t="s">
        <v>43</v>
      </c>
      <c r="K906" t="s">
        <v>273</v>
      </c>
      <c r="L906" t="s">
        <v>246</v>
      </c>
      <c r="M906" t="s">
        <v>46</v>
      </c>
      <c r="N906" t="s">
        <v>189</v>
      </c>
      <c r="O906" t="s">
        <v>48</v>
      </c>
      <c r="P906" t="s">
        <v>190</v>
      </c>
      <c r="Q906" t="s">
        <v>191</v>
      </c>
      <c r="R906">
        <v>105</v>
      </c>
      <c r="S906">
        <v>4</v>
      </c>
      <c r="T906">
        <v>0.25</v>
      </c>
      <c r="U906" s="34" t="str">
        <f t="shared" si="88"/>
        <v>High</v>
      </c>
      <c r="V906">
        <v>1.86</v>
      </c>
      <c r="W906" s="29">
        <f t="shared" si="89"/>
        <v>0.0177142857142857</v>
      </c>
      <c r="X906">
        <v>35.81</v>
      </c>
      <c r="Y906" t="s">
        <v>137</v>
      </c>
      <c r="Z906" s="34" t="str">
        <f t="shared" si="90"/>
        <v>Small</v>
      </c>
    </row>
    <row r="907" spans="1:26">
      <c r="A907" t="s">
        <v>1794</v>
      </c>
      <c r="B907" s="44">
        <v>44141</v>
      </c>
      <c r="C907" s="34">
        <f t="shared" si="85"/>
        <v>2020</v>
      </c>
      <c r="D907" s="34">
        <f t="shared" si="86"/>
        <v>11</v>
      </c>
      <c r="E907" s="34" t="str">
        <f t="shared" si="87"/>
        <v>November</v>
      </c>
      <c r="F907" s="44">
        <v>44147</v>
      </c>
      <c r="G907" t="s">
        <v>1225</v>
      </c>
      <c r="H907" t="s">
        <v>1226</v>
      </c>
      <c r="I907" t="s">
        <v>29</v>
      </c>
      <c r="J907" t="s">
        <v>43</v>
      </c>
      <c r="K907" t="s">
        <v>438</v>
      </c>
      <c r="L907" t="s">
        <v>1227</v>
      </c>
      <c r="M907" t="s">
        <v>76</v>
      </c>
      <c r="N907" t="s">
        <v>228</v>
      </c>
      <c r="O907" t="s">
        <v>67</v>
      </c>
      <c r="P907" t="s">
        <v>103</v>
      </c>
      <c r="Q907" t="s">
        <v>229</v>
      </c>
      <c r="R907">
        <v>357.6</v>
      </c>
      <c r="S907">
        <v>3</v>
      </c>
      <c r="T907">
        <v>0.2</v>
      </c>
      <c r="U907" s="34" t="str">
        <f t="shared" si="88"/>
        <v>Medium</v>
      </c>
      <c r="V907">
        <v>33.65</v>
      </c>
      <c r="W907" s="29">
        <f t="shared" si="89"/>
        <v>0.0940995525727069</v>
      </c>
      <c r="X907">
        <v>30.86</v>
      </c>
      <c r="Y907" t="s">
        <v>62</v>
      </c>
      <c r="Z907" s="34" t="str">
        <f t="shared" si="90"/>
        <v>Small</v>
      </c>
    </row>
    <row r="908" spans="1:26">
      <c r="A908" t="s">
        <v>1795</v>
      </c>
      <c r="B908" s="44">
        <v>45458</v>
      </c>
      <c r="C908" s="34">
        <f t="shared" si="85"/>
        <v>2024</v>
      </c>
      <c r="D908" s="34">
        <f t="shared" si="86"/>
        <v>6</v>
      </c>
      <c r="E908" s="34" t="str">
        <f t="shared" si="87"/>
        <v>June</v>
      </c>
      <c r="F908" s="44">
        <v>45462</v>
      </c>
      <c r="G908" t="s">
        <v>255</v>
      </c>
      <c r="H908" t="s">
        <v>256</v>
      </c>
      <c r="I908" t="s">
        <v>29</v>
      </c>
      <c r="J908" t="s">
        <v>43</v>
      </c>
      <c r="K908" t="s">
        <v>257</v>
      </c>
      <c r="L908" t="s">
        <v>258</v>
      </c>
      <c r="M908" t="s">
        <v>76</v>
      </c>
      <c r="N908" t="s">
        <v>47</v>
      </c>
      <c r="O908" t="s">
        <v>48</v>
      </c>
      <c r="P908" t="s">
        <v>49</v>
      </c>
      <c r="Q908" t="s">
        <v>50</v>
      </c>
      <c r="R908">
        <v>296.25</v>
      </c>
      <c r="S908">
        <v>5</v>
      </c>
      <c r="T908">
        <v>0.25</v>
      </c>
      <c r="U908" s="34" t="str">
        <f t="shared" si="88"/>
        <v>High</v>
      </c>
      <c r="V908">
        <v>59.45</v>
      </c>
      <c r="W908" s="29">
        <f t="shared" si="89"/>
        <v>0.200675105485232</v>
      </c>
      <c r="X908">
        <v>19.09</v>
      </c>
      <c r="Y908" t="s">
        <v>70</v>
      </c>
      <c r="Z908" s="34" t="str">
        <f t="shared" si="90"/>
        <v>Small</v>
      </c>
    </row>
    <row r="909" spans="1:26">
      <c r="A909" t="s">
        <v>1796</v>
      </c>
      <c r="B909" s="44">
        <v>45265</v>
      </c>
      <c r="C909" s="34">
        <f t="shared" si="85"/>
        <v>2023</v>
      </c>
      <c r="D909" s="34">
        <f t="shared" si="86"/>
        <v>12</v>
      </c>
      <c r="E909" s="34" t="str">
        <f t="shared" si="87"/>
        <v>December</v>
      </c>
      <c r="F909" s="44">
        <v>45272</v>
      </c>
      <c r="G909" t="s">
        <v>963</v>
      </c>
      <c r="H909" t="s">
        <v>964</v>
      </c>
      <c r="I909" t="s">
        <v>55</v>
      </c>
      <c r="J909" t="s">
        <v>43</v>
      </c>
      <c r="K909" t="s">
        <v>153</v>
      </c>
      <c r="L909" t="s">
        <v>154</v>
      </c>
      <c r="M909" t="s">
        <v>58</v>
      </c>
      <c r="N909" t="s">
        <v>684</v>
      </c>
      <c r="O909" t="s">
        <v>48</v>
      </c>
      <c r="P909" t="s">
        <v>60</v>
      </c>
      <c r="Q909" t="s">
        <v>685</v>
      </c>
      <c r="R909">
        <v>189.6</v>
      </c>
      <c r="S909">
        <v>3</v>
      </c>
      <c r="T909">
        <v>0.2</v>
      </c>
      <c r="U909" s="34" t="str">
        <f t="shared" si="88"/>
        <v>Medium</v>
      </c>
      <c r="V909">
        <v>28.14</v>
      </c>
      <c r="W909" s="29">
        <f t="shared" si="89"/>
        <v>0.148417721518987</v>
      </c>
      <c r="X909">
        <v>32.59</v>
      </c>
      <c r="Y909" t="s">
        <v>38</v>
      </c>
      <c r="Z909" s="34" t="str">
        <f t="shared" si="90"/>
        <v>Small</v>
      </c>
    </row>
    <row r="910" spans="1:26">
      <c r="A910" t="s">
        <v>1797</v>
      </c>
      <c r="B910" s="44">
        <v>44942</v>
      </c>
      <c r="C910" s="34">
        <f t="shared" si="85"/>
        <v>2023</v>
      </c>
      <c r="D910" s="34">
        <f t="shared" si="86"/>
        <v>1</v>
      </c>
      <c r="E910" s="34" t="str">
        <f t="shared" si="87"/>
        <v>January</v>
      </c>
      <c r="F910" s="44">
        <v>44948</v>
      </c>
      <c r="G910" t="s">
        <v>865</v>
      </c>
      <c r="H910" t="s">
        <v>866</v>
      </c>
      <c r="I910" t="s">
        <v>42</v>
      </c>
      <c r="J910" t="s">
        <v>43</v>
      </c>
      <c r="K910" t="s">
        <v>44</v>
      </c>
      <c r="L910" t="s">
        <v>45</v>
      </c>
      <c r="M910" t="s">
        <v>46</v>
      </c>
      <c r="N910" t="s">
        <v>47</v>
      </c>
      <c r="O910" t="s">
        <v>48</v>
      </c>
      <c r="P910" t="s">
        <v>49</v>
      </c>
      <c r="Q910" t="s">
        <v>50</v>
      </c>
      <c r="R910">
        <v>237</v>
      </c>
      <c r="S910">
        <v>3</v>
      </c>
      <c r="T910">
        <v>0</v>
      </c>
      <c r="U910" s="34" t="str">
        <f t="shared" si="88"/>
        <v>No Discount</v>
      </c>
      <c r="V910">
        <v>16.67</v>
      </c>
      <c r="W910" s="29">
        <f t="shared" si="89"/>
        <v>0.070337552742616</v>
      </c>
      <c r="X910">
        <v>39.23</v>
      </c>
      <c r="Y910" t="s">
        <v>62</v>
      </c>
      <c r="Z910" s="34" t="str">
        <f t="shared" si="90"/>
        <v>Small</v>
      </c>
    </row>
    <row r="911" spans="1:26">
      <c r="A911" t="s">
        <v>1798</v>
      </c>
      <c r="B911" s="44">
        <v>45294</v>
      </c>
      <c r="C911" s="34">
        <f t="shared" si="85"/>
        <v>2024</v>
      </c>
      <c r="D911" s="34">
        <f t="shared" si="86"/>
        <v>1</v>
      </c>
      <c r="E911" s="34" t="str">
        <f t="shared" si="87"/>
        <v>January</v>
      </c>
      <c r="F911" s="44">
        <v>45297</v>
      </c>
      <c r="G911" t="s">
        <v>1707</v>
      </c>
      <c r="H911" t="s">
        <v>1708</v>
      </c>
      <c r="I911" t="s">
        <v>55</v>
      </c>
      <c r="J911" t="s">
        <v>43</v>
      </c>
      <c r="K911" t="s">
        <v>257</v>
      </c>
      <c r="L911" t="s">
        <v>258</v>
      </c>
      <c r="M911" t="s">
        <v>76</v>
      </c>
      <c r="N911" t="s">
        <v>357</v>
      </c>
      <c r="O911" t="s">
        <v>48</v>
      </c>
      <c r="P911" t="s">
        <v>49</v>
      </c>
      <c r="Q911" t="s">
        <v>358</v>
      </c>
      <c r="R911">
        <v>207</v>
      </c>
      <c r="S911">
        <v>3</v>
      </c>
      <c r="T911">
        <v>0</v>
      </c>
      <c r="U911" s="34" t="str">
        <f t="shared" si="88"/>
        <v>No Discount</v>
      </c>
      <c r="V911">
        <v>-21.01</v>
      </c>
      <c r="W911" s="29">
        <f t="shared" si="89"/>
        <v>-0.101497584541063</v>
      </c>
      <c r="X911">
        <v>35.53</v>
      </c>
      <c r="Y911" t="s">
        <v>80</v>
      </c>
      <c r="Z911" s="34" t="str">
        <f t="shared" si="90"/>
        <v>Small</v>
      </c>
    </row>
    <row r="912" spans="1:26">
      <c r="A912" t="s">
        <v>1799</v>
      </c>
      <c r="B912" s="44">
        <v>45537</v>
      </c>
      <c r="C912" s="34">
        <f t="shared" si="85"/>
        <v>2024</v>
      </c>
      <c r="D912" s="34">
        <f t="shared" si="86"/>
        <v>9</v>
      </c>
      <c r="E912" s="34" t="str">
        <f t="shared" si="87"/>
        <v>September</v>
      </c>
      <c r="F912" s="44">
        <v>45543</v>
      </c>
      <c r="G912" t="s">
        <v>865</v>
      </c>
      <c r="H912" t="s">
        <v>866</v>
      </c>
      <c r="I912" t="s">
        <v>42</v>
      </c>
      <c r="J912" t="s">
        <v>43</v>
      </c>
      <c r="K912" t="s">
        <v>44</v>
      </c>
      <c r="L912" t="s">
        <v>45</v>
      </c>
      <c r="M912" t="s">
        <v>46</v>
      </c>
      <c r="N912" t="s">
        <v>94</v>
      </c>
      <c r="O912" t="s">
        <v>35</v>
      </c>
      <c r="P912" t="s">
        <v>36</v>
      </c>
      <c r="Q912" t="s">
        <v>95</v>
      </c>
      <c r="R912">
        <v>3813.75</v>
      </c>
      <c r="S912">
        <v>3</v>
      </c>
      <c r="T912">
        <v>0.25</v>
      </c>
      <c r="U912" s="34" t="str">
        <f t="shared" si="88"/>
        <v>High</v>
      </c>
      <c r="V912">
        <v>750.45</v>
      </c>
      <c r="W912" s="29">
        <f t="shared" si="89"/>
        <v>0.19677482792527</v>
      </c>
      <c r="X912">
        <v>40.99</v>
      </c>
      <c r="Y912" t="s">
        <v>121</v>
      </c>
      <c r="Z912" s="34" t="str">
        <f t="shared" si="90"/>
        <v>Large</v>
      </c>
    </row>
    <row r="913" spans="1:26">
      <c r="A913" t="s">
        <v>1800</v>
      </c>
      <c r="B913" s="44">
        <v>45007</v>
      </c>
      <c r="C913" s="34">
        <f t="shared" si="85"/>
        <v>2023</v>
      </c>
      <c r="D913" s="34">
        <f t="shared" si="86"/>
        <v>3</v>
      </c>
      <c r="E913" s="34" t="str">
        <f t="shared" si="87"/>
        <v>March</v>
      </c>
      <c r="F913" s="44">
        <v>45012</v>
      </c>
      <c r="G913" t="s">
        <v>633</v>
      </c>
      <c r="H913" t="s">
        <v>634</v>
      </c>
      <c r="I913" t="s">
        <v>29</v>
      </c>
      <c r="J913" t="s">
        <v>43</v>
      </c>
      <c r="K913" t="s">
        <v>240</v>
      </c>
      <c r="L913" t="s">
        <v>635</v>
      </c>
      <c r="M913" t="s">
        <v>46</v>
      </c>
      <c r="N913" t="s">
        <v>430</v>
      </c>
      <c r="O913" t="s">
        <v>67</v>
      </c>
      <c r="P913" t="s">
        <v>87</v>
      </c>
      <c r="Q913" t="s">
        <v>431</v>
      </c>
      <c r="R913">
        <v>537</v>
      </c>
      <c r="S913">
        <v>4</v>
      </c>
      <c r="T913">
        <v>0.25</v>
      </c>
      <c r="U913" s="34" t="str">
        <f t="shared" si="88"/>
        <v>High</v>
      </c>
      <c r="V913">
        <v>-44.62</v>
      </c>
      <c r="W913" s="29">
        <f t="shared" si="89"/>
        <v>-0.0830912476722533</v>
      </c>
      <c r="X913">
        <v>5.52</v>
      </c>
      <c r="Y913" t="s">
        <v>38</v>
      </c>
      <c r="Z913" s="34" t="str">
        <f t="shared" si="90"/>
        <v>Medium</v>
      </c>
    </row>
    <row r="914" spans="1:26">
      <c r="A914" t="s">
        <v>1801</v>
      </c>
      <c r="B914" s="44">
        <v>44394</v>
      </c>
      <c r="C914" s="34">
        <f t="shared" si="85"/>
        <v>2021</v>
      </c>
      <c r="D914" s="34">
        <f t="shared" si="86"/>
        <v>7</v>
      </c>
      <c r="E914" s="34" t="str">
        <f t="shared" si="87"/>
        <v>July</v>
      </c>
      <c r="F914" s="44">
        <v>44397</v>
      </c>
      <c r="G914" t="s">
        <v>1147</v>
      </c>
      <c r="H914" t="s">
        <v>1148</v>
      </c>
      <c r="I914" t="s">
        <v>55</v>
      </c>
      <c r="J914" t="s">
        <v>43</v>
      </c>
      <c r="K914" t="s">
        <v>199</v>
      </c>
      <c r="L914" t="s">
        <v>200</v>
      </c>
      <c r="M914" t="s">
        <v>46</v>
      </c>
      <c r="N914" t="s">
        <v>367</v>
      </c>
      <c r="O914" t="s">
        <v>35</v>
      </c>
      <c r="P914" t="s">
        <v>202</v>
      </c>
      <c r="Q914" t="s">
        <v>368</v>
      </c>
      <c r="R914">
        <v>2396</v>
      </c>
      <c r="S914">
        <v>4</v>
      </c>
      <c r="T914">
        <v>0</v>
      </c>
      <c r="U914" s="34" t="str">
        <f t="shared" si="88"/>
        <v>No Discount</v>
      </c>
      <c r="V914">
        <v>525.15</v>
      </c>
      <c r="W914" s="29">
        <f t="shared" si="89"/>
        <v>0.219177796327212</v>
      </c>
      <c r="X914">
        <v>6.56</v>
      </c>
      <c r="Y914" t="s">
        <v>96</v>
      </c>
      <c r="Z914" s="34" t="str">
        <f t="shared" si="90"/>
        <v>Large</v>
      </c>
    </row>
    <row r="915" spans="1:26">
      <c r="A915" t="s">
        <v>1802</v>
      </c>
      <c r="B915" s="44">
        <v>45161</v>
      </c>
      <c r="C915" s="34">
        <f t="shared" si="85"/>
        <v>2023</v>
      </c>
      <c r="D915" s="34">
        <f t="shared" si="86"/>
        <v>8</v>
      </c>
      <c r="E915" s="34" t="str">
        <f t="shared" si="87"/>
        <v>August</v>
      </c>
      <c r="F915" s="44">
        <v>45162</v>
      </c>
      <c r="G915" t="s">
        <v>255</v>
      </c>
      <c r="H915" t="s">
        <v>256</v>
      </c>
      <c r="I915" t="s">
        <v>29</v>
      </c>
      <c r="J915" t="s">
        <v>43</v>
      </c>
      <c r="K915" t="s">
        <v>257</v>
      </c>
      <c r="L915" t="s">
        <v>258</v>
      </c>
      <c r="M915" t="s">
        <v>76</v>
      </c>
      <c r="N915" t="s">
        <v>59</v>
      </c>
      <c r="O915" t="s">
        <v>48</v>
      </c>
      <c r="P915" t="s">
        <v>60</v>
      </c>
      <c r="Q915" t="s">
        <v>61</v>
      </c>
      <c r="R915">
        <v>330.6</v>
      </c>
      <c r="S915">
        <v>2</v>
      </c>
      <c r="T915">
        <v>0.05</v>
      </c>
      <c r="U915" s="34" t="str">
        <f t="shared" si="88"/>
        <v>Low</v>
      </c>
      <c r="V915">
        <v>19.48</v>
      </c>
      <c r="W915" s="29">
        <f t="shared" si="89"/>
        <v>0.0589231699939504</v>
      </c>
      <c r="X915">
        <v>45.27</v>
      </c>
      <c r="Y915" t="s">
        <v>121</v>
      </c>
      <c r="Z915" s="34" t="str">
        <f t="shared" si="90"/>
        <v>Small</v>
      </c>
    </row>
    <row r="916" spans="1:26">
      <c r="A916" t="s">
        <v>1803</v>
      </c>
      <c r="B916" s="44">
        <v>44547</v>
      </c>
      <c r="C916" s="34">
        <f t="shared" si="85"/>
        <v>2021</v>
      </c>
      <c r="D916" s="34">
        <f t="shared" si="86"/>
        <v>12</v>
      </c>
      <c r="E916" s="34" t="str">
        <f t="shared" si="87"/>
        <v>December</v>
      </c>
      <c r="F916" s="44">
        <v>44553</v>
      </c>
      <c r="G916" t="s">
        <v>1023</v>
      </c>
      <c r="H916" t="s">
        <v>1024</v>
      </c>
      <c r="I916" t="s">
        <v>42</v>
      </c>
      <c r="J916" t="s">
        <v>43</v>
      </c>
      <c r="K916" t="s">
        <v>240</v>
      </c>
      <c r="L916" t="s">
        <v>241</v>
      </c>
      <c r="M916" t="s">
        <v>46</v>
      </c>
      <c r="N916" t="s">
        <v>77</v>
      </c>
      <c r="O916" t="s">
        <v>35</v>
      </c>
      <c r="P916" t="s">
        <v>78</v>
      </c>
      <c r="Q916" t="s">
        <v>79</v>
      </c>
      <c r="R916">
        <v>2232</v>
      </c>
      <c r="S916">
        <v>2</v>
      </c>
      <c r="T916">
        <v>0.2</v>
      </c>
      <c r="U916" s="34" t="str">
        <f t="shared" si="88"/>
        <v>Medium</v>
      </c>
      <c r="V916">
        <v>395.47</v>
      </c>
      <c r="W916" s="29">
        <f t="shared" si="89"/>
        <v>0.177181899641577</v>
      </c>
      <c r="X916">
        <v>20.95</v>
      </c>
      <c r="Y916" t="s">
        <v>38</v>
      </c>
      <c r="Z916" s="34" t="str">
        <f t="shared" si="90"/>
        <v>Large</v>
      </c>
    </row>
    <row r="917" spans="1:26">
      <c r="A917" t="s">
        <v>1804</v>
      </c>
      <c r="B917" s="44">
        <v>43934</v>
      </c>
      <c r="C917" s="34">
        <f t="shared" si="85"/>
        <v>2020</v>
      </c>
      <c r="D917" s="34">
        <f t="shared" si="86"/>
        <v>4</v>
      </c>
      <c r="E917" s="34" t="str">
        <f t="shared" si="87"/>
        <v>April</v>
      </c>
      <c r="F917" s="44">
        <v>43940</v>
      </c>
      <c r="G917" t="s">
        <v>1463</v>
      </c>
      <c r="H917" t="s">
        <v>1464</v>
      </c>
      <c r="I917" t="s">
        <v>55</v>
      </c>
      <c r="J917" t="s">
        <v>43</v>
      </c>
      <c r="K917" t="s">
        <v>640</v>
      </c>
      <c r="L917" t="s">
        <v>1465</v>
      </c>
      <c r="M917" t="s">
        <v>76</v>
      </c>
      <c r="N917" t="s">
        <v>312</v>
      </c>
      <c r="O917" t="s">
        <v>48</v>
      </c>
      <c r="P917" t="s">
        <v>49</v>
      </c>
      <c r="Q917" t="s">
        <v>313</v>
      </c>
      <c r="R917">
        <v>185.25</v>
      </c>
      <c r="S917">
        <v>5</v>
      </c>
      <c r="T917">
        <v>0.05</v>
      </c>
      <c r="U917" s="34" t="str">
        <f t="shared" si="88"/>
        <v>Low</v>
      </c>
      <c r="V917">
        <v>17.67</v>
      </c>
      <c r="W917" s="29">
        <f t="shared" si="89"/>
        <v>0.0953846153846154</v>
      </c>
      <c r="X917">
        <v>33.71</v>
      </c>
      <c r="Y917" t="s">
        <v>137</v>
      </c>
      <c r="Z917" s="34" t="str">
        <f t="shared" si="90"/>
        <v>Small</v>
      </c>
    </row>
    <row r="918" spans="1:26">
      <c r="A918" t="s">
        <v>1805</v>
      </c>
      <c r="B918" s="44">
        <v>44596</v>
      </c>
      <c r="C918" s="34">
        <f t="shared" si="85"/>
        <v>2022</v>
      </c>
      <c r="D918" s="34">
        <f t="shared" si="86"/>
        <v>2</v>
      </c>
      <c r="E918" s="34" t="str">
        <f t="shared" si="87"/>
        <v>February</v>
      </c>
      <c r="F918" s="44">
        <v>44602</v>
      </c>
      <c r="G918" t="s">
        <v>527</v>
      </c>
      <c r="H918" t="s">
        <v>528</v>
      </c>
      <c r="I918" t="s">
        <v>55</v>
      </c>
      <c r="J918" t="s">
        <v>30</v>
      </c>
      <c r="K918" t="s">
        <v>273</v>
      </c>
      <c r="L918" t="s">
        <v>468</v>
      </c>
      <c r="M918" t="s">
        <v>46</v>
      </c>
      <c r="N918" t="s">
        <v>459</v>
      </c>
      <c r="O918" t="s">
        <v>48</v>
      </c>
      <c r="P918" t="s">
        <v>128</v>
      </c>
      <c r="Q918" t="s">
        <v>460</v>
      </c>
      <c r="R918">
        <v>116</v>
      </c>
      <c r="S918">
        <v>4</v>
      </c>
      <c r="T918">
        <v>0</v>
      </c>
      <c r="U918" s="34" t="str">
        <f t="shared" si="88"/>
        <v>No Discount</v>
      </c>
      <c r="V918">
        <v>-11.84</v>
      </c>
      <c r="W918" s="29">
        <f t="shared" si="89"/>
        <v>-0.102068965517241</v>
      </c>
      <c r="X918">
        <v>20.15</v>
      </c>
      <c r="Y918" t="s">
        <v>51</v>
      </c>
      <c r="Z918" s="34" t="str">
        <f t="shared" si="90"/>
        <v>Small</v>
      </c>
    </row>
    <row r="919" spans="1:26">
      <c r="A919" t="s">
        <v>1806</v>
      </c>
      <c r="B919" s="44">
        <v>43880</v>
      </c>
      <c r="C919" s="34">
        <f t="shared" si="85"/>
        <v>2020</v>
      </c>
      <c r="D919" s="34">
        <f t="shared" si="86"/>
        <v>2</v>
      </c>
      <c r="E919" s="34" t="str">
        <f t="shared" si="87"/>
        <v>February</v>
      </c>
      <c r="F919" s="44">
        <v>43882</v>
      </c>
      <c r="G919" t="s">
        <v>1707</v>
      </c>
      <c r="H919" t="s">
        <v>1708</v>
      </c>
      <c r="I919" t="s">
        <v>55</v>
      </c>
      <c r="J919" t="s">
        <v>43</v>
      </c>
      <c r="K919" t="s">
        <v>257</v>
      </c>
      <c r="L919" t="s">
        <v>258</v>
      </c>
      <c r="M919" t="s">
        <v>76</v>
      </c>
      <c r="N919" t="s">
        <v>86</v>
      </c>
      <c r="O919" t="s">
        <v>67</v>
      </c>
      <c r="P919" t="s">
        <v>87</v>
      </c>
      <c r="Q919" t="s">
        <v>88</v>
      </c>
      <c r="R919">
        <v>98</v>
      </c>
      <c r="S919">
        <v>2</v>
      </c>
      <c r="T919">
        <v>0</v>
      </c>
      <c r="U919" s="34" t="str">
        <f t="shared" si="88"/>
        <v>No Discount</v>
      </c>
      <c r="V919">
        <v>12.46</v>
      </c>
      <c r="W919" s="29">
        <f t="shared" si="89"/>
        <v>0.127142857142857</v>
      </c>
      <c r="X919">
        <v>17.26</v>
      </c>
      <c r="Y919" t="s">
        <v>38</v>
      </c>
      <c r="Z919" s="34" t="str">
        <f t="shared" si="90"/>
        <v>Small</v>
      </c>
    </row>
    <row r="920" spans="1:26">
      <c r="A920" t="s">
        <v>1807</v>
      </c>
      <c r="B920" s="44">
        <v>44342</v>
      </c>
      <c r="C920" s="34">
        <f t="shared" si="85"/>
        <v>2021</v>
      </c>
      <c r="D920" s="34">
        <f t="shared" si="86"/>
        <v>5</v>
      </c>
      <c r="E920" s="34" t="str">
        <f t="shared" si="87"/>
        <v>May</v>
      </c>
      <c r="F920" s="44">
        <v>44345</v>
      </c>
      <c r="G920" t="s">
        <v>509</v>
      </c>
      <c r="H920" t="s">
        <v>510</v>
      </c>
      <c r="I920" t="s">
        <v>55</v>
      </c>
      <c r="J920" t="s">
        <v>43</v>
      </c>
      <c r="K920" t="s">
        <v>245</v>
      </c>
      <c r="L920" t="s">
        <v>511</v>
      </c>
      <c r="M920" t="s">
        <v>76</v>
      </c>
      <c r="N920" t="s">
        <v>424</v>
      </c>
      <c r="O920" t="s">
        <v>67</v>
      </c>
      <c r="P920" t="s">
        <v>103</v>
      </c>
      <c r="Q920" t="s">
        <v>425</v>
      </c>
      <c r="R920">
        <v>1233.1</v>
      </c>
      <c r="S920">
        <v>2</v>
      </c>
      <c r="T920">
        <v>0.05</v>
      </c>
      <c r="U920" s="34" t="str">
        <f t="shared" si="88"/>
        <v>Low</v>
      </c>
      <c r="V920">
        <v>-101.38</v>
      </c>
      <c r="W920" s="29">
        <f t="shared" si="89"/>
        <v>-0.0822155542940556</v>
      </c>
      <c r="X920">
        <v>9.11</v>
      </c>
      <c r="Y920" t="s">
        <v>80</v>
      </c>
      <c r="Z920" s="34" t="str">
        <f t="shared" si="90"/>
        <v>Medium</v>
      </c>
    </row>
    <row r="921" spans="1:26">
      <c r="A921" t="s">
        <v>1808</v>
      </c>
      <c r="B921" s="44">
        <v>45082</v>
      </c>
      <c r="C921" s="34">
        <f t="shared" si="85"/>
        <v>2023</v>
      </c>
      <c r="D921" s="34">
        <f t="shared" si="86"/>
        <v>6</v>
      </c>
      <c r="E921" s="34" t="str">
        <f t="shared" si="87"/>
        <v>June</v>
      </c>
      <c r="F921" s="44">
        <v>45089</v>
      </c>
      <c r="G921" t="s">
        <v>561</v>
      </c>
      <c r="H921" t="s">
        <v>562</v>
      </c>
      <c r="I921" t="s">
        <v>29</v>
      </c>
      <c r="J921" t="s">
        <v>30</v>
      </c>
      <c r="K921" t="s">
        <v>551</v>
      </c>
      <c r="L921" t="s">
        <v>552</v>
      </c>
      <c r="M921" t="s">
        <v>33</v>
      </c>
      <c r="N921" t="s">
        <v>312</v>
      </c>
      <c r="O921" t="s">
        <v>48</v>
      </c>
      <c r="P921" t="s">
        <v>49</v>
      </c>
      <c r="Q921" t="s">
        <v>313</v>
      </c>
      <c r="R921">
        <v>124.8</v>
      </c>
      <c r="S921">
        <v>4</v>
      </c>
      <c r="T921">
        <v>0.2</v>
      </c>
      <c r="U921" s="34" t="str">
        <f t="shared" si="88"/>
        <v>Medium</v>
      </c>
      <c r="V921">
        <v>14.01</v>
      </c>
      <c r="W921" s="29">
        <f t="shared" si="89"/>
        <v>0.112259615384615</v>
      </c>
      <c r="X921">
        <v>28.19</v>
      </c>
      <c r="Y921" t="s">
        <v>38</v>
      </c>
      <c r="Z921" s="34" t="str">
        <f t="shared" si="90"/>
        <v>Small</v>
      </c>
    </row>
    <row r="922" spans="1:26">
      <c r="A922" t="s">
        <v>1809</v>
      </c>
      <c r="B922" s="44">
        <v>44076</v>
      </c>
      <c r="C922" s="34">
        <f t="shared" si="85"/>
        <v>2020</v>
      </c>
      <c r="D922" s="34">
        <f t="shared" si="86"/>
        <v>9</v>
      </c>
      <c r="E922" s="34" t="str">
        <f t="shared" si="87"/>
        <v>September</v>
      </c>
      <c r="F922" s="44">
        <v>44080</v>
      </c>
      <c r="G922" t="s">
        <v>1183</v>
      </c>
      <c r="H922" t="s">
        <v>1184</v>
      </c>
      <c r="I922" t="s">
        <v>29</v>
      </c>
      <c r="J922" t="s">
        <v>30</v>
      </c>
      <c r="K922" t="s">
        <v>180</v>
      </c>
      <c r="L922" t="s">
        <v>821</v>
      </c>
      <c r="M922" t="s">
        <v>46</v>
      </c>
      <c r="N922" t="s">
        <v>264</v>
      </c>
      <c r="O922" t="s">
        <v>67</v>
      </c>
      <c r="P922" t="s">
        <v>87</v>
      </c>
      <c r="Q922" t="s">
        <v>265</v>
      </c>
      <c r="R922">
        <v>558</v>
      </c>
      <c r="S922">
        <v>2</v>
      </c>
      <c r="T922">
        <v>0</v>
      </c>
      <c r="U922" s="34" t="str">
        <f t="shared" si="88"/>
        <v>No Discount</v>
      </c>
      <c r="V922">
        <v>41.22</v>
      </c>
      <c r="W922" s="29">
        <f t="shared" si="89"/>
        <v>0.0738709677419355</v>
      </c>
      <c r="X922">
        <v>48.6</v>
      </c>
      <c r="Y922" t="s">
        <v>51</v>
      </c>
      <c r="Z922" s="34" t="str">
        <f t="shared" si="90"/>
        <v>Medium</v>
      </c>
    </row>
    <row r="923" spans="1:26">
      <c r="A923" t="s">
        <v>1810</v>
      </c>
      <c r="B923" s="44">
        <v>44195</v>
      </c>
      <c r="C923" s="34">
        <f t="shared" si="85"/>
        <v>2020</v>
      </c>
      <c r="D923" s="34">
        <f t="shared" si="86"/>
        <v>12</v>
      </c>
      <c r="E923" s="34" t="str">
        <f t="shared" si="87"/>
        <v>December</v>
      </c>
      <c r="F923" s="44">
        <v>44199</v>
      </c>
      <c r="G923" t="s">
        <v>1646</v>
      </c>
      <c r="H923" t="s">
        <v>1647</v>
      </c>
      <c r="I923" t="s">
        <v>55</v>
      </c>
      <c r="J923" t="s">
        <v>43</v>
      </c>
      <c r="K923" t="s">
        <v>199</v>
      </c>
      <c r="L923" t="s">
        <v>851</v>
      </c>
      <c r="M923" t="s">
        <v>46</v>
      </c>
      <c r="N923" t="s">
        <v>86</v>
      </c>
      <c r="O923" t="s">
        <v>67</v>
      </c>
      <c r="P923" t="s">
        <v>87</v>
      </c>
      <c r="Q923" t="s">
        <v>88</v>
      </c>
      <c r="R923">
        <v>36.75</v>
      </c>
      <c r="S923">
        <v>1</v>
      </c>
      <c r="T923">
        <v>0.25</v>
      </c>
      <c r="U923" s="34" t="str">
        <f t="shared" si="88"/>
        <v>High</v>
      </c>
      <c r="V923">
        <v>-6.64</v>
      </c>
      <c r="W923" s="29">
        <f t="shared" si="89"/>
        <v>-0.180680272108844</v>
      </c>
      <c r="X923">
        <v>49.07</v>
      </c>
      <c r="Y923" t="s">
        <v>38</v>
      </c>
      <c r="Z923" s="34" t="str">
        <f t="shared" si="90"/>
        <v>Small</v>
      </c>
    </row>
    <row r="924" spans="1:26">
      <c r="A924" t="s">
        <v>1811</v>
      </c>
      <c r="B924" s="44">
        <v>45530</v>
      </c>
      <c r="C924" s="34">
        <f t="shared" si="85"/>
        <v>2024</v>
      </c>
      <c r="D924" s="34">
        <f t="shared" si="86"/>
        <v>8</v>
      </c>
      <c r="E924" s="34" t="str">
        <f t="shared" si="87"/>
        <v>August</v>
      </c>
      <c r="F924" s="44">
        <v>45536</v>
      </c>
      <c r="G924" t="s">
        <v>1752</v>
      </c>
      <c r="H924" t="s">
        <v>1753</v>
      </c>
      <c r="I924" t="s">
        <v>42</v>
      </c>
      <c r="J924" t="s">
        <v>43</v>
      </c>
      <c r="K924" t="s">
        <v>175</v>
      </c>
      <c r="L924" t="s">
        <v>311</v>
      </c>
      <c r="M924" t="s">
        <v>46</v>
      </c>
      <c r="N924" t="s">
        <v>367</v>
      </c>
      <c r="O924" t="s">
        <v>35</v>
      </c>
      <c r="P924" t="s">
        <v>202</v>
      </c>
      <c r="Q924" t="s">
        <v>368</v>
      </c>
      <c r="R924">
        <v>2246.25</v>
      </c>
      <c r="S924">
        <v>5</v>
      </c>
      <c r="T924">
        <v>0.25</v>
      </c>
      <c r="U924" s="34" t="str">
        <f t="shared" si="88"/>
        <v>High</v>
      </c>
      <c r="V924">
        <v>266.91</v>
      </c>
      <c r="W924" s="29">
        <f t="shared" si="89"/>
        <v>0.118824707846411</v>
      </c>
      <c r="X924">
        <v>8.81</v>
      </c>
      <c r="Y924" t="s">
        <v>70</v>
      </c>
      <c r="Z924" s="34" t="str">
        <f t="shared" si="90"/>
        <v>Large</v>
      </c>
    </row>
    <row r="925" spans="1:26">
      <c r="A925" t="s">
        <v>1812</v>
      </c>
      <c r="B925" s="44">
        <v>43923</v>
      </c>
      <c r="C925" s="34">
        <f t="shared" si="85"/>
        <v>2020</v>
      </c>
      <c r="D925" s="34">
        <f t="shared" si="86"/>
        <v>4</v>
      </c>
      <c r="E925" s="34" t="str">
        <f t="shared" si="87"/>
        <v>April</v>
      </c>
      <c r="F925" s="44">
        <v>43930</v>
      </c>
      <c r="G925" t="s">
        <v>433</v>
      </c>
      <c r="H925" t="s">
        <v>434</v>
      </c>
      <c r="I925" t="s">
        <v>42</v>
      </c>
      <c r="J925" t="s">
        <v>43</v>
      </c>
      <c r="K925" t="s">
        <v>257</v>
      </c>
      <c r="L925" t="s">
        <v>258</v>
      </c>
      <c r="M925" t="s">
        <v>76</v>
      </c>
      <c r="N925" t="s">
        <v>275</v>
      </c>
      <c r="O925" t="s">
        <v>67</v>
      </c>
      <c r="P925" t="s">
        <v>103</v>
      </c>
      <c r="Q925" t="s">
        <v>276</v>
      </c>
      <c r="R925">
        <v>674.1</v>
      </c>
      <c r="S925">
        <v>1</v>
      </c>
      <c r="T925">
        <v>0.1</v>
      </c>
      <c r="U925" s="34" t="str">
        <f t="shared" si="88"/>
        <v>Low</v>
      </c>
      <c r="V925">
        <v>68.11</v>
      </c>
      <c r="W925" s="29">
        <f t="shared" si="89"/>
        <v>0.101038421599169</v>
      </c>
      <c r="X925">
        <v>42.59</v>
      </c>
      <c r="Y925" t="s">
        <v>51</v>
      </c>
      <c r="Z925" s="34" t="str">
        <f t="shared" si="90"/>
        <v>Medium</v>
      </c>
    </row>
    <row r="926" spans="1:26">
      <c r="A926" t="s">
        <v>1813</v>
      </c>
      <c r="B926" s="44">
        <v>45578</v>
      </c>
      <c r="C926" s="34">
        <f t="shared" si="85"/>
        <v>2024</v>
      </c>
      <c r="D926" s="34">
        <f t="shared" si="86"/>
        <v>10</v>
      </c>
      <c r="E926" s="34" t="str">
        <f t="shared" si="87"/>
        <v>October</v>
      </c>
      <c r="F926" s="44">
        <v>45581</v>
      </c>
      <c r="G926" t="s">
        <v>231</v>
      </c>
      <c r="H926" t="s">
        <v>232</v>
      </c>
      <c r="I926" t="s">
        <v>55</v>
      </c>
      <c r="J926" t="s">
        <v>43</v>
      </c>
      <c r="K926" t="s">
        <v>233</v>
      </c>
      <c r="L926" t="s">
        <v>234</v>
      </c>
      <c r="M926" t="s">
        <v>46</v>
      </c>
      <c r="N926" t="s">
        <v>208</v>
      </c>
      <c r="O926" t="s">
        <v>48</v>
      </c>
      <c r="P926" t="s">
        <v>128</v>
      </c>
      <c r="Q926" t="s">
        <v>209</v>
      </c>
      <c r="R926">
        <v>140</v>
      </c>
      <c r="S926">
        <v>4</v>
      </c>
      <c r="T926">
        <v>0</v>
      </c>
      <c r="U926" s="34" t="str">
        <f t="shared" si="88"/>
        <v>No Discount</v>
      </c>
      <c r="V926">
        <v>11.1</v>
      </c>
      <c r="W926" s="29">
        <f t="shared" si="89"/>
        <v>0.0792857142857143</v>
      </c>
      <c r="X926">
        <v>18.99</v>
      </c>
      <c r="Y926" t="s">
        <v>121</v>
      </c>
      <c r="Z926" s="34" t="str">
        <f t="shared" si="90"/>
        <v>Small</v>
      </c>
    </row>
    <row r="927" spans="1:26">
      <c r="A927" t="s">
        <v>1814</v>
      </c>
      <c r="B927" s="44">
        <v>44985</v>
      </c>
      <c r="C927" s="34">
        <f t="shared" si="85"/>
        <v>2023</v>
      </c>
      <c r="D927" s="34">
        <f t="shared" si="86"/>
        <v>2</v>
      </c>
      <c r="E927" s="34" t="str">
        <f t="shared" si="87"/>
        <v>February</v>
      </c>
      <c r="F927" s="44">
        <v>44992</v>
      </c>
      <c r="G927" t="s">
        <v>255</v>
      </c>
      <c r="H927" t="s">
        <v>256</v>
      </c>
      <c r="I927" t="s">
        <v>29</v>
      </c>
      <c r="J927" t="s">
        <v>43</v>
      </c>
      <c r="K927" t="s">
        <v>257</v>
      </c>
      <c r="L927" t="s">
        <v>258</v>
      </c>
      <c r="M927" t="s">
        <v>76</v>
      </c>
      <c r="N927" t="s">
        <v>315</v>
      </c>
      <c r="O927" t="s">
        <v>67</v>
      </c>
      <c r="P927" t="s">
        <v>252</v>
      </c>
      <c r="Q927" t="s">
        <v>316</v>
      </c>
      <c r="R927">
        <v>2716</v>
      </c>
      <c r="S927">
        <v>4</v>
      </c>
      <c r="T927">
        <v>0</v>
      </c>
      <c r="U927" s="34" t="str">
        <f t="shared" si="88"/>
        <v>No Discount</v>
      </c>
      <c r="V927">
        <v>486.73</v>
      </c>
      <c r="W927" s="29">
        <f t="shared" si="89"/>
        <v>0.179208394698085</v>
      </c>
      <c r="X927">
        <v>7.16</v>
      </c>
      <c r="Y927" t="s">
        <v>96</v>
      </c>
      <c r="Z927" s="34" t="str">
        <f t="shared" si="90"/>
        <v>Large</v>
      </c>
    </row>
    <row r="928" spans="1:26">
      <c r="A928" t="s">
        <v>1815</v>
      </c>
      <c r="B928" s="44">
        <v>44617</v>
      </c>
      <c r="C928" s="34">
        <f t="shared" si="85"/>
        <v>2022</v>
      </c>
      <c r="D928" s="34">
        <f t="shared" si="86"/>
        <v>2</v>
      </c>
      <c r="E928" s="34" t="str">
        <f t="shared" si="87"/>
        <v>February</v>
      </c>
      <c r="F928" s="44">
        <v>44618</v>
      </c>
      <c r="G928" t="s">
        <v>633</v>
      </c>
      <c r="H928" t="s">
        <v>634</v>
      </c>
      <c r="I928" t="s">
        <v>29</v>
      </c>
      <c r="J928" t="s">
        <v>43</v>
      </c>
      <c r="K928" t="s">
        <v>240</v>
      </c>
      <c r="L928" t="s">
        <v>635</v>
      </c>
      <c r="M928" t="s">
        <v>46</v>
      </c>
      <c r="N928" t="s">
        <v>388</v>
      </c>
      <c r="O928" t="s">
        <v>48</v>
      </c>
      <c r="P928" t="s">
        <v>190</v>
      </c>
      <c r="Q928" t="s">
        <v>389</v>
      </c>
      <c r="R928">
        <v>89</v>
      </c>
      <c r="S928">
        <v>1</v>
      </c>
      <c r="T928">
        <v>0</v>
      </c>
      <c r="U928" s="34" t="str">
        <f t="shared" si="88"/>
        <v>No Discount</v>
      </c>
      <c r="V928">
        <v>1.54</v>
      </c>
      <c r="W928" s="29">
        <f t="shared" si="89"/>
        <v>0.0173033707865169</v>
      </c>
      <c r="X928">
        <v>39.36</v>
      </c>
      <c r="Y928" t="s">
        <v>51</v>
      </c>
      <c r="Z928" s="34" t="str">
        <f t="shared" si="90"/>
        <v>Small</v>
      </c>
    </row>
    <row r="929" spans="1:26">
      <c r="A929" t="s">
        <v>1816</v>
      </c>
      <c r="B929" s="44">
        <v>43956</v>
      </c>
      <c r="C929" s="34">
        <f t="shared" si="85"/>
        <v>2020</v>
      </c>
      <c r="D929" s="34">
        <f t="shared" si="86"/>
        <v>5</v>
      </c>
      <c r="E929" s="34" t="str">
        <f t="shared" si="87"/>
        <v>May</v>
      </c>
      <c r="F929" s="44">
        <v>43961</v>
      </c>
      <c r="G929" t="s">
        <v>1230</v>
      </c>
      <c r="H929" t="s">
        <v>1231</v>
      </c>
      <c r="I929" t="s">
        <v>55</v>
      </c>
      <c r="J929" t="s">
        <v>43</v>
      </c>
      <c r="K929" t="s">
        <v>302</v>
      </c>
      <c r="L929" t="s">
        <v>1232</v>
      </c>
      <c r="M929" t="s">
        <v>76</v>
      </c>
      <c r="N929" t="s">
        <v>344</v>
      </c>
      <c r="O929" t="s">
        <v>35</v>
      </c>
      <c r="P929" t="s">
        <v>163</v>
      </c>
      <c r="Q929" t="s">
        <v>345</v>
      </c>
      <c r="R929">
        <v>3196</v>
      </c>
      <c r="S929">
        <v>4</v>
      </c>
      <c r="T929">
        <v>0</v>
      </c>
      <c r="U929" s="34" t="str">
        <f t="shared" si="88"/>
        <v>No Discount</v>
      </c>
      <c r="V929">
        <v>381.12</v>
      </c>
      <c r="W929" s="29">
        <f t="shared" si="89"/>
        <v>0.119249061326658</v>
      </c>
      <c r="X929">
        <v>8</v>
      </c>
      <c r="Y929" t="s">
        <v>121</v>
      </c>
      <c r="Z929" s="34" t="str">
        <f t="shared" si="90"/>
        <v>Large</v>
      </c>
    </row>
    <row r="930" spans="1:26">
      <c r="A930" t="s">
        <v>1817</v>
      </c>
      <c r="B930" s="44">
        <v>44713</v>
      </c>
      <c r="C930" s="34">
        <f t="shared" si="85"/>
        <v>2022</v>
      </c>
      <c r="D930" s="34">
        <f t="shared" si="86"/>
        <v>6</v>
      </c>
      <c r="E930" s="34" t="str">
        <f t="shared" si="87"/>
        <v>June</v>
      </c>
      <c r="F930" s="44">
        <v>44720</v>
      </c>
      <c r="G930" t="s">
        <v>733</v>
      </c>
      <c r="H930" t="s">
        <v>734</v>
      </c>
      <c r="I930" t="s">
        <v>29</v>
      </c>
      <c r="J930" t="s">
        <v>30</v>
      </c>
      <c r="K930" t="s">
        <v>645</v>
      </c>
      <c r="L930" t="s">
        <v>311</v>
      </c>
      <c r="M930" t="s">
        <v>58</v>
      </c>
      <c r="N930" t="s">
        <v>673</v>
      </c>
      <c r="O930" t="s">
        <v>35</v>
      </c>
      <c r="P930" t="s">
        <v>202</v>
      </c>
      <c r="Q930" t="s">
        <v>674</v>
      </c>
      <c r="R930">
        <v>2376.6</v>
      </c>
      <c r="S930">
        <v>4</v>
      </c>
      <c r="T930">
        <v>0.15</v>
      </c>
      <c r="U930" s="34" t="str">
        <f t="shared" si="88"/>
        <v>Medium</v>
      </c>
      <c r="V930">
        <v>514</v>
      </c>
      <c r="W930" s="29">
        <f t="shared" si="89"/>
        <v>0.216275351342254</v>
      </c>
      <c r="X930">
        <v>29.5</v>
      </c>
      <c r="Y930" t="s">
        <v>51</v>
      </c>
      <c r="Z930" s="34" t="str">
        <f t="shared" si="90"/>
        <v>Large</v>
      </c>
    </row>
    <row r="931" spans="1:26">
      <c r="A931" t="s">
        <v>1818</v>
      </c>
      <c r="B931" s="44">
        <v>43978</v>
      </c>
      <c r="C931" s="34">
        <f t="shared" si="85"/>
        <v>2020</v>
      </c>
      <c r="D931" s="34">
        <f t="shared" si="86"/>
        <v>5</v>
      </c>
      <c r="E931" s="34" t="str">
        <f t="shared" si="87"/>
        <v>May</v>
      </c>
      <c r="F931" s="44">
        <v>43983</v>
      </c>
      <c r="G931" t="s">
        <v>826</v>
      </c>
      <c r="H931" t="s">
        <v>827</v>
      </c>
      <c r="I931" t="s">
        <v>42</v>
      </c>
      <c r="J931" t="s">
        <v>43</v>
      </c>
      <c r="K931" t="s">
        <v>108</v>
      </c>
      <c r="L931" t="s">
        <v>485</v>
      </c>
      <c r="M931" t="s">
        <v>58</v>
      </c>
      <c r="N931" t="s">
        <v>94</v>
      </c>
      <c r="O931" t="s">
        <v>35</v>
      </c>
      <c r="P931" t="s">
        <v>36</v>
      </c>
      <c r="Q931" t="s">
        <v>95</v>
      </c>
      <c r="R931">
        <v>4576.5</v>
      </c>
      <c r="S931">
        <v>3</v>
      </c>
      <c r="T931">
        <v>0.1</v>
      </c>
      <c r="U931" s="34" t="str">
        <f t="shared" si="88"/>
        <v>Low</v>
      </c>
      <c r="V931">
        <v>995.93</v>
      </c>
      <c r="W931" s="29">
        <f t="shared" si="89"/>
        <v>0.217618267234786</v>
      </c>
      <c r="X931">
        <v>36.34</v>
      </c>
      <c r="Y931" t="s">
        <v>38</v>
      </c>
      <c r="Z931" s="34" t="str">
        <f t="shared" si="90"/>
        <v>Large</v>
      </c>
    </row>
    <row r="932" spans="1:26">
      <c r="A932" t="s">
        <v>1819</v>
      </c>
      <c r="B932" s="44">
        <v>44001</v>
      </c>
      <c r="C932" s="34">
        <f t="shared" si="85"/>
        <v>2020</v>
      </c>
      <c r="D932" s="34">
        <f t="shared" si="86"/>
        <v>6</v>
      </c>
      <c r="E932" s="34" t="str">
        <f t="shared" si="87"/>
        <v>June</v>
      </c>
      <c r="F932" s="44">
        <v>44007</v>
      </c>
      <c r="G932" t="s">
        <v>712</v>
      </c>
      <c r="H932" t="s">
        <v>713</v>
      </c>
      <c r="I932" t="s">
        <v>42</v>
      </c>
      <c r="J932" t="s">
        <v>43</v>
      </c>
      <c r="K932" t="s">
        <v>349</v>
      </c>
      <c r="L932" t="s">
        <v>714</v>
      </c>
      <c r="M932" t="s">
        <v>33</v>
      </c>
      <c r="N932" t="s">
        <v>127</v>
      </c>
      <c r="O932" t="s">
        <v>48</v>
      </c>
      <c r="P932" t="s">
        <v>128</v>
      </c>
      <c r="Q932" t="s">
        <v>129</v>
      </c>
      <c r="R932">
        <v>182</v>
      </c>
      <c r="S932">
        <v>4</v>
      </c>
      <c r="T932">
        <v>0.3</v>
      </c>
      <c r="U932" s="34" t="str">
        <f t="shared" si="88"/>
        <v>High</v>
      </c>
      <c r="V932">
        <v>19.73</v>
      </c>
      <c r="W932" s="29">
        <f t="shared" si="89"/>
        <v>0.108406593406593</v>
      </c>
      <c r="X932">
        <v>25.25</v>
      </c>
      <c r="Y932" t="s">
        <v>80</v>
      </c>
      <c r="Z932" s="34" t="str">
        <f t="shared" si="90"/>
        <v>Small</v>
      </c>
    </row>
    <row r="933" spans="1:26">
      <c r="A933" t="s">
        <v>1820</v>
      </c>
      <c r="B933" s="44">
        <v>45611</v>
      </c>
      <c r="C933" s="34">
        <f t="shared" si="85"/>
        <v>2024</v>
      </c>
      <c r="D933" s="34">
        <f t="shared" si="86"/>
        <v>11</v>
      </c>
      <c r="E933" s="34" t="str">
        <f t="shared" si="87"/>
        <v>November</v>
      </c>
      <c r="F933" s="44">
        <v>45615</v>
      </c>
      <c r="G933" t="s">
        <v>1285</v>
      </c>
      <c r="H933" t="s">
        <v>1286</v>
      </c>
      <c r="I933" t="s">
        <v>29</v>
      </c>
      <c r="J933" t="s">
        <v>43</v>
      </c>
      <c r="K933" t="s">
        <v>302</v>
      </c>
      <c r="L933" t="s">
        <v>1287</v>
      </c>
      <c r="M933" t="s">
        <v>76</v>
      </c>
      <c r="N933" t="s">
        <v>94</v>
      </c>
      <c r="O933" t="s">
        <v>35</v>
      </c>
      <c r="P933" t="s">
        <v>36</v>
      </c>
      <c r="Q933" t="s">
        <v>95</v>
      </c>
      <c r="R933">
        <v>6780</v>
      </c>
      <c r="S933">
        <v>4</v>
      </c>
      <c r="T933">
        <v>0</v>
      </c>
      <c r="U933" s="34" t="str">
        <f t="shared" si="88"/>
        <v>No Discount</v>
      </c>
      <c r="V933">
        <v>802.88</v>
      </c>
      <c r="W933" s="29">
        <f t="shared" si="89"/>
        <v>0.118418879056047</v>
      </c>
      <c r="X933">
        <v>35.72</v>
      </c>
      <c r="Y933" t="s">
        <v>51</v>
      </c>
      <c r="Z933" s="34" t="str">
        <f t="shared" si="90"/>
        <v>Large</v>
      </c>
    </row>
    <row r="934" spans="1:26">
      <c r="A934" t="s">
        <v>1821</v>
      </c>
      <c r="B934" s="44">
        <v>44542</v>
      </c>
      <c r="C934" s="34">
        <f t="shared" si="85"/>
        <v>2021</v>
      </c>
      <c r="D934" s="34">
        <f t="shared" si="86"/>
        <v>12</v>
      </c>
      <c r="E934" s="34" t="str">
        <f t="shared" si="87"/>
        <v>December</v>
      </c>
      <c r="F934" s="44">
        <v>44549</v>
      </c>
      <c r="G934" t="s">
        <v>619</v>
      </c>
      <c r="H934" t="s">
        <v>620</v>
      </c>
      <c r="I934" t="s">
        <v>55</v>
      </c>
      <c r="J934" t="s">
        <v>43</v>
      </c>
      <c r="K934" t="s">
        <v>168</v>
      </c>
      <c r="L934" t="s">
        <v>621</v>
      </c>
      <c r="M934" t="s">
        <v>76</v>
      </c>
      <c r="N934" t="s">
        <v>1074</v>
      </c>
      <c r="O934" t="s">
        <v>35</v>
      </c>
      <c r="P934" t="s">
        <v>111</v>
      </c>
      <c r="Q934" t="s">
        <v>1075</v>
      </c>
      <c r="R934">
        <v>823.65</v>
      </c>
      <c r="S934">
        <v>3</v>
      </c>
      <c r="T934">
        <v>0.05</v>
      </c>
      <c r="U934" s="34" t="str">
        <f t="shared" si="88"/>
        <v>Low</v>
      </c>
      <c r="V934">
        <v>171.52</v>
      </c>
      <c r="W934" s="29">
        <f t="shared" si="89"/>
        <v>0.208243792873186</v>
      </c>
      <c r="X934">
        <v>32.29</v>
      </c>
      <c r="Y934" t="s">
        <v>62</v>
      </c>
      <c r="Z934" s="34" t="str">
        <f t="shared" si="90"/>
        <v>Medium</v>
      </c>
    </row>
    <row r="935" spans="1:26">
      <c r="A935" t="s">
        <v>1822</v>
      </c>
      <c r="B935" s="44">
        <v>44682</v>
      </c>
      <c r="C935" s="34">
        <f t="shared" si="85"/>
        <v>2022</v>
      </c>
      <c r="D935" s="34">
        <f t="shared" si="86"/>
        <v>5</v>
      </c>
      <c r="E935" s="34" t="str">
        <f t="shared" si="87"/>
        <v>May</v>
      </c>
      <c r="F935" s="44">
        <v>44688</v>
      </c>
      <c r="G935" t="s">
        <v>576</v>
      </c>
      <c r="H935" t="s">
        <v>577</v>
      </c>
      <c r="I935" t="s">
        <v>55</v>
      </c>
      <c r="J935" t="s">
        <v>43</v>
      </c>
      <c r="K935" t="s">
        <v>160</v>
      </c>
      <c r="L935" t="s">
        <v>578</v>
      </c>
      <c r="M935" t="s">
        <v>76</v>
      </c>
      <c r="N935" t="s">
        <v>228</v>
      </c>
      <c r="O935" t="s">
        <v>67</v>
      </c>
      <c r="P935" t="s">
        <v>103</v>
      </c>
      <c r="Q935" t="s">
        <v>229</v>
      </c>
      <c r="R935">
        <v>558.75</v>
      </c>
      <c r="S935">
        <v>5</v>
      </c>
      <c r="T935">
        <v>0.25</v>
      </c>
      <c r="U935" s="34" t="str">
        <f t="shared" si="88"/>
        <v>High</v>
      </c>
      <c r="V935">
        <v>111.2</v>
      </c>
      <c r="W935" s="29">
        <f t="shared" si="89"/>
        <v>0.199015659955257</v>
      </c>
      <c r="X935">
        <v>39.08</v>
      </c>
      <c r="Y935" t="s">
        <v>121</v>
      </c>
      <c r="Z935" s="34" t="str">
        <f t="shared" si="90"/>
        <v>Medium</v>
      </c>
    </row>
    <row r="936" spans="1:26">
      <c r="A936" t="s">
        <v>1823</v>
      </c>
      <c r="B936" s="44">
        <v>45247</v>
      </c>
      <c r="C936" s="34">
        <f t="shared" si="85"/>
        <v>2023</v>
      </c>
      <c r="D936" s="34">
        <f t="shared" si="86"/>
        <v>11</v>
      </c>
      <c r="E936" s="34" t="str">
        <f t="shared" si="87"/>
        <v>November</v>
      </c>
      <c r="F936" s="44">
        <v>45248</v>
      </c>
      <c r="G936" t="s">
        <v>890</v>
      </c>
      <c r="H936" t="s">
        <v>891</v>
      </c>
      <c r="I936" t="s">
        <v>29</v>
      </c>
      <c r="J936" t="s">
        <v>43</v>
      </c>
      <c r="K936" t="s">
        <v>349</v>
      </c>
      <c r="L936" t="s">
        <v>892</v>
      </c>
      <c r="M936" t="s">
        <v>33</v>
      </c>
      <c r="N936" t="s">
        <v>155</v>
      </c>
      <c r="O936" t="s">
        <v>67</v>
      </c>
      <c r="P936" t="s">
        <v>119</v>
      </c>
      <c r="Q936" t="s">
        <v>156</v>
      </c>
      <c r="R936">
        <v>4245</v>
      </c>
      <c r="S936">
        <v>5</v>
      </c>
      <c r="T936">
        <v>0</v>
      </c>
      <c r="U936" s="34" t="str">
        <f t="shared" si="88"/>
        <v>No Discount</v>
      </c>
      <c r="V936">
        <v>752.92</v>
      </c>
      <c r="W936" s="29">
        <f t="shared" si="89"/>
        <v>0.177366313309776</v>
      </c>
      <c r="X936">
        <v>37.27</v>
      </c>
      <c r="Y936" t="s">
        <v>96</v>
      </c>
      <c r="Z936" s="34" t="str">
        <f t="shared" si="90"/>
        <v>Large</v>
      </c>
    </row>
    <row r="937" spans="1:26">
      <c r="A937" t="s">
        <v>1824</v>
      </c>
      <c r="B937" s="44">
        <v>44189</v>
      </c>
      <c r="C937" s="34">
        <f t="shared" si="85"/>
        <v>2020</v>
      </c>
      <c r="D937" s="34">
        <f t="shared" si="86"/>
        <v>12</v>
      </c>
      <c r="E937" s="34" t="str">
        <f t="shared" si="87"/>
        <v>December</v>
      </c>
      <c r="F937" s="44">
        <v>44192</v>
      </c>
      <c r="G937" t="s">
        <v>354</v>
      </c>
      <c r="H937" t="s">
        <v>355</v>
      </c>
      <c r="I937" t="s">
        <v>29</v>
      </c>
      <c r="J937" t="s">
        <v>43</v>
      </c>
      <c r="K937" t="s">
        <v>213</v>
      </c>
      <c r="L937" t="s">
        <v>356</v>
      </c>
      <c r="M937" t="s">
        <v>33</v>
      </c>
      <c r="N937" t="s">
        <v>59</v>
      </c>
      <c r="O937" t="s">
        <v>48</v>
      </c>
      <c r="P937" t="s">
        <v>60</v>
      </c>
      <c r="Q937" t="s">
        <v>61</v>
      </c>
      <c r="R937">
        <v>443.7</v>
      </c>
      <c r="S937">
        <v>3</v>
      </c>
      <c r="T937">
        <v>0.15</v>
      </c>
      <c r="U937" s="34" t="str">
        <f t="shared" si="88"/>
        <v>Medium</v>
      </c>
      <c r="V937">
        <v>-42.28</v>
      </c>
      <c r="W937" s="29">
        <f t="shared" si="89"/>
        <v>-0.0952896100969123</v>
      </c>
      <c r="X937">
        <v>22.6</v>
      </c>
      <c r="Y937" t="s">
        <v>96</v>
      </c>
      <c r="Z937" s="34" t="str">
        <f t="shared" si="90"/>
        <v>Small</v>
      </c>
    </row>
    <row r="938" spans="1:26">
      <c r="A938" t="s">
        <v>1825</v>
      </c>
      <c r="B938" s="44">
        <v>44269</v>
      </c>
      <c r="C938" s="34">
        <f t="shared" si="85"/>
        <v>2021</v>
      </c>
      <c r="D938" s="34">
        <f t="shared" si="86"/>
        <v>3</v>
      </c>
      <c r="E938" s="34" t="str">
        <f t="shared" si="87"/>
        <v>March</v>
      </c>
      <c r="F938" s="44">
        <v>44274</v>
      </c>
      <c r="G938" t="s">
        <v>444</v>
      </c>
      <c r="H938" t="s">
        <v>445</v>
      </c>
      <c r="I938" t="s">
        <v>42</v>
      </c>
      <c r="J938" t="s">
        <v>43</v>
      </c>
      <c r="K938" t="s">
        <v>213</v>
      </c>
      <c r="L938" t="s">
        <v>356</v>
      </c>
      <c r="M938" t="s">
        <v>33</v>
      </c>
      <c r="N938" t="s">
        <v>321</v>
      </c>
      <c r="O938" t="s">
        <v>48</v>
      </c>
      <c r="P938" t="s">
        <v>190</v>
      </c>
      <c r="Q938" t="s">
        <v>322</v>
      </c>
      <c r="R938">
        <v>200.6</v>
      </c>
      <c r="S938">
        <v>4</v>
      </c>
      <c r="T938">
        <v>0.15</v>
      </c>
      <c r="U938" s="34" t="str">
        <f t="shared" si="88"/>
        <v>Medium</v>
      </c>
      <c r="V938">
        <v>29.19</v>
      </c>
      <c r="W938" s="29">
        <f t="shared" si="89"/>
        <v>0.145513459621137</v>
      </c>
      <c r="X938">
        <v>36.42</v>
      </c>
      <c r="Y938" t="s">
        <v>62</v>
      </c>
      <c r="Z938" s="34" t="str">
        <f t="shared" si="90"/>
        <v>Small</v>
      </c>
    </row>
    <row r="939" spans="1:26">
      <c r="A939" t="s">
        <v>1826</v>
      </c>
      <c r="B939" s="44">
        <v>45075</v>
      </c>
      <c r="C939" s="34">
        <f t="shared" si="85"/>
        <v>2023</v>
      </c>
      <c r="D939" s="34">
        <f t="shared" si="86"/>
        <v>5</v>
      </c>
      <c r="E939" s="34" t="str">
        <f t="shared" si="87"/>
        <v>May</v>
      </c>
      <c r="F939" s="44">
        <v>45081</v>
      </c>
      <c r="G939" t="s">
        <v>611</v>
      </c>
      <c r="H939" t="s">
        <v>283</v>
      </c>
      <c r="I939" t="s">
        <v>42</v>
      </c>
      <c r="J939" t="s">
        <v>30</v>
      </c>
      <c r="K939" t="s">
        <v>74</v>
      </c>
      <c r="L939" t="s">
        <v>613</v>
      </c>
      <c r="M939" t="s">
        <v>76</v>
      </c>
      <c r="N939" t="s">
        <v>388</v>
      </c>
      <c r="O939" t="s">
        <v>48</v>
      </c>
      <c r="P939" t="s">
        <v>190</v>
      </c>
      <c r="Q939" t="s">
        <v>389</v>
      </c>
      <c r="R939">
        <v>267</v>
      </c>
      <c r="S939">
        <v>4</v>
      </c>
      <c r="T939">
        <v>0.25</v>
      </c>
      <c r="U939" s="34" t="str">
        <f t="shared" si="88"/>
        <v>High</v>
      </c>
      <c r="V939">
        <v>28.19</v>
      </c>
      <c r="W939" s="29">
        <f t="shared" si="89"/>
        <v>0.105580524344569</v>
      </c>
      <c r="X939">
        <v>12.82</v>
      </c>
      <c r="Y939" t="s">
        <v>137</v>
      </c>
      <c r="Z939" s="34" t="str">
        <f t="shared" si="90"/>
        <v>Small</v>
      </c>
    </row>
    <row r="940" spans="1:26">
      <c r="A940" t="s">
        <v>1827</v>
      </c>
      <c r="B940" s="44">
        <v>44441</v>
      </c>
      <c r="C940" s="34">
        <f t="shared" si="85"/>
        <v>2021</v>
      </c>
      <c r="D940" s="34">
        <f t="shared" si="86"/>
        <v>9</v>
      </c>
      <c r="E940" s="34" t="str">
        <f t="shared" si="87"/>
        <v>September</v>
      </c>
      <c r="F940" s="44">
        <v>44446</v>
      </c>
      <c r="G940" t="s">
        <v>1360</v>
      </c>
      <c r="H940" t="s">
        <v>413</v>
      </c>
      <c r="I940" t="s">
        <v>29</v>
      </c>
      <c r="J940" t="s">
        <v>30</v>
      </c>
      <c r="K940" t="s">
        <v>472</v>
      </c>
      <c r="L940" t="s">
        <v>1361</v>
      </c>
      <c r="M940" t="s">
        <v>58</v>
      </c>
      <c r="N940" t="s">
        <v>351</v>
      </c>
      <c r="O940" t="s">
        <v>67</v>
      </c>
      <c r="P940" t="s">
        <v>68</v>
      </c>
      <c r="Q940" t="s">
        <v>352</v>
      </c>
      <c r="R940">
        <v>449.25</v>
      </c>
      <c r="S940">
        <v>1</v>
      </c>
      <c r="T940">
        <v>0.25</v>
      </c>
      <c r="U940" s="34" t="str">
        <f t="shared" si="88"/>
        <v>High</v>
      </c>
      <c r="V940">
        <v>92.76</v>
      </c>
      <c r="W940" s="29">
        <f t="shared" si="89"/>
        <v>0.206477462437396</v>
      </c>
      <c r="X940">
        <v>20.25</v>
      </c>
      <c r="Y940" t="s">
        <v>121</v>
      </c>
      <c r="Z940" s="34" t="str">
        <f t="shared" si="90"/>
        <v>Small</v>
      </c>
    </row>
    <row r="941" spans="1:26">
      <c r="A941" t="s">
        <v>1828</v>
      </c>
      <c r="B941" s="44">
        <v>43906</v>
      </c>
      <c r="C941" s="34">
        <f t="shared" si="85"/>
        <v>2020</v>
      </c>
      <c r="D941" s="34">
        <f t="shared" si="86"/>
        <v>3</v>
      </c>
      <c r="E941" s="34" t="str">
        <f t="shared" si="87"/>
        <v>March</v>
      </c>
      <c r="F941" s="44">
        <v>43908</v>
      </c>
      <c r="G941" t="s">
        <v>829</v>
      </c>
      <c r="H941" t="s">
        <v>830</v>
      </c>
      <c r="I941" t="s">
        <v>29</v>
      </c>
      <c r="J941" t="s">
        <v>43</v>
      </c>
      <c r="K941" t="s">
        <v>168</v>
      </c>
      <c r="L941" t="s">
        <v>169</v>
      </c>
      <c r="M941" t="s">
        <v>76</v>
      </c>
      <c r="N941" t="s">
        <v>189</v>
      </c>
      <c r="O941" t="s">
        <v>48</v>
      </c>
      <c r="P941" t="s">
        <v>190</v>
      </c>
      <c r="Q941" t="s">
        <v>191</v>
      </c>
      <c r="R941">
        <v>63</v>
      </c>
      <c r="S941">
        <v>2</v>
      </c>
      <c r="T941">
        <v>0.1</v>
      </c>
      <c r="U941" s="34" t="str">
        <f t="shared" si="88"/>
        <v>Low</v>
      </c>
      <c r="V941">
        <v>0.8</v>
      </c>
      <c r="W941" s="29">
        <f t="shared" si="89"/>
        <v>0.0126984126984127</v>
      </c>
      <c r="X941">
        <v>43.52</v>
      </c>
      <c r="Y941" t="s">
        <v>51</v>
      </c>
      <c r="Z941" s="34" t="str">
        <f t="shared" si="90"/>
        <v>Small</v>
      </c>
    </row>
    <row r="942" spans="1:26">
      <c r="A942" t="s">
        <v>1829</v>
      </c>
      <c r="B942" s="44">
        <v>44604</v>
      </c>
      <c r="C942" s="34">
        <f t="shared" si="85"/>
        <v>2022</v>
      </c>
      <c r="D942" s="34">
        <f t="shared" si="86"/>
        <v>2</v>
      </c>
      <c r="E942" s="34" t="str">
        <f t="shared" si="87"/>
        <v>February</v>
      </c>
      <c r="F942" s="44">
        <v>44609</v>
      </c>
      <c r="G942" t="s">
        <v>418</v>
      </c>
      <c r="H942" t="s">
        <v>419</v>
      </c>
      <c r="I942" t="s">
        <v>42</v>
      </c>
      <c r="J942" t="s">
        <v>43</v>
      </c>
      <c r="K942" t="s">
        <v>100</v>
      </c>
      <c r="L942" t="s">
        <v>246</v>
      </c>
      <c r="M942" t="s">
        <v>33</v>
      </c>
      <c r="N942" t="s">
        <v>215</v>
      </c>
      <c r="O942" t="s">
        <v>35</v>
      </c>
      <c r="P942" t="s">
        <v>36</v>
      </c>
      <c r="Q942" t="s">
        <v>216</v>
      </c>
      <c r="R942">
        <v>3507.3</v>
      </c>
      <c r="S942">
        <v>3</v>
      </c>
      <c r="T942">
        <v>0.1</v>
      </c>
      <c r="U942" s="34" t="str">
        <f t="shared" si="88"/>
        <v>Low</v>
      </c>
      <c r="V942">
        <v>520.27</v>
      </c>
      <c r="W942" s="29">
        <f t="shared" si="89"/>
        <v>0.148339178285291</v>
      </c>
      <c r="X942">
        <v>19.42</v>
      </c>
      <c r="Y942" t="s">
        <v>80</v>
      </c>
      <c r="Z942" s="34" t="str">
        <f t="shared" si="90"/>
        <v>Large</v>
      </c>
    </row>
    <row r="943" spans="1:26">
      <c r="A943" t="s">
        <v>1830</v>
      </c>
      <c r="B943" s="44">
        <v>44030</v>
      </c>
      <c r="C943" s="34">
        <f t="shared" si="85"/>
        <v>2020</v>
      </c>
      <c r="D943" s="34">
        <f t="shared" si="86"/>
        <v>7</v>
      </c>
      <c r="E943" s="34" t="str">
        <f t="shared" si="87"/>
        <v>July</v>
      </c>
      <c r="F943" s="44">
        <v>44034</v>
      </c>
      <c r="G943" t="s">
        <v>1268</v>
      </c>
      <c r="H943" t="s">
        <v>518</v>
      </c>
      <c r="I943" t="s">
        <v>29</v>
      </c>
      <c r="J943" t="s">
        <v>43</v>
      </c>
      <c r="K943" t="s">
        <v>297</v>
      </c>
      <c r="L943" t="s">
        <v>887</v>
      </c>
      <c r="M943" t="s">
        <v>46</v>
      </c>
      <c r="N943" t="s">
        <v>162</v>
      </c>
      <c r="O943" t="s">
        <v>35</v>
      </c>
      <c r="P943" t="s">
        <v>163</v>
      </c>
      <c r="Q943" t="s">
        <v>164</v>
      </c>
      <c r="R943">
        <v>1866.6</v>
      </c>
      <c r="S943">
        <v>4</v>
      </c>
      <c r="T943">
        <v>0.15</v>
      </c>
      <c r="U943" s="34" t="str">
        <f t="shared" si="88"/>
        <v>Medium</v>
      </c>
      <c r="V943">
        <v>277.58</v>
      </c>
      <c r="W943" s="29">
        <f t="shared" si="89"/>
        <v>0.148708882460088</v>
      </c>
      <c r="X943">
        <v>8.02</v>
      </c>
      <c r="Y943" t="s">
        <v>137</v>
      </c>
      <c r="Z943" s="34" t="str">
        <f t="shared" si="90"/>
        <v>Medium</v>
      </c>
    </row>
    <row r="944" spans="1:26">
      <c r="A944" t="s">
        <v>1831</v>
      </c>
      <c r="B944" s="44">
        <v>44065</v>
      </c>
      <c r="C944" s="34">
        <f t="shared" si="85"/>
        <v>2020</v>
      </c>
      <c r="D944" s="34">
        <f t="shared" si="86"/>
        <v>8</v>
      </c>
      <c r="E944" s="34" t="str">
        <f t="shared" si="87"/>
        <v>August</v>
      </c>
      <c r="F944" s="44">
        <v>44071</v>
      </c>
      <c r="G944" t="s">
        <v>1257</v>
      </c>
      <c r="H944" t="s">
        <v>1258</v>
      </c>
      <c r="I944" t="s">
        <v>42</v>
      </c>
      <c r="J944" t="s">
        <v>30</v>
      </c>
      <c r="K944" t="s">
        <v>92</v>
      </c>
      <c r="L944" t="s">
        <v>93</v>
      </c>
      <c r="M944" t="s">
        <v>76</v>
      </c>
      <c r="N944" t="s">
        <v>141</v>
      </c>
      <c r="O944" t="s">
        <v>35</v>
      </c>
      <c r="P944" t="s">
        <v>111</v>
      </c>
      <c r="Q944" t="s">
        <v>142</v>
      </c>
      <c r="R944">
        <v>335.25</v>
      </c>
      <c r="S944">
        <v>3</v>
      </c>
      <c r="T944">
        <v>0.25</v>
      </c>
      <c r="U944" s="34" t="str">
        <f t="shared" si="88"/>
        <v>High</v>
      </c>
      <c r="V944">
        <v>69.01</v>
      </c>
      <c r="W944" s="29">
        <f t="shared" si="89"/>
        <v>0.205846383296048</v>
      </c>
      <c r="X944">
        <v>15.82</v>
      </c>
      <c r="Y944" t="s">
        <v>80</v>
      </c>
      <c r="Z944" s="34" t="str">
        <f t="shared" si="90"/>
        <v>Small</v>
      </c>
    </row>
    <row r="945" spans="1:26">
      <c r="A945" t="s">
        <v>1832</v>
      </c>
      <c r="B945" s="44">
        <v>44961</v>
      </c>
      <c r="C945" s="34">
        <f t="shared" si="85"/>
        <v>2023</v>
      </c>
      <c r="D945" s="34">
        <f t="shared" si="86"/>
        <v>2</v>
      </c>
      <c r="E945" s="34" t="str">
        <f t="shared" si="87"/>
        <v>February</v>
      </c>
      <c r="F945" s="44">
        <v>44962</v>
      </c>
      <c r="G945" t="s">
        <v>477</v>
      </c>
      <c r="H945" t="s">
        <v>478</v>
      </c>
      <c r="I945" t="s">
        <v>55</v>
      </c>
      <c r="J945" t="s">
        <v>43</v>
      </c>
      <c r="K945" t="s">
        <v>84</v>
      </c>
      <c r="L945" t="s">
        <v>366</v>
      </c>
      <c r="M945" t="s">
        <v>33</v>
      </c>
      <c r="N945" t="s">
        <v>86</v>
      </c>
      <c r="O945" t="s">
        <v>67</v>
      </c>
      <c r="P945" t="s">
        <v>87</v>
      </c>
      <c r="Q945" t="s">
        <v>88</v>
      </c>
      <c r="R945">
        <v>93.1</v>
      </c>
      <c r="S945">
        <v>2</v>
      </c>
      <c r="T945">
        <v>0.05</v>
      </c>
      <c r="U945" s="34" t="str">
        <f t="shared" si="88"/>
        <v>Low</v>
      </c>
      <c r="V945">
        <v>18.37</v>
      </c>
      <c r="W945" s="29">
        <f t="shared" si="89"/>
        <v>0.197314715359828</v>
      </c>
      <c r="X945">
        <v>7.05</v>
      </c>
      <c r="Y945" t="s">
        <v>96</v>
      </c>
      <c r="Z945" s="34" t="str">
        <f t="shared" si="90"/>
        <v>Small</v>
      </c>
    </row>
    <row r="946" spans="1:26">
      <c r="A946" t="s">
        <v>1833</v>
      </c>
      <c r="B946" s="44">
        <v>43930</v>
      </c>
      <c r="C946" s="34">
        <f t="shared" si="85"/>
        <v>2020</v>
      </c>
      <c r="D946" s="34">
        <f t="shared" si="86"/>
        <v>4</v>
      </c>
      <c r="E946" s="34" t="str">
        <f t="shared" si="87"/>
        <v>April</v>
      </c>
      <c r="F946" s="44">
        <v>43931</v>
      </c>
      <c r="G946" t="s">
        <v>360</v>
      </c>
      <c r="H946" t="s">
        <v>361</v>
      </c>
      <c r="I946" t="s">
        <v>42</v>
      </c>
      <c r="J946" t="s">
        <v>30</v>
      </c>
      <c r="K946" t="s">
        <v>168</v>
      </c>
      <c r="L946" t="s">
        <v>362</v>
      </c>
      <c r="M946" t="s">
        <v>76</v>
      </c>
      <c r="N946" t="s">
        <v>415</v>
      </c>
      <c r="O946" t="s">
        <v>67</v>
      </c>
      <c r="P946" t="s">
        <v>252</v>
      </c>
      <c r="Q946" t="s">
        <v>416</v>
      </c>
      <c r="R946">
        <v>897.75</v>
      </c>
      <c r="S946">
        <v>3</v>
      </c>
      <c r="T946">
        <v>0.25</v>
      </c>
      <c r="U946" s="34" t="str">
        <f t="shared" si="88"/>
        <v>High</v>
      </c>
      <c r="V946">
        <v>80.21</v>
      </c>
      <c r="W946" s="29">
        <f t="shared" si="89"/>
        <v>0.0893455861876914</v>
      </c>
      <c r="X946">
        <v>31.89</v>
      </c>
      <c r="Y946" t="s">
        <v>689</v>
      </c>
      <c r="Z946" s="34" t="str">
        <f t="shared" si="90"/>
        <v>Medium</v>
      </c>
    </row>
    <row r="947" spans="1:26">
      <c r="A947" t="s">
        <v>1834</v>
      </c>
      <c r="B947" s="44">
        <v>45509</v>
      </c>
      <c r="C947" s="34">
        <f t="shared" si="85"/>
        <v>2024</v>
      </c>
      <c r="D947" s="34">
        <f t="shared" si="86"/>
        <v>8</v>
      </c>
      <c r="E947" s="34" t="str">
        <f t="shared" si="87"/>
        <v>August</v>
      </c>
      <c r="F947" s="44">
        <v>45514</v>
      </c>
      <c r="G947" t="s">
        <v>1835</v>
      </c>
      <c r="H947" t="s">
        <v>1836</v>
      </c>
      <c r="I947" t="s">
        <v>42</v>
      </c>
      <c r="J947" t="s">
        <v>43</v>
      </c>
      <c r="K947" t="s">
        <v>146</v>
      </c>
      <c r="L947" t="s">
        <v>147</v>
      </c>
      <c r="M947" t="s">
        <v>33</v>
      </c>
      <c r="N947" t="s">
        <v>321</v>
      </c>
      <c r="O947" t="s">
        <v>48</v>
      </c>
      <c r="P947" t="s">
        <v>190</v>
      </c>
      <c r="Q947" t="s">
        <v>322</v>
      </c>
      <c r="R947">
        <v>41.3</v>
      </c>
      <c r="S947">
        <v>1</v>
      </c>
      <c r="T947">
        <v>0.3</v>
      </c>
      <c r="U947" s="34" t="str">
        <f t="shared" si="88"/>
        <v>High</v>
      </c>
      <c r="V947">
        <v>4.66</v>
      </c>
      <c r="W947" s="29">
        <f t="shared" si="89"/>
        <v>0.112832929782082</v>
      </c>
      <c r="X947">
        <v>14.76</v>
      </c>
      <c r="Y947" t="s">
        <v>96</v>
      </c>
      <c r="Z947" s="34" t="str">
        <f t="shared" si="90"/>
        <v>Small</v>
      </c>
    </row>
    <row r="948" spans="1:26">
      <c r="A948" t="s">
        <v>1837</v>
      </c>
      <c r="B948" s="44">
        <v>45549</v>
      </c>
      <c r="C948" s="34">
        <f t="shared" si="85"/>
        <v>2024</v>
      </c>
      <c r="D948" s="34">
        <f t="shared" si="86"/>
        <v>9</v>
      </c>
      <c r="E948" s="34" t="str">
        <f t="shared" si="87"/>
        <v>September</v>
      </c>
      <c r="F948" s="44">
        <v>45556</v>
      </c>
      <c r="G948" t="s">
        <v>226</v>
      </c>
      <c r="H948" t="s">
        <v>227</v>
      </c>
      <c r="I948" t="s">
        <v>42</v>
      </c>
      <c r="J948" t="s">
        <v>43</v>
      </c>
      <c r="K948" t="s">
        <v>44</v>
      </c>
      <c r="L948" t="s">
        <v>195</v>
      </c>
      <c r="M948" t="s">
        <v>46</v>
      </c>
      <c r="N948" t="s">
        <v>684</v>
      </c>
      <c r="O948" t="s">
        <v>48</v>
      </c>
      <c r="P948" t="s">
        <v>60</v>
      </c>
      <c r="Q948" t="s">
        <v>685</v>
      </c>
      <c r="R948">
        <v>158</v>
      </c>
      <c r="S948">
        <v>2</v>
      </c>
      <c r="T948">
        <v>0</v>
      </c>
      <c r="U948" s="34" t="str">
        <f t="shared" si="88"/>
        <v>No Discount</v>
      </c>
      <c r="V948">
        <v>-12.59</v>
      </c>
      <c r="W948" s="29">
        <f t="shared" si="89"/>
        <v>-0.0796835443037975</v>
      </c>
      <c r="X948">
        <v>15.64</v>
      </c>
      <c r="Y948" t="s">
        <v>70</v>
      </c>
      <c r="Z948" s="34" t="str">
        <f t="shared" si="90"/>
        <v>Small</v>
      </c>
    </row>
    <row r="949" spans="1:26">
      <c r="A949" t="s">
        <v>1838</v>
      </c>
      <c r="B949" s="44">
        <v>44018</v>
      </c>
      <c r="C949" s="34">
        <f t="shared" si="85"/>
        <v>2020</v>
      </c>
      <c r="D949" s="34">
        <f t="shared" si="86"/>
        <v>7</v>
      </c>
      <c r="E949" s="34" t="str">
        <f t="shared" si="87"/>
        <v>July</v>
      </c>
      <c r="F949" s="44">
        <v>44025</v>
      </c>
      <c r="G949" t="s">
        <v>991</v>
      </c>
      <c r="H949" t="s">
        <v>992</v>
      </c>
      <c r="I949" t="s">
        <v>29</v>
      </c>
      <c r="J949" t="s">
        <v>43</v>
      </c>
      <c r="K949" t="s">
        <v>116</v>
      </c>
      <c r="L949" t="s">
        <v>117</v>
      </c>
      <c r="M949" t="s">
        <v>33</v>
      </c>
      <c r="N949" t="s">
        <v>118</v>
      </c>
      <c r="O949" t="s">
        <v>67</v>
      </c>
      <c r="P949" t="s">
        <v>119</v>
      </c>
      <c r="Q949" t="s">
        <v>120</v>
      </c>
      <c r="R949">
        <v>5995</v>
      </c>
      <c r="S949">
        <v>5</v>
      </c>
      <c r="T949">
        <v>0</v>
      </c>
      <c r="U949" s="34" t="str">
        <f t="shared" si="88"/>
        <v>No Discount</v>
      </c>
      <c r="V949">
        <v>596.07</v>
      </c>
      <c r="W949" s="29">
        <f t="shared" si="89"/>
        <v>0.0994278565471226</v>
      </c>
      <c r="X949">
        <v>11.45</v>
      </c>
      <c r="Y949" t="s">
        <v>80</v>
      </c>
      <c r="Z949" s="34" t="str">
        <f t="shared" si="90"/>
        <v>Large</v>
      </c>
    </row>
    <row r="950" spans="1:26">
      <c r="A950" t="s">
        <v>1839</v>
      </c>
      <c r="B950" s="44">
        <v>44926</v>
      </c>
      <c r="C950" s="34">
        <f t="shared" si="85"/>
        <v>2022</v>
      </c>
      <c r="D950" s="34">
        <f t="shared" si="86"/>
        <v>12</v>
      </c>
      <c r="E950" s="34" t="str">
        <f t="shared" si="87"/>
        <v>December</v>
      </c>
      <c r="F950" s="44">
        <v>44927</v>
      </c>
      <c r="G950" t="s">
        <v>1467</v>
      </c>
      <c r="H950" t="s">
        <v>1468</v>
      </c>
      <c r="I950" t="s">
        <v>42</v>
      </c>
      <c r="J950" t="s">
        <v>43</v>
      </c>
      <c r="K950" t="s">
        <v>233</v>
      </c>
      <c r="L950" t="s">
        <v>1469</v>
      </c>
      <c r="M950" t="s">
        <v>46</v>
      </c>
      <c r="N950" t="s">
        <v>505</v>
      </c>
      <c r="O950" t="s">
        <v>67</v>
      </c>
      <c r="P950" t="s">
        <v>119</v>
      </c>
      <c r="Q950" t="s">
        <v>506</v>
      </c>
      <c r="R950">
        <v>2598</v>
      </c>
      <c r="S950">
        <v>2</v>
      </c>
      <c r="T950">
        <v>0</v>
      </c>
      <c r="U950" s="34" t="str">
        <f t="shared" si="88"/>
        <v>No Discount</v>
      </c>
      <c r="V950">
        <v>514.29</v>
      </c>
      <c r="W950" s="29">
        <f t="shared" si="89"/>
        <v>0.197956120092379</v>
      </c>
      <c r="X950">
        <v>17.7</v>
      </c>
      <c r="Y950" t="s">
        <v>62</v>
      </c>
      <c r="Z950" s="34" t="str">
        <f t="shared" si="90"/>
        <v>Large</v>
      </c>
    </row>
    <row r="951" spans="1:26">
      <c r="A951" t="s">
        <v>1840</v>
      </c>
      <c r="B951" s="44">
        <v>45096</v>
      </c>
      <c r="C951" s="34">
        <f t="shared" si="85"/>
        <v>2023</v>
      </c>
      <c r="D951" s="34">
        <f t="shared" si="86"/>
        <v>6</v>
      </c>
      <c r="E951" s="34" t="str">
        <f t="shared" si="87"/>
        <v>June</v>
      </c>
      <c r="F951" s="44">
        <v>45098</v>
      </c>
      <c r="G951" t="s">
        <v>197</v>
      </c>
      <c r="H951" t="s">
        <v>198</v>
      </c>
      <c r="I951" t="s">
        <v>55</v>
      </c>
      <c r="J951" t="s">
        <v>43</v>
      </c>
      <c r="K951" t="s">
        <v>199</v>
      </c>
      <c r="L951" t="s">
        <v>200</v>
      </c>
      <c r="M951" t="s">
        <v>46</v>
      </c>
      <c r="N951" t="s">
        <v>135</v>
      </c>
      <c r="O951" t="s">
        <v>67</v>
      </c>
      <c r="P951" t="s">
        <v>68</v>
      </c>
      <c r="Q951" t="s">
        <v>136</v>
      </c>
      <c r="R951">
        <v>519.2</v>
      </c>
      <c r="S951">
        <v>1</v>
      </c>
      <c r="T951">
        <v>0.2</v>
      </c>
      <c r="U951" s="34" t="str">
        <f t="shared" si="88"/>
        <v>Medium</v>
      </c>
      <c r="V951">
        <v>108.55</v>
      </c>
      <c r="W951" s="29">
        <f t="shared" si="89"/>
        <v>0.209071648690293</v>
      </c>
      <c r="X951">
        <v>18.92</v>
      </c>
      <c r="Y951" t="s">
        <v>96</v>
      </c>
      <c r="Z951" s="34" t="str">
        <f t="shared" si="90"/>
        <v>Medium</v>
      </c>
    </row>
    <row r="952" spans="1:26">
      <c r="A952" t="s">
        <v>1841</v>
      </c>
      <c r="B952" s="44">
        <v>44888</v>
      </c>
      <c r="C952" s="34">
        <f t="shared" si="85"/>
        <v>2022</v>
      </c>
      <c r="D952" s="34">
        <f t="shared" si="86"/>
        <v>11</v>
      </c>
      <c r="E952" s="34" t="str">
        <f t="shared" si="87"/>
        <v>November</v>
      </c>
      <c r="F952" s="44">
        <v>44894</v>
      </c>
      <c r="G952" t="s">
        <v>503</v>
      </c>
      <c r="H952" t="s">
        <v>1152</v>
      </c>
      <c r="I952" t="s">
        <v>29</v>
      </c>
      <c r="J952" t="s">
        <v>43</v>
      </c>
      <c r="K952" t="s">
        <v>74</v>
      </c>
      <c r="L952" t="s">
        <v>75</v>
      </c>
      <c r="M952" t="s">
        <v>76</v>
      </c>
      <c r="N952" t="s">
        <v>47</v>
      </c>
      <c r="O952" t="s">
        <v>48</v>
      </c>
      <c r="P952" t="s">
        <v>49</v>
      </c>
      <c r="Q952" t="s">
        <v>50</v>
      </c>
      <c r="R952">
        <v>276.5</v>
      </c>
      <c r="S952">
        <v>5</v>
      </c>
      <c r="T952">
        <v>0.3</v>
      </c>
      <c r="U952" s="34" t="str">
        <f t="shared" si="88"/>
        <v>High</v>
      </c>
      <c r="V952">
        <v>-27.88</v>
      </c>
      <c r="W952" s="29">
        <f t="shared" si="89"/>
        <v>-0.100831826401447</v>
      </c>
      <c r="X952">
        <v>46.86</v>
      </c>
      <c r="Y952" t="s">
        <v>62</v>
      </c>
      <c r="Z952" s="34" t="str">
        <f t="shared" si="90"/>
        <v>Small</v>
      </c>
    </row>
    <row r="953" spans="1:26">
      <c r="A953" t="s">
        <v>1842</v>
      </c>
      <c r="B953" s="44">
        <v>45656</v>
      </c>
      <c r="C953" s="34">
        <f t="shared" si="85"/>
        <v>2024</v>
      </c>
      <c r="D953" s="34">
        <f t="shared" si="86"/>
        <v>12</v>
      </c>
      <c r="E953" s="34" t="str">
        <f t="shared" si="87"/>
        <v>December</v>
      </c>
      <c r="F953" s="44">
        <v>45663</v>
      </c>
      <c r="G953" t="s">
        <v>1439</v>
      </c>
      <c r="H953" t="s">
        <v>1440</v>
      </c>
      <c r="I953" t="s">
        <v>29</v>
      </c>
      <c r="J953" t="s">
        <v>30</v>
      </c>
      <c r="K953" t="s">
        <v>297</v>
      </c>
      <c r="L953" t="s">
        <v>298</v>
      </c>
      <c r="M953" t="s">
        <v>46</v>
      </c>
      <c r="N953" t="s">
        <v>1074</v>
      </c>
      <c r="O953" t="s">
        <v>35</v>
      </c>
      <c r="P953" t="s">
        <v>111</v>
      </c>
      <c r="Q953" t="s">
        <v>1075</v>
      </c>
      <c r="R953">
        <v>1228.25</v>
      </c>
      <c r="S953">
        <v>5</v>
      </c>
      <c r="T953">
        <v>0.15</v>
      </c>
      <c r="U953" s="34" t="str">
        <f t="shared" si="88"/>
        <v>Medium</v>
      </c>
      <c r="V953">
        <v>109.24</v>
      </c>
      <c r="W953" s="29">
        <f t="shared" si="89"/>
        <v>0.0889395481375941</v>
      </c>
      <c r="X953">
        <v>45.27</v>
      </c>
      <c r="Y953" t="s">
        <v>137</v>
      </c>
      <c r="Z953" s="34" t="str">
        <f t="shared" si="90"/>
        <v>Medium</v>
      </c>
    </row>
    <row r="954" spans="1:26">
      <c r="A954" t="s">
        <v>1843</v>
      </c>
      <c r="B954" s="44">
        <v>45481</v>
      </c>
      <c r="C954" s="34">
        <f t="shared" si="85"/>
        <v>2024</v>
      </c>
      <c r="D954" s="34">
        <f t="shared" si="86"/>
        <v>7</v>
      </c>
      <c r="E954" s="34" t="str">
        <f t="shared" si="87"/>
        <v>July</v>
      </c>
      <c r="F954" s="44">
        <v>45488</v>
      </c>
      <c r="G954" t="s">
        <v>811</v>
      </c>
      <c r="H954" t="s">
        <v>812</v>
      </c>
      <c r="I954" t="s">
        <v>42</v>
      </c>
      <c r="J954" t="s">
        <v>43</v>
      </c>
      <c r="K954" t="s">
        <v>331</v>
      </c>
      <c r="L954" t="s">
        <v>813</v>
      </c>
      <c r="M954" t="s">
        <v>58</v>
      </c>
      <c r="N954" t="s">
        <v>321</v>
      </c>
      <c r="O954" t="s">
        <v>48</v>
      </c>
      <c r="P954" t="s">
        <v>190</v>
      </c>
      <c r="Q954" t="s">
        <v>322</v>
      </c>
      <c r="R954">
        <v>59</v>
      </c>
      <c r="S954">
        <v>1</v>
      </c>
      <c r="T954">
        <v>0</v>
      </c>
      <c r="U954" s="34" t="str">
        <f t="shared" si="88"/>
        <v>No Discount</v>
      </c>
      <c r="V954">
        <v>-14.99</v>
      </c>
      <c r="W954" s="29">
        <f t="shared" si="89"/>
        <v>-0.254067796610169</v>
      </c>
      <c r="X954">
        <v>34.23</v>
      </c>
      <c r="Y954" t="s">
        <v>137</v>
      </c>
      <c r="Z954" s="34" t="str">
        <f t="shared" si="90"/>
        <v>Small</v>
      </c>
    </row>
    <row r="955" spans="1:26">
      <c r="A955" t="s">
        <v>1844</v>
      </c>
      <c r="B955" s="44">
        <v>44405</v>
      </c>
      <c r="C955" s="34">
        <f t="shared" si="85"/>
        <v>2021</v>
      </c>
      <c r="D955" s="34">
        <f t="shared" si="86"/>
        <v>7</v>
      </c>
      <c r="E955" s="34" t="str">
        <f t="shared" si="87"/>
        <v>July</v>
      </c>
      <c r="F955" s="44">
        <v>44408</v>
      </c>
      <c r="G955" t="s">
        <v>477</v>
      </c>
      <c r="H955" t="s">
        <v>478</v>
      </c>
      <c r="I955" t="s">
        <v>55</v>
      </c>
      <c r="J955" t="s">
        <v>43</v>
      </c>
      <c r="K955" t="s">
        <v>84</v>
      </c>
      <c r="L955" t="s">
        <v>366</v>
      </c>
      <c r="M955" t="s">
        <v>33</v>
      </c>
      <c r="N955" t="s">
        <v>86</v>
      </c>
      <c r="O955" t="s">
        <v>67</v>
      </c>
      <c r="P955" t="s">
        <v>87</v>
      </c>
      <c r="Q955" t="s">
        <v>88</v>
      </c>
      <c r="R955">
        <v>186.2</v>
      </c>
      <c r="S955">
        <v>4</v>
      </c>
      <c r="T955">
        <v>0.05</v>
      </c>
      <c r="U955" s="34" t="str">
        <f t="shared" si="88"/>
        <v>Low</v>
      </c>
      <c r="V955">
        <v>22.11</v>
      </c>
      <c r="W955" s="29">
        <f t="shared" si="89"/>
        <v>0.1187432867884</v>
      </c>
      <c r="X955">
        <v>19.39</v>
      </c>
      <c r="Y955" t="s">
        <v>51</v>
      </c>
      <c r="Z955" s="34" t="str">
        <f t="shared" si="90"/>
        <v>Small</v>
      </c>
    </row>
    <row r="956" spans="1:26">
      <c r="A956" t="s">
        <v>1845</v>
      </c>
      <c r="B956" s="44">
        <v>45572</v>
      </c>
      <c r="C956" s="34">
        <f t="shared" si="85"/>
        <v>2024</v>
      </c>
      <c r="D956" s="34">
        <f t="shared" si="86"/>
        <v>10</v>
      </c>
      <c r="E956" s="34" t="str">
        <f t="shared" si="87"/>
        <v>October</v>
      </c>
      <c r="F956" s="44">
        <v>45575</v>
      </c>
      <c r="G956" t="s">
        <v>306</v>
      </c>
      <c r="H956" t="s">
        <v>307</v>
      </c>
      <c r="I956" t="s">
        <v>55</v>
      </c>
      <c r="J956" t="s">
        <v>43</v>
      </c>
      <c r="K956" t="s">
        <v>116</v>
      </c>
      <c r="L956" t="s">
        <v>117</v>
      </c>
      <c r="M956" t="s">
        <v>33</v>
      </c>
      <c r="N956" t="s">
        <v>189</v>
      </c>
      <c r="O956" t="s">
        <v>48</v>
      </c>
      <c r="P956" t="s">
        <v>190</v>
      </c>
      <c r="Q956" t="s">
        <v>191</v>
      </c>
      <c r="R956">
        <v>33.25</v>
      </c>
      <c r="S956">
        <v>1</v>
      </c>
      <c r="T956">
        <v>0.05</v>
      </c>
      <c r="U956" s="34" t="str">
        <f t="shared" si="88"/>
        <v>Low</v>
      </c>
      <c r="V956">
        <v>-12.09</v>
      </c>
      <c r="W956" s="29">
        <f t="shared" si="89"/>
        <v>-0.363609022556391</v>
      </c>
      <c r="X956">
        <v>31.42</v>
      </c>
      <c r="Y956" t="s">
        <v>137</v>
      </c>
      <c r="Z956" s="34" t="str">
        <f t="shared" si="90"/>
        <v>Small</v>
      </c>
    </row>
    <row r="957" spans="1:26">
      <c r="A957" t="s">
        <v>1846</v>
      </c>
      <c r="B957" s="44">
        <v>44854</v>
      </c>
      <c r="C957" s="34">
        <f t="shared" si="85"/>
        <v>2022</v>
      </c>
      <c r="D957" s="34">
        <f t="shared" si="86"/>
        <v>10</v>
      </c>
      <c r="E957" s="34" t="str">
        <f t="shared" si="87"/>
        <v>October</v>
      </c>
      <c r="F957" s="44">
        <v>44855</v>
      </c>
      <c r="G957" t="s">
        <v>394</v>
      </c>
      <c r="H957" t="s">
        <v>395</v>
      </c>
      <c r="I957" t="s">
        <v>29</v>
      </c>
      <c r="J957" t="s">
        <v>30</v>
      </c>
      <c r="K957" t="s">
        <v>199</v>
      </c>
      <c r="L957" t="s">
        <v>396</v>
      </c>
      <c r="M957" t="s">
        <v>46</v>
      </c>
      <c r="N957" t="s">
        <v>118</v>
      </c>
      <c r="O957" t="s">
        <v>67</v>
      </c>
      <c r="P957" t="s">
        <v>119</v>
      </c>
      <c r="Q957" t="s">
        <v>120</v>
      </c>
      <c r="R957">
        <v>5095.75</v>
      </c>
      <c r="S957">
        <v>5</v>
      </c>
      <c r="T957">
        <v>0.15</v>
      </c>
      <c r="U957" s="34" t="str">
        <f t="shared" si="88"/>
        <v>Medium</v>
      </c>
      <c r="V957">
        <v>750.3</v>
      </c>
      <c r="W957" s="29">
        <f t="shared" si="89"/>
        <v>0.14724034734828</v>
      </c>
      <c r="X957">
        <v>46.89</v>
      </c>
      <c r="Y957" t="s">
        <v>80</v>
      </c>
      <c r="Z957" s="34" t="str">
        <f t="shared" si="90"/>
        <v>Large</v>
      </c>
    </row>
    <row r="958" spans="1:26">
      <c r="A958" t="s">
        <v>1847</v>
      </c>
      <c r="B958" s="44">
        <v>44563</v>
      </c>
      <c r="C958" s="34">
        <f t="shared" si="85"/>
        <v>2022</v>
      </c>
      <c r="D958" s="34">
        <f t="shared" si="86"/>
        <v>1</v>
      </c>
      <c r="E958" s="34" t="str">
        <f t="shared" si="87"/>
        <v>January</v>
      </c>
      <c r="F958" s="44">
        <v>44565</v>
      </c>
      <c r="G958" t="s">
        <v>1631</v>
      </c>
      <c r="H958" t="s">
        <v>1632</v>
      </c>
      <c r="I958" t="s">
        <v>55</v>
      </c>
      <c r="J958" t="s">
        <v>43</v>
      </c>
      <c r="K958" t="s">
        <v>44</v>
      </c>
      <c r="L958" t="s">
        <v>439</v>
      </c>
      <c r="M958" t="s">
        <v>46</v>
      </c>
      <c r="N958" t="s">
        <v>698</v>
      </c>
      <c r="O958" t="s">
        <v>35</v>
      </c>
      <c r="P958" t="s">
        <v>36</v>
      </c>
      <c r="Q958" t="s">
        <v>699</v>
      </c>
      <c r="R958">
        <v>565.25</v>
      </c>
      <c r="S958">
        <v>1</v>
      </c>
      <c r="T958">
        <v>0.05</v>
      </c>
      <c r="U958" s="34" t="str">
        <f t="shared" si="88"/>
        <v>Low</v>
      </c>
      <c r="V958">
        <v>-38.63</v>
      </c>
      <c r="W958" s="29">
        <f t="shared" si="89"/>
        <v>-0.0683414418398939</v>
      </c>
      <c r="X958">
        <v>34.56</v>
      </c>
      <c r="Y958" t="s">
        <v>51</v>
      </c>
      <c r="Z958" s="34" t="str">
        <f t="shared" si="90"/>
        <v>Medium</v>
      </c>
    </row>
    <row r="959" spans="1:26">
      <c r="A959" t="s">
        <v>1848</v>
      </c>
      <c r="B959" s="44">
        <v>44259</v>
      </c>
      <c r="C959" s="34">
        <f t="shared" si="85"/>
        <v>2021</v>
      </c>
      <c r="D959" s="34">
        <f t="shared" si="86"/>
        <v>3</v>
      </c>
      <c r="E959" s="34" t="str">
        <f t="shared" si="87"/>
        <v>March</v>
      </c>
      <c r="F959" s="44">
        <v>44265</v>
      </c>
      <c r="G959" t="s">
        <v>1449</v>
      </c>
      <c r="H959" t="s">
        <v>1450</v>
      </c>
      <c r="I959" t="s">
        <v>29</v>
      </c>
      <c r="J959" t="s">
        <v>43</v>
      </c>
      <c r="K959" t="s">
        <v>100</v>
      </c>
      <c r="L959" t="s">
        <v>420</v>
      </c>
      <c r="M959" t="s">
        <v>33</v>
      </c>
      <c r="N959" t="s">
        <v>582</v>
      </c>
      <c r="O959" t="s">
        <v>35</v>
      </c>
      <c r="P959" t="s">
        <v>78</v>
      </c>
      <c r="Q959" t="s">
        <v>583</v>
      </c>
      <c r="R959">
        <v>2370.25</v>
      </c>
      <c r="S959">
        <v>5</v>
      </c>
      <c r="T959">
        <v>0.05</v>
      </c>
      <c r="U959" s="34" t="str">
        <f t="shared" si="88"/>
        <v>Low</v>
      </c>
      <c r="V959">
        <v>280.18</v>
      </c>
      <c r="W959" s="29">
        <f t="shared" si="89"/>
        <v>0.118206940196182</v>
      </c>
      <c r="X959">
        <v>14.17</v>
      </c>
      <c r="Y959" t="s">
        <v>96</v>
      </c>
      <c r="Z959" s="34" t="str">
        <f t="shared" si="90"/>
        <v>Large</v>
      </c>
    </row>
    <row r="960" spans="1:26">
      <c r="A960" t="s">
        <v>1849</v>
      </c>
      <c r="B960" s="44">
        <v>44759</v>
      </c>
      <c r="C960" s="34">
        <f t="shared" si="85"/>
        <v>2022</v>
      </c>
      <c r="D960" s="34">
        <f t="shared" si="86"/>
        <v>7</v>
      </c>
      <c r="E960" s="34" t="str">
        <f t="shared" si="87"/>
        <v>July</v>
      </c>
      <c r="F960" s="44">
        <v>44765</v>
      </c>
      <c r="G960" t="s">
        <v>1296</v>
      </c>
      <c r="H960" t="s">
        <v>1297</v>
      </c>
      <c r="I960" t="s">
        <v>42</v>
      </c>
      <c r="J960" t="s">
        <v>30</v>
      </c>
      <c r="K960" t="s">
        <v>273</v>
      </c>
      <c r="L960" t="s">
        <v>468</v>
      </c>
      <c r="M960" t="s">
        <v>46</v>
      </c>
      <c r="N960" t="s">
        <v>1074</v>
      </c>
      <c r="O960" t="s">
        <v>35</v>
      </c>
      <c r="P960" t="s">
        <v>111</v>
      </c>
      <c r="Q960" t="s">
        <v>1075</v>
      </c>
      <c r="R960">
        <v>289</v>
      </c>
      <c r="S960">
        <v>1</v>
      </c>
      <c r="T960">
        <v>0</v>
      </c>
      <c r="U960" s="34" t="str">
        <f t="shared" si="88"/>
        <v>No Discount</v>
      </c>
      <c r="V960">
        <v>47.64</v>
      </c>
      <c r="W960" s="29">
        <f t="shared" si="89"/>
        <v>0.164844290657439</v>
      </c>
      <c r="X960">
        <v>33.86</v>
      </c>
      <c r="Y960" t="s">
        <v>62</v>
      </c>
      <c r="Z960" s="34" t="str">
        <f t="shared" si="90"/>
        <v>Small</v>
      </c>
    </row>
    <row r="961" spans="1:26">
      <c r="A961" t="s">
        <v>1850</v>
      </c>
      <c r="B961" s="44">
        <v>44909</v>
      </c>
      <c r="C961" s="34">
        <f t="shared" si="85"/>
        <v>2022</v>
      </c>
      <c r="D961" s="34">
        <f t="shared" si="86"/>
        <v>12</v>
      </c>
      <c r="E961" s="34" t="str">
        <f t="shared" si="87"/>
        <v>December</v>
      </c>
      <c r="F961" s="44">
        <v>44913</v>
      </c>
      <c r="G961" t="s">
        <v>615</v>
      </c>
      <c r="H961" t="s">
        <v>616</v>
      </c>
      <c r="I961" t="s">
        <v>55</v>
      </c>
      <c r="J961" t="s">
        <v>30</v>
      </c>
      <c r="K961" t="s">
        <v>233</v>
      </c>
      <c r="L961" t="s">
        <v>234</v>
      </c>
      <c r="M961" t="s">
        <v>46</v>
      </c>
      <c r="N961" t="s">
        <v>474</v>
      </c>
      <c r="O961" t="s">
        <v>35</v>
      </c>
      <c r="P961" t="s">
        <v>78</v>
      </c>
      <c r="Q961" t="s">
        <v>475</v>
      </c>
      <c r="R961">
        <v>2517.9</v>
      </c>
      <c r="S961">
        <v>3</v>
      </c>
      <c r="T961">
        <v>0.3</v>
      </c>
      <c r="U961" s="34" t="str">
        <f t="shared" si="88"/>
        <v>High</v>
      </c>
      <c r="V961">
        <v>-140.02</v>
      </c>
      <c r="W961" s="29">
        <f t="shared" si="89"/>
        <v>-0.055609833591485</v>
      </c>
      <c r="X961">
        <v>47.07</v>
      </c>
      <c r="Y961" t="s">
        <v>62</v>
      </c>
      <c r="Z961" s="34" t="str">
        <f t="shared" si="90"/>
        <v>Large</v>
      </c>
    </row>
    <row r="962" spans="1:26">
      <c r="A962" t="s">
        <v>1851</v>
      </c>
      <c r="B962" s="44">
        <v>45347</v>
      </c>
      <c r="C962" s="34">
        <f t="shared" ref="C962:C1025" si="91">YEAR(B962)</f>
        <v>2024</v>
      </c>
      <c r="D962" s="34">
        <f t="shared" ref="D962:D1025" si="92">MONTH(B962)</f>
        <v>2</v>
      </c>
      <c r="E962" s="34" t="str">
        <f t="shared" ref="E962:E1025" si="93">TEXT(B962,"mmmm")</f>
        <v>February</v>
      </c>
      <c r="F962" s="44">
        <v>45349</v>
      </c>
      <c r="G962" t="s">
        <v>853</v>
      </c>
      <c r="H962" t="s">
        <v>854</v>
      </c>
      <c r="I962" t="s">
        <v>29</v>
      </c>
      <c r="J962" t="s">
        <v>43</v>
      </c>
      <c r="K962" t="s">
        <v>180</v>
      </c>
      <c r="L962" t="s">
        <v>181</v>
      </c>
      <c r="M962" t="s">
        <v>46</v>
      </c>
      <c r="N962" t="s">
        <v>474</v>
      </c>
      <c r="O962" t="s">
        <v>35</v>
      </c>
      <c r="P962" t="s">
        <v>78</v>
      </c>
      <c r="Q962" t="s">
        <v>475</v>
      </c>
      <c r="R962">
        <v>5995</v>
      </c>
      <c r="S962">
        <v>5</v>
      </c>
      <c r="T962">
        <v>0</v>
      </c>
      <c r="U962" s="34" t="str">
        <f t="shared" ref="U962:U1025" si="94">IF(T962=0,"No Discount",IF(T962&lt;=0.1,"Low",IF(T962&lt;=0.2,"Medium","High")))</f>
        <v>No Discount</v>
      </c>
      <c r="V962">
        <v>-308.7</v>
      </c>
      <c r="W962" s="29">
        <f t="shared" ref="W962:W1025" si="95">V962/R962</f>
        <v>-0.0514929107589658</v>
      </c>
      <c r="X962">
        <v>29.84</v>
      </c>
      <c r="Y962" t="s">
        <v>38</v>
      </c>
      <c r="Z962" s="34" t="str">
        <f t="shared" ref="Z962:Z1025" si="96">IF(R962&lt;500,"Small",IF(R962&lt;=2000,"Medium","Large"))</f>
        <v>Large</v>
      </c>
    </row>
    <row r="963" spans="1:26">
      <c r="A963" t="s">
        <v>1852</v>
      </c>
      <c r="B963" s="44">
        <v>44502</v>
      </c>
      <c r="C963" s="34">
        <f t="shared" si="91"/>
        <v>2021</v>
      </c>
      <c r="D963" s="34">
        <f t="shared" si="92"/>
        <v>11</v>
      </c>
      <c r="E963" s="34" t="str">
        <f t="shared" si="93"/>
        <v>November</v>
      </c>
      <c r="F963" s="44">
        <v>44509</v>
      </c>
      <c r="G963" t="s">
        <v>480</v>
      </c>
      <c r="H963" t="s">
        <v>481</v>
      </c>
      <c r="I963" t="s">
        <v>29</v>
      </c>
      <c r="J963" t="s">
        <v>43</v>
      </c>
      <c r="K963" t="s">
        <v>257</v>
      </c>
      <c r="L963" t="s">
        <v>258</v>
      </c>
      <c r="M963" t="s">
        <v>76</v>
      </c>
      <c r="N963" t="s">
        <v>312</v>
      </c>
      <c r="O963" t="s">
        <v>48</v>
      </c>
      <c r="P963" t="s">
        <v>49</v>
      </c>
      <c r="Q963" t="s">
        <v>313</v>
      </c>
      <c r="R963">
        <v>146.25</v>
      </c>
      <c r="S963">
        <v>5</v>
      </c>
      <c r="T963">
        <v>0.25</v>
      </c>
      <c r="U963" s="34" t="str">
        <f t="shared" si="94"/>
        <v>High</v>
      </c>
      <c r="V963">
        <v>29.11</v>
      </c>
      <c r="W963" s="29">
        <f t="shared" si="95"/>
        <v>0.199042735042735</v>
      </c>
      <c r="X963">
        <v>10.23</v>
      </c>
      <c r="Y963" t="s">
        <v>62</v>
      </c>
      <c r="Z963" s="34" t="str">
        <f t="shared" si="96"/>
        <v>Small</v>
      </c>
    </row>
    <row r="964" spans="1:26">
      <c r="A964" t="s">
        <v>1853</v>
      </c>
      <c r="B964" s="44">
        <v>43912</v>
      </c>
      <c r="C964" s="34">
        <f t="shared" si="91"/>
        <v>2020</v>
      </c>
      <c r="D964" s="34">
        <f t="shared" si="92"/>
        <v>3</v>
      </c>
      <c r="E964" s="34" t="str">
        <f t="shared" si="93"/>
        <v>March</v>
      </c>
      <c r="F964" s="44">
        <v>43915</v>
      </c>
      <c r="G964" t="s">
        <v>1100</v>
      </c>
      <c r="H964" t="s">
        <v>261</v>
      </c>
      <c r="I964" t="s">
        <v>42</v>
      </c>
      <c r="J964" t="s">
        <v>43</v>
      </c>
      <c r="K964" t="s">
        <v>175</v>
      </c>
      <c r="L964" t="s">
        <v>176</v>
      </c>
      <c r="M964" t="s">
        <v>46</v>
      </c>
      <c r="N964" t="s">
        <v>421</v>
      </c>
      <c r="O964" t="s">
        <v>67</v>
      </c>
      <c r="P964" t="s">
        <v>252</v>
      </c>
      <c r="Q964" t="s">
        <v>422</v>
      </c>
      <c r="R964">
        <v>2054.4</v>
      </c>
      <c r="S964">
        <v>3</v>
      </c>
      <c r="T964">
        <v>0.2</v>
      </c>
      <c r="U964" s="34" t="str">
        <f t="shared" si="94"/>
        <v>Medium</v>
      </c>
      <c r="V964">
        <v>403.86</v>
      </c>
      <c r="W964" s="29">
        <f t="shared" si="95"/>
        <v>0.196582943925234</v>
      </c>
      <c r="X964">
        <v>23.41</v>
      </c>
      <c r="Y964" t="s">
        <v>62</v>
      </c>
      <c r="Z964" s="34" t="str">
        <f t="shared" si="96"/>
        <v>Large</v>
      </c>
    </row>
    <row r="965" spans="1:26">
      <c r="A965" t="s">
        <v>1854</v>
      </c>
      <c r="B965" s="44">
        <v>45279</v>
      </c>
      <c r="C965" s="34">
        <f t="shared" si="91"/>
        <v>2023</v>
      </c>
      <c r="D965" s="34">
        <f t="shared" si="92"/>
        <v>12</v>
      </c>
      <c r="E965" s="34" t="str">
        <f t="shared" si="93"/>
        <v>December</v>
      </c>
      <c r="F965" s="44">
        <v>45280</v>
      </c>
      <c r="G965" t="s">
        <v>861</v>
      </c>
      <c r="H965" t="s">
        <v>862</v>
      </c>
      <c r="I965" t="s">
        <v>42</v>
      </c>
      <c r="J965" t="s">
        <v>43</v>
      </c>
      <c r="K965" t="s">
        <v>640</v>
      </c>
      <c r="L965" t="s">
        <v>863</v>
      </c>
      <c r="M965" t="s">
        <v>76</v>
      </c>
      <c r="N965" t="s">
        <v>155</v>
      </c>
      <c r="O965" t="s">
        <v>67</v>
      </c>
      <c r="P965" t="s">
        <v>119</v>
      </c>
      <c r="Q965" t="s">
        <v>156</v>
      </c>
      <c r="R965">
        <v>2164.95</v>
      </c>
      <c r="S965">
        <v>3</v>
      </c>
      <c r="T965">
        <v>0.15</v>
      </c>
      <c r="U965" s="34" t="str">
        <f t="shared" si="94"/>
        <v>Medium</v>
      </c>
      <c r="V965">
        <v>213</v>
      </c>
      <c r="W965" s="29">
        <f t="shared" si="95"/>
        <v>0.0983856440102543</v>
      </c>
      <c r="X965">
        <v>11.66</v>
      </c>
      <c r="Y965" t="s">
        <v>51</v>
      </c>
      <c r="Z965" s="34" t="str">
        <f t="shared" si="96"/>
        <v>Large</v>
      </c>
    </row>
    <row r="966" spans="1:26">
      <c r="A966" t="s">
        <v>1855</v>
      </c>
      <c r="B966" s="44">
        <v>43891</v>
      </c>
      <c r="C966" s="34">
        <f t="shared" si="91"/>
        <v>2020</v>
      </c>
      <c r="D966" s="34">
        <f t="shared" si="92"/>
        <v>3</v>
      </c>
      <c r="E966" s="34" t="str">
        <f t="shared" si="93"/>
        <v>March</v>
      </c>
      <c r="F966" s="44">
        <v>43896</v>
      </c>
      <c r="G966" t="s">
        <v>1360</v>
      </c>
      <c r="H966" t="s">
        <v>413</v>
      </c>
      <c r="I966" t="s">
        <v>29</v>
      </c>
      <c r="J966" t="s">
        <v>30</v>
      </c>
      <c r="K966" t="s">
        <v>472</v>
      </c>
      <c r="L966" t="s">
        <v>1361</v>
      </c>
      <c r="M966" t="s">
        <v>58</v>
      </c>
      <c r="N966" t="s">
        <v>582</v>
      </c>
      <c r="O966" t="s">
        <v>35</v>
      </c>
      <c r="P966" t="s">
        <v>78</v>
      </c>
      <c r="Q966" t="s">
        <v>583</v>
      </c>
      <c r="R966">
        <v>748.5</v>
      </c>
      <c r="S966">
        <v>2</v>
      </c>
      <c r="T966">
        <v>0.25</v>
      </c>
      <c r="U966" s="34" t="str">
        <f t="shared" si="94"/>
        <v>High</v>
      </c>
      <c r="V966">
        <v>126.68</v>
      </c>
      <c r="W966" s="29">
        <f t="shared" si="95"/>
        <v>0.169245156980628</v>
      </c>
      <c r="X966">
        <v>26.83</v>
      </c>
      <c r="Y966" t="s">
        <v>80</v>
      </c>
      <c r="Z966" s="34" t="str">
        <f t="shared" si="96"/>
        <v>Medium</v>
      </c>
    </row>
    <row r="967" spans="1:26">
      <c r="A967" t="s">
        <v>1856</v>
      </c>
      <c r="B967" s="44">
        <v>45603</v>
      </c>
      <c r="C967" s="34">
        <f t="shared" si="91"/>
        <v>2024</v>
      </c>
      <c r="D967" s="34">
        <f t="shared" si="92"/>
        <v>11</v>
      </c>
      <c r="E967" s="34" t="str">
        <f t="shared" si="93"/>
        <v>November</v>
      </c>
      <c r="F967" s="44">
        <v>45604</v>
      </c>
      <c r="G967" t="s">
        <v>1265</v>
      </c>
      <c r="H967" t="s">
        <v>1266</v>
      </c>
      <c r="I967" t="s">
        <v>42</v>
      </c>
      <c r="J967" t="s">
        <v>43</v>
      </c>
      <c r="K967" t="s">
        <v>273</v>
      </c>
      <c r="L967" t="s">
        <v>468</v>
      </c>
      <c r="M967" t="s">
        <v>46</v>
      </c>
      <c r="N967" t="s">
        <v>582</v>
      </c>
      <c r="O967" t="s">
        <v>35</v>
      </c>
      <c r="P967" t="s">
        <v>78</v>
      </c>
      <c r="Q967" t="s">
        <v>583</v>
      </c>
      <c r="R967">
        <v>798.4</v>
      </c>
      <c r="S967">
        <v>2</v>
      </c>
      <c r="T967">
        <v>0.2</v>
      </c>
      <c r="U967" s="34" t="str">
        <f t="shared" si="94"/>
        <v>Medium</v>
      </c>
      <c r="V967">
        <v>-74.85</v>
      </c>
      <c r="W967" s="29">
        <f t="shared" si="95"/>
        <v>-0.09375</v>
      </c>
      <c r="X967">
        <v>36.6</v>
      </c>
      <c r="Y967" t="s">
        <v>70</v>
      </c>
      <c r="Z967" s="34" t="str">
        <f t="shared" si="96"/>
        <v>Medium</v>
      </c>
    </row>
    <row r="968" spans="1:26">
      <c r="A968" t="s">
        <v>1857</v>
      </c>
      <c r="B968" s="44">
        <v>45319</v>
      </c>
      <c r="C968" s="34">
        <f t="shared" si="91"/>
        <v>2024</v>
      </c>
      <c r="D968" s="34">
        <f t="shared" si="92"/>
        <v>1</v>
      </c>
      <c r="E968" s="34" t="str">
        <f t="shared" si="93"/>
        <v>January</v>
      </c>
      <c r="F968" s="44">
        <v>45326</v>
      </c>
      <c r="G968" t="s">
        <v>901</v>
      </c>
      <c r="H968" t="s">
        <v>902</v>
      </c>
      <c r="I968" t="s">
        <v>42</v>
      </c>
      <c r="J968" t="s">
        <v>43</v>
      </c>
      <c r="K968" t="s">
        <v>262</v>
      </c>
      <c r="L968" t="s">
        <v>568</v>
      </c>
      <c r="M968" t="s">
        <v>58</v>
      </c>
      <c r="N968" t="s">
        <v>415</v>
      </c>
      <c r="O968" t="s">
        <v>67</v>
      </c>
      <c r="P968" t="s">
        <v>252</v>
      </c>
      <c r="Q968" t="s">
        <v>416</v>
      </c>
      <c r="R968">
        <v>1795.5</v>
      </c>
      <c r="S968">
        <v>5</v>
      </c>
      <c r="T968">
        <v>0.1</v>
      </c>
      <c r="U968" s="34" t="str">
        <f t="shared" si="94"/>
        <v>Low</v>
      </c>
      <c r="V968">
        <v>177.22</v>
      </c>
      <c r="W968" s="29">
        <f t="shared" si="95"/>
        <v>0.0987023113338903</v>
      </c>
      <c r="X968">
        <v>7.76</v>
      </c>
      <c r="Y968" t="s">
        <v>51</v>
      </c>
      <c r="Z968" s="34" t="str">
        <f t="shared" si="96"/>
        <v>Medium</v>
      </c>
    </row>
    <row r="969" spans="1:26">
      <c r="A969" t="s">
        <v>1858</v>
      </c>
      <c r="B969" s="44">
        <v>45423</v>
      </c>
      <c r="C969" s="34">
        <f t="shared" si="91"/>
        <v>2024</v>
      </c>
      <c r="D969" s="34">
        <f t="shared" si="92"/>
        <v>5</v>
      </c>
      <c r="E969" s="34" t="str">
        <f t="shared" si="93"/>
        <v>May</v>
      </c>
      <c r="F969" s="44">
        <v>45425</v>
      </c>
      <c r="G969" t="s">
        <v>1127</v>
      </c>
      <c r="H969" t="s">
        <v>1128</v>
      </c>
      <c r="I969" t="s">
        <v>42</v>
      </c>
      <c r="J969" t="s">
        <v>43</v>
      </c>
      <c r="K969" t="s">
        <v>199</v>
      </c>
      <c r="L969" t="s">
        <v>200</v>
      </c>
      <c r="M969" t="s">
        <v>46</v>
      </c>
      <c r="N969" t="s">
        <v>421</v>
      </c>
      <c r="O969" t="s">
        <v>67</v>
      </c>
      <c r="P969" t="s">
        <v>252</v>
      </c>
      <c r="Q969" t="s">
        <v>422</v>
      </c>
      <c r="R969">
        <v>642</v>
      </c>
      <c r="S969">
        <v>1</v>
      </c>
      <c r="T969">
        <v>0.25</v>
      </c>
      <c r="U969" s="34" t="str">
        <f t="shared" si="94"/>
        <v>High</v>
      </c>
      <c r="V969">
        <v>93.71</v>
      </c>
      <c r="W969" s="29">
        <f t="shared" si="95"/>
        <v>0.145965732087227</v>
      </c>
      <c r="X969">
        <v>8.63</v>
      </c>
      <c r="Y969" t="s">
        <v>51</v>
      </c>
      <c r="Z969" s="34" t="str">
        <f t="shared" si="96"/>
        <v>Medium</v>
      </c>
    </row>
    <row r="970" spans="1:26">
      <c r="A970" t="s">
        <v>1859</v>
      </c>
      <c r="B970" s="44">
        <v>45381</v>
      </c>
      <c r="C970" s="34">
        <f t="shared" si="91"/>
        <v>2024</v>
      </c>
      <c r="D970" s="34">
        <f t="shared" si="92"/>
        <v>3</v>
      </c>
      <c r="E970" s="34" t="str">
        <f t="shared" si="93"/>
        <v>March</v>
      </c>
      <c r="F970" s="44">
        <v>45384</v>
      </c>
      <c r="G970" t="s">
        <v>1268</v>
      </c>
      <c r="H970" t="s">
        <v>518</v>
      </c>
      <c r="I970" t="s">
        <v>29</v>
      </c>
      <c r="J970" t="s">
        <v>43</v>
      </c>
      <c r="K970" t="s">
        <v>297</v>
      </c>
      <c r="L970" t="s">
        <v>887</v>
      </c>
      <c r="M970" t="s">
        <v>46</v>
      </c>
      <c r="N970" t="s">
        <v>94</v>
      </c>
      <c r="O970" t="s">
        <v>35</v>
      </c>
      <c r="P970" t="s">
        <v>36</v>
      </c>
      <c r="Q970" t="s">
        <v>95</v>
      </c>
      <c r="R970">
        <v>6780</v>
      </c>
      <c r="S970">
        <v>5</v>
      </c>
      <c r="T970">
        <v>0.2</v>
      </c>
      <c r="U970" s="34" t="str">
        <f t="shared" si="94"/>
        <v>Medium</v>
      </c>
      <c r="V970">
        <v>-345.04</v>
      </c>
      <c r="W970" s="29">
        <f t="shared" si="95"/>
        <v>-0.0508908554572271</v>
      </c>
      <c r="X970">
        <v>20.14</v>
      </c>
      <c r="Y970" t="s">
        <v>70</v>
      </c>
      <c r="Z970" s="34" t="str">
        <f t="shared" si="96"/>
        <v>Large</v>
      </c>
    </row>
    <row r="971" spans="1:26">
      <c r="A971" t="s">
        <v>1860</v>
      </c>
      <c r="B971" s="44">
        <v>45651</v>
      </c>
      <c r="C971" s="34">
        <f t="shared" si="91"/>
        <v>2024</v>
      </c>
      <c r="D971" s="34">
        <f t="shared" si="92"/>
        <v>12</v>
      </c>
      <c r="E971" s="34" t="str">
        <f t="shared" si="93"/>
        <v>December</v>
      </c>
      <c r="F971" s="44">
        <v>45655</v>
      </c>
      <c r="G971" t="s">
        <v>527</v>
      </c>
      <c r="H971" t="s">
        <v>528</v>
      </c>
      <c r="I971" t="s">
        <v>55</v>
      </c>
      <c r="J971" t="s">
        <v>30</v>
      </c>
      <c r="K971" t="s">
        <v>273</v>
      </c>
      <c r="L971" t="s">
        <v>468</v>
      </c>
      <c r="M971" t="s">
        <v>46</v>
      </c>
      <c r="N971" t="s">
        <v>388</v>
      </c>
      <c r="O971" t="s">
        <v>48</v>
      </c>
      <c r="P971" t="s">
        <v>190</v>
      </c>
      <c r="Q971" t="s">
        <v>389</v>
      </c>
      <c r="R971">
        <v>320.4</v>
      </c>
      <c r="S971">
        <v>4</v>
      </c>
      <c r="T971">
        <v>0.1</v>
      </c>
      <c r="U971" s="34" t="str">
        <f t="shared" si="94"/>
        <v>Low</v>
      </c>
      <c r="V971">
        <v>61.41</v>
      </c>
      <c r="W971" s="29">
        <f t="shared" si="95"/>
        <v>0.191666666666667</v>
      </c>
      <c r="X971">
        <v>8.91</v>
      </c>
      <c r="Y971" t="s">
        <v>96</v>
      </c>
      <c r="Z971" s="34" t="str">
        <f t="shared" si="96"/>
        <v>Small</v>
      </c>
    </row>
    <row r="972" spans="1:26">
      <c r="A972" t="s">
        <v>1861</v>
      </c>
      <c r="B972" s="44">
        <v>45122</v>
      </c>
      <c r="C972" s="34">
        <f t="shared" si="91"/>
        <v>2023</v>
      </c>
      <c r="D972" s="34">
        <f t="shared" si="92"/>
        <v>7</v>
      </c>
      <c r="E972" s="34" t="str">
        <f t="shared" si="93"/>
        <v>July</v>
      </c>
      <c r="F972" s="44">
        <v>45128</v>
      </c>
      <c r="G972" t="s">
        <v>470</v>
      </c>
      <c r="H972" t="s">
        <v>471</v>
      </c>
      <c r="I972" t="s">
        <v>29</v>
      </c>
      <c r="J972" t="s">
        <v>43</v>
      </c>
      <c r="K972" t="s">
        <v>472</v>
      </c>
      <c r="L972" t="s">
        <v>473</v>
      </c>
      <c r="M972" t="s">
        <v>58</v>
      </c>
      <c r="N972" t="s">
        <v>546</v>
      </c>
      <c r="O972" t="s">
        <v>35</v>
      </c>
      <c r="P972" t="s">
        <v>36</v>
      </c>
      <c r="Q972" t="s">
        <v>547</v>
      </c>
      <c r="R972">
        <v>4713.75</v>
      </c>
      <c r="S972">
        <v>3</v>
      </c>
      <c r="T972">
        <v>0.25</v>
      </c>
      <c r="U972" s="34" t="str">
        <f t="shared" si="94"/>
        <v>High</v>
      </c>
      <c r="V972">
        <v>468.73</v>
      </c>
      <c r="W972" s="29">
        <f t="shared" si="95"/>
        <v>0.0994388756298064</v>
      </c>
      <c r="X972">
        <v>8.82</v>
      </c>
      <c r="Y972" t="s">
        <v>121</v>
      </c>
      <c r="Z972" s="34" t="str">
        <f t="shared" si="96"/>
        <v>Large</v>
      </c>
    </row>
    <row r="973" spans="1:26">
      <c r="A973" t="s">
        <v>1862</v>
      </c>
      <c r="B973" s="44">
        <v>45350</v>
      </c>
      <c r="C973" s="34">
        <f t="shared" si="91"/>
        <v>2024</v>
      </c>
      <c r="D973" s="34">
        <f t="shared" si="92"/>
        <v>2</v>
      </c>
      <c r="E973" s="34" t="str">
        <f t="shared" si="93"/>
        <v>February</v>
      </c>
      <c r="F973" s="44">
        <v>45356</v>
      </c>
      <c r="G973" t="s">
        <v>803</v>
      </c>
      <c r="H973" t="s">
        <v>804</v>
      </c>
      <c r="I973" t="s">
        <v>55</v>
      </c>
      <c r="J973" t="s">
        <v>43</v>
      </c>
      <c r="K973" t="s">
        <v>551</v>
      </c>
      <c r="L973" t="s">
        <v>718</v>
      </c>
      <c r="M973" t="s">
        <v>33</v>
      </c>
      <c r="N973" t="s">
        <v>34</v>
      </c>
      <c r="O973" t="s">
        <v>35</v>
      </c>
      <c r="P973" t="s">
        <v>36</v>
      </c>
      <c r="Q973" t="s">
        <v>37</v>
      </c>
      <c r="R973">
        <v>336.75</v>
      </c>
      <c r="S973">
        <v>1</v>
      </c>
      <c r="T973">
        <v>0.25</v>
      </c>
      <c r="U973" s="34" t="str">
        <f t="shared" si="94"/>
        <v>High</v>
      </c>
      <c r="V973">
        <v>25.4</v>
      </c>
      <c r="W973" s="29">
        <f t="shared" si="95"/>
        <v>0.0754268745360059</v>
      </c>
      <c r="X973">
        <v>27.59</v>
      </c>
      <c r="Y973" t="s">
        <v>70</v>
      </c>
      <c r="Z973" s="34" t="str">
        <f t="shared" si="96"/>
        <v>Small</v>
      </c>
    </row>
    <row r="974" spans="1:26">
      <c r="A974" t="s">
        <v>1863</v>
      </c>
      <c r="B974" s="44">
        <v>45148</v>
      </c>
      <c r="C974" s="34">
        <f t="shared" si="91"/>
        <v>2023</v>
      </c>
      <c r="D974" s="34">
        <f t="shared" si="92"/>
        <v>8</v>
      </c>
      <c r="E974" s="34" t="str">
        <f t="shared" si="93"/>
        <v>August</v>
      </c>
      <c r="F974" s="44">
        <v>45154</v>
      </c>
      <c r="G974" t="s">
        <v>954</v>
      </c>
      <c r="H974" t="s">
        <v>955</v>
      </c>
      <c r="I974" t="s">
        <v>55</v>
      </c>
      <c r="J974" t="s">
        <v>43</v>
      </c>
      <c r="K974" t="s">
        <v>284</v>
      </c>
      <c r="L974" t="s">
        <v>956</v>
      </c>
      <c r="M974" t="s">
        <v>76</v>
      </c>
      <c r="N974" t="s">
        <v>582</v>
      </c>
      <c r="O974" t="s">
        <v>35</v>
      </c>
      <c r="P974" t="s">
        <v>78</v>
      </c>
      <c r="Q974" t="s">
        <v>583</v>
      </c>
      <c r="R974">
        <v>1397.2</v>
      </c>
      <c r="S974">
        <v>4</v>
      </c>
      <c r="T974">
        <v>0.3</v>
      </c>
      <c r="U974" s="34" t="str">
        <f t="shared" si="94"/>
        <v>High</v>
      </c>
      <c r="V974">
        <v>-117.58</v>
      </c>
      <c r="W974" s="29">
        <f t="shared" si="95"/>
        <v>-0.084154022330375</v>
      </c>
      <c r="X974">
        <v>19.34</v>
      </c>
      <c r="Y974" t="s">
        <v>38</v>
      </c>
      <c r="Z974" s="34" t="str">
        <f t="shared" si="96"/>
        <v>Medium</v>
      </c>
    </row>
    <row r="975" spans="1:26">
      <c r="A975" t="s">
        <v>1864</v>
      </c>
      <c r="B975" s="44">
        <v>45242</v>
      </c>
      <c r="C975" s="34">
        <f t="shared" si="91"/>
        <v>2023</v>
      </c>
      <c r="D975" s="34">
        <f t="shared" si="92"/>
        <v>11</v>
      </c>
      <c r="E975" s="34" t="str">
        <f t="shared" si="93"/>
        <v>November</v>
      </c>
      <c r="F975" s="44">
        <v>45246</v>
      </c>
      <c r="G975" t="s">
        <v>336</v>
      </c>
      <c r="H975" t="s">
        <v>337</v>
      </c>
      <c r="I975" t="s">
        <v>55</v>
      </c>
      <c r="J975" t="s">
        <v>43</v>
      </c>
      <c r="K975" t="s">
        <v>153</v>
      </c>
      <c r="L975" t="s">
        <v>338</v>
      </c>
      <c r="M975" t="s">
        <v>58</v>
      </c>
      <c r="N975" t="s">
        <v>357</v>
      </c>
      <c r="O975" t="s">
        <v>48</v>
      </c>
      <c r="P975" t="s">
        <v>49</v>
      </c>
      <c r="Q975" t="s">
        <v>358</v>
      </c>
      <c r="R975">
        <v>207</v>
      </c>
      <c r="S975">
        <v>3</v>
      </c>
      <c r="T975">
        <v>0</v>
      </c>
      <c r="U975" s="34" t="str">
        <f t="shared" si="94"/>
        <v>No Discount</v>
      </c>
      <c r="V975">
        <v>26.17</v>
      </c>
      <c r="W975" s="29">
        <f t="shared" si="95"/>
        <v>0.126425120772947</v>
      </c>
      <c r="X975">
        <v>16.28</v>
      </c>
      <c r="Y975" t="s">
        <v>62</v>
      </c>
      <c r="Z975" s="34" t="str">
        <f t="shared" si="96"/>
        <v>Small</v>
      </c>
    </row>
    <row r="976" spans="1:26">
      <c r="A976" t="s">
        <v>1865</v>
      </c>
      <c r="B976" s="44">
        <v>45195</v>
      </c>
      <c r="C976" s="34">
        <f t="shared" si="91"/>
        <v>2023</v>
      </c>
      <c r="D976" s="34">
        <f t="shared" si="92"/>
        <v>9</v>
      </c>
      <c r="E976" s="34" t="str">
        <f t="shared" si="93"/>
        <v>September</v>
      </c>
      <c r="F976" s="44">
        <v>45201</v>
      </c>
      <c r="G976" t="s">
        <v>406</v>
      </c>
      <c r="H976" t="s">
        <v>407</v>
      </c>
      <c r="I976" t="s">
        <v>55</v>
      </c>
      <c r="J976" t="s">
        <v>43</v>
      </c>
      <c r="K976" t="s">
        <v>213</v>
      </c>
      <c r="L976" t="s">
        <v>408</v>
      </c>
      <c r="M976" t="s">
        <v>33</v>
      </c>
      <c r="N976" t="s">
        <v>333</v>
      </c>
      <c r="O976" t="s">
        <v>48</v>
      </c>
      <c r="P976" t="s">
        <v>190</v>
      </c>
      <c r="Q976" t="s">
        <v>334</v>
      </c>
      <c r="R976">
        <v>378</v>
      </c>
      <c r="S976">
        <v>2</v>
      </c>
      <c r="T976">
        <v>0</v>
      </c>
      <c r="U976" s="34" t="str">
        <f t="shared" si="94"/>
        <v>No Discount</v>
      </c>
      <c r="V976">
        <v>73.93</v>
      </c>
      <c r="W976" s="29">
        <f t="shared" si="95"/>
        <v>0.195582010582011</v>
      </c>
      <c r="X976">
        <v>5.57</v>
      </c>
      <c r="Y976" t="s">
        <v>80</v>
      </c>
      <c r="Z976" s="34" t="str">
        <f t="shared" si="96"/>
        <v>Small</v>
      </c>
    </row>
    <row r="977" spans="1:26">
      <c r="A977" t="s">
        <v>1866</v>
      </c>
      <c r="B977" s="44">
        <v>44058</v>
      </c>
      <c r="C977" s="34">
        <f t="shared" si="91"/>
        <v>2020</v>
      </c>
      <c r="D977" s="34">
        <f t="shared" si="92"/>
        <v>8</v>
      </c>
      <c r="E977" s="34" t="str">
        <f t="shared" si="93"/>
        <v>August</v>
      </c>
      <c r="F977" s="44">
        <v>44062</v>
      </c>
      <c r="G977" t="s">
        <v>1612</v>
      </c>
      <c r="H977" t="s">
        <v>1613</v>
      </c>
      <c r="I977" t="s">
        <v>42</v>
      </c>
      <c r="J977" t="s">
        <v>43</v>
      </c>
      <c r="K977" t="s">
        <v>44</v>
      </c>
      <c r="L977" t="s">
        <v>195</v>
      </c>
      <c r="M977" t="s">
        <v>46</v>
      </c>
      <c r="N977" t="s">
        <v>459</v>
      </c>
      <c r="O977" t="s">
        <v>48</v>
      </c>
      <c r="P977" t="s">
        <v>128</v>
      </c>
      <c r="Q977" t="s">
        <v>460</v>
      </c>
      <c r="R977">
        <v>65.25</v>
      </c>
      <c r="S977">
        <v>3</v>
      </c>
      <c r="T977">
        <v>0.25</v>
      </c>
      <c r="U977" s="34" t="str">
        <f t="shared" si="94"/>
        <v>High</v>
      </c>
      <c r="V977">
        <v>-13.12</v>
      </c>
      <c r="W977" s="29">
        <f t="shared" si="95"/>
        <v>-0.201072796934866</v>
      </c>
      <c r="X977">
        <v>32.86</v>
      </c>
      <c r="Y977" t="s">
        <v>70</v>
      </c>
      <c r="Z977" s="34" t="str">
        <f t="shared" si="96"/>
        <v>Small</v>
      </c>
    </row>
    <row r="978" spans="1:26">
      <c r="A978" t="s">
        <v>1867</v>
      </c>
      <c r="B978" s="44">
        <v>44422</v>
      </c>
      <c r="C978" s="34">
        <f t="shared" si="91"/>
        <v>2021</v>
      </c>
      <c r="D978" s="34">
        <f t="shared" si="92"/>
        <v>8</v>
      </c>
      <c r="E978" s="34" t="str">
        <f t="shared" si="93"/>
        <v>August</v>
      </c>
      <c r="F978" s="44">
        <v>44428</v>
      </c>
      <c r="G978" t="s">
        <v>704</v>
      </c>
      <c r="H978" t="s">
        <v>571</v>
      </c>
      <c r="I978" t="s">
        <v>29</v>
      </c>
      <c r="J978" t="s">
        <v>43</v>
      </c>
      <c r="K978" t="s">
        <v>74</v>
      </c>
      <c r="L978" t="s">
        <v>387</v>
      </c>
      <c r="M978" t="s">
        <v>76</v>
      </c>
      <c r="N978" t="s">
        <v>162</v>
      </c>
      <c r="O978" t="s">
        <v>35</v>
      </c>
      <c r="P978" t="s">
        <v>163</v>
      </c>
      <c r="Q978" t="s">
        <v>164</v>
      </c>
      <c r="R978">
        <v>1098</v>
      </c>
      <c r="S978">
        <v>2</v>
      </c>
      <c r="T978">
        <v>0</v>
      </c>
      <c r="U978" s="34" t="str">
        <f t="shared" si="94"/>
        <v>No Discount</v>
      </c>
      <c r="V978">
        <v>227.93</v>
      </c>
      <c r="W978" s="29">
        <f t="shared" si="95"/>
        <v>0.207586520947177</v>
      </c>
      <c r="X978">
        <v>45.43</v>
      </c>
      <c r="Y978" t="s">
        <v>80</v>
      </c>
      <c r="Z978" s="34" t="str">
        <f t="shared" si="96"/>
        <v>Medium</v>
      </c>
    </row>
    <row r="979" spans="1:26">
      <c r="A979" t="s">
        <v>1868</v>
      </c>
      <c r="B979" s="44">
        <v>45091</v>
      </c>
      <c r="C979" s="34">
        <f t="shared" si="91"/>
        <v>2023</v>
      </c>
      <c r="D979" s="34">
        <f t="shared" si="92"/>
        <v>6</v>
      </c>
      <c r="E979" s="34" t="str">
        <f t="shared" si="93"/>
        <v>June</v>
      </c>
      <c r="F979" s="44">
        <v>45094</v>
      </c>
      <c r="G979" t="s">
        <v>919</v>
      </c>
      <c r="H979" t="s">
        <v>857</v>
      </c>
      <c r="I979" t="s">
        <v>29</v>
      </c>
      <c r="J979" t="s">
        <v>43</v>
      </c>
      <c r="K979" t="s">
        <v>100</v>
      </c>
      <c r="L979" t="s">
        <v>590</v>
      </c>
      <c r="M979" t="s">
        <v>33</v>
      </c>
      <c r="N979" t="s">
        <v>409</v>
      </c>
      <c r="O979" t="s">
        <v>48</v>
      </c>
      <c r="P979" t="s">
        <v>60</v>
      </c>
      <c r="Q979" t="s">
        <v>410</v>
      </c>
      <c r="R979">
        <v>105.3</v>
      </c>
      <c r="S979">
        <v>3</v>
      </c>
      <c r="T979">
        <v>0.1</v>
      </c>
      <c r="U979" s="34" t="str">
        <f t="shared" si="94"/>
        <v>Low</v>
      </c>
      <c r="V979">
        <v>5.39</v>
      </c>
      <c r="W979" s="29">
        <f t="shared" si="95"/>
        <v>0.0511870845204179</v>
      </c>
      <c r="X979">
        <v>34.67</v>
      </c>
      <c r="Y979" t="s">
        <v>137</v>
      </c>
      <c r="Z979" s="34" t="str">
        <f t="shared" si="96"/>
        <v>Small</v>
      </c>
    </row>
    <row r="980" spans="1:26">
      <c r="A980" t="s">
        <v>1869</v>
      </c>
      <c r="B980" s="44">
        <v>45251</v>
      </c>
      <c r="C980" s="34">
        <f t="shared" si="91"/>
        <v>2023</v>
      </c>
      <c r="D980" s="34">
        <f t="shared" si="92"/>
        <v>11</v>
      </c>
      <c r="E980" s="34" t="str">
        <f t="shared" si="93"/>
        <v>November</v>
      </c>
      <c r="F980" s="44">
        <v>45257</v>
      </c>
      <c r="G980" t="s">
        <v>853</v>
      </c>
      <c r="H980" t="s">
        <v>854</v>
      </c>
      <c r="I980" t="s">
        <v>29</v>
      </c>
      <c r="J980" t="s">
        <v>43</v>
      </c>
      <c r="K980" t="s">
        <v>180</v>
      </c>
      <c r="L980" t="s">
        <v>181</v>
      </c>
      <c r="M980" t="s">
        <v>46</v>
      </c>
      <c r="N980" t="s">
        <v>684</v>
      </c>
      <c r="O980" t="s">
        <v>48</v>
      </c>
      <c r="P980" t="s">
        <v>60</v>
      </c>
      <c r="Q980" t="s">
        <v>685</v>
      </c>
      <c r="R980">
        <v>79</v>
      </c>
      <c r="S980">
        <v>1</v>
      </c>
      <c r="T980">
        <v>0</v>
      </c>
      <c r="U980" s="34" t="str">
        <f t="shared" si="94"/>
        <v>No Discount</v>
      </c>
      <c r="V980">
        <v>-13</v>
      </c>
      <c r="W980" s="29">
        <f t="shared" si="95"/>
        <v>-0.164556962025316</v>
      </c>
      <c r="X980">
        <v>22.28</v>
      </c>
      <c r="Y980" t="s">
        <v>96</v>
      </c>
      <c r="Z980" s="34" t="str">
        <f t="shared" si="96"/>
        <v>Small</v>
      </c>
    </row>
    <row r="981" spans="1:26">
      <c r="A981" t="s">
        <v>1870</v>
      </c>
      <c r="B981" s="44">
        <v>45617</v>
      </c>
      <c r="C981" s="34">
        <f t="shared" si="91"/>
        <v>2024</v>
      </c>
      <c r="D981" s="34">
        <f t="shared" si="92"/>
        <v>11</v>
      </c>
      <c r="E981" s="34" t="str">
        <f t="shared" si="93"/>
        <v>November</v>
      </c>
      <c r="F981" s="44">
        <v>45624</v>
      </c>
      <c r="G981" t="s">
        <v>428</v>
      </c>
      <c r="H981" t="s">
        <v>429</v>
      </c>
      <c r="I981" t="s">
        <v>29</v>
      </c>
      <c r="J981" t="s">
        <v>30</v>
      </c>
      <c r="K981" t="s">
        <v>380</v>
      </c>
      <c r="L981" t="s">
        <v>381</v>
      </c>
      <c r="M981" t="s">
        <v>58</v>
      </c>
      <c r="N981" t="s">
        <v>459</v>
      </c>
      <c r="O981" t="s">
        <v>48</v>
      </c>
      <c r="P981" t="s">
        <v>128</v>
      </c>
      <c r="Q981" t="s">
        <v>460</v>
      </c>
      <c r="R981">
        <v>52.2</v>
      </c>
      <c r="S981">
        <v>2</v>
      </c>
      <c r="T981">
        <v>0.1</v>
      </c>
      <c r="U981" s="34" t="str">
        <f t="shared" si="94"/>
        <v>Low</v>
      </c>
      <c r="V981">
        <v>8.98</v>
      </c>
      <c r="W981" s="29">
        <f t="shared" si="95"/>
        <v>0.172030651340996</v>
      </c>
      <c r="X981">
        <v>8.36</v>
      </c>
      <c r="Y981" t="s">
        <v>96</v>
      </c>
      <c r="Z981" s="34" t="str">
        <f t="shared" si="96"/>
        <v>Small</v>
      </c>
    </row>
    <row r="982" spans="1:26">
      <c r="A982" t="s">
        <v>1871</v>
      </c>
      <c r="B982" s="44">
        <v>44586</v>
      </c>
      <c r="C982" s="34">
        <f t="shared" si="91"/>
        <v>2022</v>
      </c>
      <c r="D982" s="34">
        <f t="shared" si="92"/>
        <v>1</v>
      </c>
      <c r="E982" s="34" t="str">
        <f t="shared" si="93"/>
        <v>January</v>
      </c>
      <c r="F982" s="44">
        <v>44589</v>
      </c>
      <c r="G982" t="s">
        <v>1225</v>
      </c>
      <c r="H982" t="s">
        <v>1226</v>
      </c>
      <c r="I982" t="s">
        <v>29</v>
      </c>
      <c r="J982" t="s">
        <v>43</v>
      </c>
      <c r="K982" t="s">
        <v>438</v>
      </c>
      <c r="L982" t="s">
        <v>1227</v>
      </c>
      <c r="M982" t="s">
        <v>76</v>
      </c>
      <c r="N982" t="s">
        <v>182</v>
      </c>
      <c r="O982" t="s">
        <v>48</v>
      </c>
      <c r="P982" t="s">
        <v>128</v>
      </c>
      <c r="Q982" t="s">
        <v>183</v>
      </c>
      <c r="R982">
        <v>55.3</v>
      </c>
      <c r="S982">
        <v>1</v>
      </c>
      <c r="T982">
        <v>0.3</v>
      </c>
      <c r="U982" s="34" t="str">
        <f t="shared" si="94"/>
        <v>High</v>
      </c>
      <c r="V982">
        <v>6</v>
      </c>
      <c r="W982" s="29">
        <f t="shared" si="95"/>
        <v>0.108499095840868</v>
      </c>
      <c r="X982">
        <v>16.88</v>
      </c>
      <c r="Y982" t="s">
        <v>38</v>
      </c>
      <c r="Z982" s="34" t="str">
        <f t="shared" si="96"/>
        <v>Small</v>
      </c>
    </row>
    <row r="983" spans="1:26">
      <c r="A983" t="s">
        <v>1872</v>
      </c>
      <c r="B983" s="44">
        <v>44909</v>
      </c>
      <c r="C983" s="34">
        <f t="shared" si="91"/>
        <v>2022</v>
      </c>
      <c r="D983" s="34">
        <f t="shared" si="92"/>
        <v>12</v>
      </c>
      <c r="E983" s="34" t="str">
        <f t="shared" si="93"/>
        <v>December</v>
      </c>
      <c r="F983" s="44">
        <v>44916</v>
      </c>
      <c r="G983" t="s">
        <v>450</v>
      </c>
      <c r="H983" t="s">
        <v>451</v>
      </c>
      <c r="I983" t="s">
        <v>42</v>
      </c>
      <c r="J983" t="s">
        <v>43</v>
      </c>
      <c r="K983" t="s">
        <v>199</v>
      </c>
      <c r="L983" t="s">
        <v>396</v>
      </c>
      <c r="M983" t="s">
        <v>46</v>
      </c>
      <c r="N983" t="s">
        <v>312</v>
      </c>
      <c r="O983" t="s">
        <v>48</v>
      </c>
      <c r="P983" t="s">
        <v>49</v>
      </c>
      <c r="Q983" t="s">
        <v>313</v>
      </c>
      <c r="R983">
        <v>78</v>
      </c>
      <c r="S983">
        <v>2</v>
      </c>
      <c r="T983">
        <v>0</v>
      </c>
      <c r="U983" s="34" t="str">
        <f t="shared" si="94"/>
        <v>No Discount</v>
      </c>
      <c r="V983">
        <v>-5.87</v>
      </c>
      <c r="W983" s="29">
        <f t="shared" si="95"/>
        <v>-0.0752564102564103</v>
      </c>
      <c r="X983">
        <v>6.58</v>
      </c>
      <c r="Y983" t="s">
        <v>70</v>
      </c>
      <c r="Z983" s="34" t="str">
        <f t="shared" si="96"/>
        <v>Small</v>
      </c>
    </row>
    <row r="984" spans="1:26">
      <c r="A984" t="s">
        <v>1873</v>
      </c>
      <c r="B984" s="44">
        <v>45485</v>
      </c>
      <c r="C984" s="34">
        <f t="shared" si="91"/>
        <v>2024</v>
      </c>
      <c r="D984" s="34">
        <f t="shared" si="92"/>
        <v>7</v>
      </c>
      <c r="E984" s="34" t="str">
        <f t="shared" si="93"/>
        <v>July</v>
      </c>
      <c r="F984" s="44">
        <v>45488</v>
      </c>
      <c r="G984" t="s">
        <v>1367</v>
      </c>
      <c r="H984" t="s">
        <v>1368</v>
      </c>
      <c r="I984" t="s">
        <v>29</v>
      </c>
      <c r="J984" t="s">
        <v>43</v>
      </c>
      <c r="K984" t="s">
        <v>44</v>
      </c>
      <c r="L984" t="s">
        <v>195</v>
      </c>
      <c r="M984" t="s">
        <v>46</v>
      </c>
      <c r="N984" t="s">
        <v>251</v>
      </c>
      <c r="O984" t="s">
        <v>67</v>
      </c>
      <c r="P984" t="s">
        <v>252</v>
      </c>
      <c r="Q984" t="s">
        <v>253</v>
      </c>
      <c r="R984">
        <v>2618</v>
      </c>
      <c r="S984">
        <v>5</v>
      </c>
      <c r="T984">
        <v>0.3</v>
      </c>
      <c r="U984" s="34" t="str">
        <f t="shared" si="94"/>
        <v>High</v>
      </c>
      <c r="V984">
        <v>-142.98</v>
      </c>
      <c r="W984" s="29">
        <f t="shared" si="95"/>
        <v>-0.0546142093200917</v>
      </c>
      <c r="X984">
        <v>40.26</v>
      </c>
      <c r="Y984" t="s">
        <v>121</v>
      </c>
      <c r="Z984" s="34" t="str">
        <f t="shared" si="96"/>
        <v>Large</v>
      </c>
    </row>
    <row r="985" spans="1:26">
      <c r="A985" t="s">
        <v>1874</v>
      </c>
      <c r="B985" s="44">
        <v>43962</v>
      </c>
      <c r="C985" s="34">
        <f t="shared" si="91"/>
        <v>2020</v>
      </c>
      <c r="D985" s="34">
        <f t="shared" si="92"/>
        <v>5</v>
      </c>
      <c r="E985" s="34" t="str">
        <f t="shared" si="93"/>
        <v>May</v>
      </c>
      <c r="F985" s="44">
        <v>43963</v>
      </c>
      <c r="G985" t="s">
        <v>491</v>
      </c>
      <c r="H985" t="s">
        <v>492</v>
      </c>
      <c r="I985" t="s">
        <v>29</v>
      </c>
      <c r="J985" t="s">
        <v>43</v>
      </c>
      <c r="K985" t="s">
        <v>56</v>
      </c>
      <c r="L985" t="s">
        <v>493</v>
      </c>
      <c r="M985" t="s">
        <v>58</v>
      </c>
      <c r="N985" t="s">
        <v>148</v>
      </c>
      <c r="O985" t="s">
        <v>48</v>
      </c>
      <c r="P985" t="s">
        <v>60</v>
      </c>
      <c r="Q985" t="s">
        <v>149</v>
      </c>
      <c r="R985">
        <v>247.5</v>
      </c>
      <c r="S985">
        <v>5</v>
      </c>
      <c r="T985">
        <v>0.1</v>
      </c>
      <c r="U985" s="34" t="str">
        <f t="shared" si="94"/>
        <v>Low</v>
      </c>
      <c r="V985">
        <v>41.5</v>
      </c>
      <c r="W985" s="29">
        <f t="shared" si="95"/>
        <v>0.167676767676768</v>
      </c>
      <c r="X985">
        <v>10.15</v>
      </c>
      <c r="Y985" t="s">
        <v>62</v>
      </c>
      <c r="Z985" s="34" t="str">
        <f t="shared" si="96"/>
        <v>Small</v>
      </c>
    </row>
    <row r="986" spans="1:26">
      <c r="A986" t="s">
        <v>1875</v>
      </c>
      <c r="B986" s="44">
        <v>44558</v>
      </c>
      <c r="C986" s="34">
        <f t="shared" si="91"/>
        <v>2021</v>
      </c>
      <c r="D986" s="34">
        <f t="shared" si="92"/>
        <v>12</v>
      </c>
      <c r="E986" s="34" t="str">
        <f t="shared" si="93"/>
        <v>December</v>
      </c>
      <c r="F986" s="44">
        <v>44561</v>
      </c>
      <c r="G986" t="s">
        <v>248</v>
      </c>
      <c r="H986" t="s">
        <v>249</v>
      </c>
      <c r="I986" t="s">
        <v>55</v>
      </c>
      <c r="J986" t="s">
        <v>30</v>
      </c>
      <c r="K986" t="s">
        <v>31</v>
      </c>
      <c r="L986" t="s">
        <v>250</v>
      </c>
      <c r="M986" t="s">
        <v>33</v>
      </c>
      <c r="N986" t="s">
        <v>228</v>
      </c>
      <c r="O986" t="s">
        <v>67</v>
      </c>
      <c r="P986" t="s">
        <v>103</v>
      </c>
      <c r="Q986" t="s">
        <v>229</v>
      </c>
      <c r="R986">
        <v>745</v>
      </c>
      <c r="S986">
        <v>5</v>
      </c>
      <c r="T986">
        <v>0</v>
      </c>
      <c r="U986" s="34" t="str">
        <f t="shared" si="94"/>
        <v>No Discount</v>
      </c>
      <c r="V986">
        <v>99.87</v>
      </c>
      <c r="W986" s="29">
        <f t="shared" si="95"/>
        <v>0.134053691275168</v>
      </c>
      <c r="X986">
        <v>39.59</v>
      </c>
      <c r="Y986" t="s">
        <v>137</v>
      </c>
      <c r="Z986" s="34" t="str">
        <f t="shared" si="96"/>
        <v>Medium</v>
      </c>
    </row>
    <row r="987" spans="1:26">
      <c r="A987" t="s">
        <v>1876</v>
      </c>
      <c r="B987" s="44">
        <v>43918</v>
      </c>
      <c r="C987" s="34">
        <f t="shared" si="91"/>
        <v>2020</v>
      </c>
      <c r="D987" s="34">
        <f t="shared" si="92"/>
        <v>3</v>
      </c>
      <c r="E987" s="34" t="str">
        <f t="shared" si="93"/>
        <v>March</v>
      </c>
      <c r="F987" s="44">
        <v>43924</v>
      </c>
      <c r="G987" t="s">
        <v>221</v>
      </c>
      <c r="H987" t="s">
        <v>222</v>
      </c>
      <c r="I987" t="s">
        <v>42</v>
      </c>
      <c r="J987" t="s">
        <v>30</v>
      </c>
      <c r="K987" t="s">
        <v>100</v>
      </c>
      <c r="L987" t="s">
        <v>101</v>
      </c>
      <c r="M987" t="s">
        <v>33</v>
      </c>
      <c r="N987" t="s">
        <v>375</v>
      </c>
      <c r="O987" t="s">
        <v>35</v>
      </c>
      <c r="P987" t="s">
        <v>163</v>
      </c>
      <c r="Q987" t="s">
        <v>376</v>
      </c>
      <c r="R987">
        <v>908.6</v>
      </c>
      <c r="S987">
        <v>2</v>
      </c>
      <c r="T987">
        <v>0.3</v>
      </c>
      <c r="U987" s="34" t="str">
        <f t="shared" si="94"/>
        <v>High</v>
      </c>
      <c r="V987">
        <v>-59.19</v>
      </c>
      <c r="W987" s="29">
        <f t="shared" si="95"/>
        <v>-0.0651441778560423</v>
      </c>
      <c r="X987">
        <v>45.85</v>
      </c>
      <c r="Y987" t="s">
        <v>38</v>
      </c>
      <c r="Z987" s="34" t="str">
        <f t="shared" si="96"/>
        <v>Medium</v>
      </c>
    </row>
    <row r="988" spans="1:26">
      <c r="A988" t="s">
        <v>1877</v>
      </c>
      <c r="B988" s="44">
        <v>45547</v>
      </c>
      <c r="C988" s="34">
        <f t="shared" si="91"/>
        <v>2024</v>
      </c>
      <c r="D988" s="34">
        <f t="shared" si="92"/>
        <v>9</v>
      </c>
      <c r="E988" s="34" t="str">
        <f t="shared" si="93"/>
        <v>September</v>
      </c>
      <c r="F988" s="44">
        <v>45552</v>
      </c>
      <c r="G988" t="s">
        <v>1119</v>
      </c>
      <c r="H988" t="s">
        <v>1120</v>
      </c>
      <c r="I988" t="s">
        <v>55</v>
      </c>
      <c r="J988" t="s">
        <v>30</v>
      </c>
      <c r="K988" t="s">
        <v>133</v>
      </c>
      <c r="L988" t="s">
        <v>753</v>
      </c>
      <c r="M988" t="s">
        <v>33</v>
      </c>
      <c r="N988" t="s">
        <v>312</v>
      </c>
      <c r="O988" t="s">
        <v>48</v>
      </c>
      <c r="P988" t="s">
        <v>49</v>
      </c>
      <c r="Q988" t="s">
        <v>313</v>
      </c>
      <c r="R988">
        <v>148.2</v>
      </c>
      <c r="S988">
        <v>4</v>
      </c>
      <c r="T988">
        <v>0</v>
      </c>
      <c r="U988" s="34" t="str">
        <f t="shared" si="94"/>
        <v>No Discount</v>
      </c>
      <c r="V988">
        <v>24.22</v>
      </c>
      <c r="W988" s="29">
        <f t="shared" si="95"/>
        <v>0.163427800269906</v>
      </c>
      <c r="X988">
        <v>18.06</v>
      </c>
      <c r="Y988" t="s">
        <v>70</v>
      </c>
      <c r="Z988" s="34" t="str">
        <f t="shared" si="96"/>
        <v>Small</v>
      </c>
    </row>
    <row r="989" spans="1:26">
      <c r="A989" t="s">
        <v>1878</v>
      </c>
      <c r="B989" s="44">
        <v>44338</v>
      </c>
      <c r="C989" s="34">
        <f t="shared" si="91"/>
        <v>2021</v>
      </c>
      <c r="D989" s="34">
        <f t="shared" si="92"/>
        <v>5</v>
      </c>
      <c r="E989" s="34" t="str">
        <f t="shared" si="93"/>
        <v>May</v>
      </c>
      <c r="F989" s="44">
        <v>44340</v>
      </c>
      <c r="G989" t="s">
        <v>890</v>
      </c>
      <c r="H989" t="s">
        <v>891</v>
      </c>
      <c r="I989" t="s">
        <v>29</v>
      </c>
      <c r="J989" t="s">
        <v>43</v>
      </c>
      <c r="K989" t="s">
        <v>349</v>
      </c>
      <c r="L989" t="s">
        <v>892</v>
      </c>
      <c r="M989" t="s">
        <v>33</v>
      </c>
      <c r="N989" t="s">
        <v>474</v>
      </c>
      <c r="O989" t="s">
        <v>35</v>
      </c>
      <c r="P989" t="s">
        <v>78</v>
      </c>
      <c r="Q989" t="s">
        <v>475</v>
      </c>
      <c r="R989">
        <v>3597</v>
      </c>
      <c r="S989">
        <v>3</v>
      </c>
      <c r="T989">
        <v>0</v>
      </c>
      <c r="U989" s="34" t="str">
        <f t="shared" si="94"/>
        <v>No Discount</v>
      </c>
      <c r="V989">
        <v>633.67</v>
      </c>
      <c r="W989" s="29">
        <f t="shared" si="95"/>
        <v>0.176166249652488</v>
      </c>
      <c r="X989">
        <v>45.97</v>
      </c>
      <c r="Y989" t="s">
        <v>96</v>
      </c>
      <c r="Z989" s="34" t="str">
        <f t="shared" si="96"/>
        <v>Large</v>
      </c>
    </row>
    <row r="990" spans="1:26">
      <c r="A990" t="s">
        <v>1879</v>
      </c>
      <c r="B990" s="44">
        <v>43928</v>
      </c>
      <c r="C990" s="34">
        <f t="shared" si="91"/>
        <v>2020</v>
      </c>
      <c r="D990" s="34">
        <f t="shared" si="92"/>
        <v>4</v>
      </c>
      <c r="E990" s="34" t="str">
        <f t="shared" si="93"/>
        <v>April</v>
      </c>
      <c r="F990" s="44">
        <v>43933</v>
      </c>
      <c r="G990" t="s">
        <v>1590</v>
      </c>
      <c r="H990" t="s">
        <v>1591</v>
      </c>
      <c r="I990" t="s">
        <v>55</v>
      </c>
      <c r="J990" t="s">
        <v>30</v>
      </c>
      <c r="K990" t="s">
        <v>31</v>
      </c>
      <c r="L990" t="s">
        <v>32</v>
      </c>
      <c r="M990" t="s">
        <v>33</v>
      </c>
      <c r="N990" t="s">
        <v>292</v>
      </c>
      <c r="O990" t="s">
        <v>35</v>
      </c>
      <c r="P990" t="s">
        <v>163</v>
      </c>
      <c r="Q990" t="s">
        <v>293</v>
      </c>
      <c r="R990">
        <v>1299</v>
      </c>
      <c r="S990">
        <v>1</v>
      </c>
      <c r="T990">
        <v>0</v>
      </c>
      <c r="U990" s="34" t="str">
        <f t="shared" si="94"/>
        <v>No Discount</v>
      </c>
      <c r="V990">
        <v>147.45</v>
      </c>
      <c r="W990" s="29">
        <f t="shared" si="95"/>
        <v>0.1135103926097</v>
      </c>
      <c r="X990">
        <v>28.1</v>
      </c>
      <c r="Y990" t="s">
        <v>38</v>
      </c>
      <c r="Z990" s="34" t="str">
        <f t="shared" si="96"/>
        <v>Medium</v>
      </c>
    </row>
    <row r="991" spans="1:26">
      <c r="A991" t="s">
        <v>1880</v>
      </c>
      <c r="B991" s="44">
        <v>44449</v>
      </c>
      <c r="C991" s="34">
        <f t="shared" si="91"/>
        <v>2021</v>
      </c>
      <c r="D991" s="34">
        <f t="shared" si="92"/>
        <v>9</v>
      </c>
      <c r="E991" s="34" t="str">
        <f t="shared" si="93"/>
        <v>September</v>
      </c>
      <c r="F991" s="44">
        <v>44453</v>
      </c>
      <c r="G991" t="s">
        <v>295</v>
      </c>
      <c r="H991" t="s">
        <v>296</v>
      </c>
      <c r="I991" t="s">
        <v>29</v>
      </c>
      <c r="J991" t="s">
        <v>30</v>
      </c>
      <c r="K991" t="s">
        <v>297</v>
      </c>
      <c r="L991" t="s">
        <v>298</v>
      </c>
      <c r="M991" t="s">
        <v>46</v>
      </c>
      <c r="N991" t="s">
        <v>66</v>
      </c>
      <c r="O991" t="s">
        <v>67</v>
      </c>
      <c r="P991" t="s">
        <v>68</v>
      </c>
      <c r="Q991" t="s">
        <v>69</v>
      </c>
      <c r="R991">
        <v>679.15</v>
      </c>
      <c r="S991">
        <v>1</v>
      </c>
      <c r="T991">
        <v>0.15</v>
      </c>
      <c r="U991" s="34" t="str">
        <f t="shared" si="94"/>
        <v>Medium</v>
      </c>
      <c r="V991">
        <v>129.15</v>
      </c>
      <c r="W991" s="29">
        <f t="shared" si="95"/>
        <v>0.190164175807995</v>
      </c>
      <c r="X991">
        <v>22.28</v>
      </c>
      <c r="Y991" t="s">
        <v>38</v>
      </c>
      <c r="Z991" s="34" t="str">
        <f t="shared" si="96"/>
        <v>Medium</v>
      </c>
    </row>
    <row r="992" spans="1:26">
      <c r="A992" t="s">
        <v>1881</v>
      </c>
      <c r="B992" s="44">
        <v>44991</v>
      </c>
      <c r="C992" s="34">
        <f t="shared" si="91"/>
        <v>2023</v>
      </c>
      <c r="D992" s="34">
        <f t="shared" si="92"/>
        <v>3</v>
      </c>
      <c r="E992" s="34" t="str">
        <f t="shared" si="93"/>
        <v>March</v>
      </c>
      <c r="F992" s="44">
        <v>44998</v>
      </c>
      <c r="G992" t="s">
        <v>921</v>
      </c>
      <c r="H992" t="s">
        <v>922</v>
      </c>
      <c r="I992" t="s">
        <v>55</v>
      </c>
      <c r="J992" t="s">
        <v>43</v>
      </c>
      <c r="K992" t="s">
        <v>199</v>
      </c>
      <c r="L992" t="s">
        <v>851</v>
      </c>
      <c r="M992" t="s">
        <v>46</v>
      </c>
      <c r="N992" t="s">
        <v>251</v>
      </c>
      <c r="O992" t="s">
        <v>67</v>
      </c>
      <c r="P992" t="s">
        <v>252</v>
      </c>
      <c r="Q992" t="s">
        <v>253</v>
      </c>
      <c r="R992">
        <v>2094.4</v>
      </c>
      <c r="S992">
        <v>4</v>
      </c>
      <c r="T992">
        <v>0.3</v>
      </c>
      <c r="U992" s="34" t="str">
        <f t="shared" si="94"/>
        <v>High</v>
      </c>
      <c r="V992">
        <v>412.9</v>
      </c>
      <c r="W992" s="29">
        <f t="shared" si="95"/>
        <v>0.197144766997708</v>
      </c>
      <c r="X992">
        <v>19.93</v>
      </c>
      <c r="Y992" t="s">
        <v>137</v>
      </c>
      <c r="Z992" s="34" t="str">
        <f t="shared" si="96"/>
        <v>Large</v>
      </c>
    </row>
    <row r="993" spans="1:26">
      <c r="A993" t="s">
        <v>1882</v>
      </c>
      <c r="B993" s="44">
        <v>44141</v>
      </c>
      <c r="C993" s="34">
        <f t="shared" si="91"/>
        <v>2020</v>
      </c>
      <c r="D993" s="34">
        <f t="shared" si="92"/>
        <v>11</v>
      </c>
      <c r="E993" s="34" t="str">
        <f t="shared" si="93"/>
        <v>November</v>
      </c>
      <c r="F993" s="44">
        <v>44145</v>
      </c>
      <c r="G993" t="s">
        <v>1752</v>
      </c>
      <c r="H993" t="s">
        <v>1753</v>
      </c>
      <c r="I993" t="s">
        <v>42</v>
      </c>
      <c r="J993" t="s">
        <v>43</v>
      </c>
      <c r="K993" t="s">
        <v>175</v>
      </c>
      <c r="L993" t="s">
        <v>311</v>
      </c>
      <c r="M993" t="s">
        <v>46</v>
      </c>
      <c r="N993" t="s">
        <v>162</v>
      </c>
      <c r="O993" t="s">
        <v>35</v>
      </c>
      <c r="P993" t="s">
        <v>163</v>
      </c>
      <c r="Q993" t="s">
        <v>164</v>
      </c>
      <c r="R993">
        <v>878.4</v>
      </c>
      <c r="S993">
        <v>2</v>
      </c>
      <c r="T993">
        <v>0.2</v>
      </c>
      <c r="U993" s="34" t="str">
        <f t="shared" si="94"/>
        <v>Medium</v>
      </c>
      <c r="V993">
        <v>79.57</v>
      </c>
      <c r="W993" s="29">
        <f t="shared" si="95"/>
        <v>0.0905851548269581</v>
      </c>
      <c r="X993">
        <v>27.58</v>
      </c>
      <c r="Y993" t="s">
        <v>80</v>
      </c>
      <c r="Z993" s="34" t="str">
        <f t="shared" si="96"/>
        <v>Medium</v>
      </c>
    </row>
    <row r="994" spans="1:26">
      <c r="A994" t="s">
        <v>1883</v>
      </c>
      <c r="B994" s="44">
        <v>44089</v>
      </c>
      <c r="C994" s="34">
        <f t="shared" si="91"/>
        <v>2020</v>
      </c>
      <c r="D994" s="34">
        <f t="shared" si="92"/>
        <v>9</v>
      </c>
      <c r="E994" s="34" t="str">
        <f t="shared" si="93"/>
        <v>September</v>
      </c>
      <c r="F994" s="44">
        <v>44091</v>
      </c>
      <c r="G994" t="s">
        <v>865</v>
      </c>
      <c r="H994" t="s">
        <v>866</v>
      </c>
      <c r="I994" t="s">
        <v>42</v>
      </c>
      <c r="J994" t="s">
        <v>43</v>
      </c>
      <c r="K994" t="s">
        <v>44</v>
      </c>
      <c r="L994" t="s">
        <v>45</v>
      </c>
      <c r="M994" t="s">
        <v>46</v>
      </c>
      <c r="N994" t="s">
        <v>441</v>
      </c>
      <c r="O994" t="s">
        <v>67</v>
      </c>
      <c r="P994" t="s">
        <v>68</v>
      </c>
      <c r="Q994" t="s">
        <v>442</v>
      </c>
      <c r="R994">
        <v>1887.9</v>
      </c>
      <c r="S994">
        <v>3</v>
      </c>
      <c r="T994">
        <v>0.3</v>
      </c>
      <c r="U994" s="34" t="str">
        <f t="shared" si="94"/>
        <v>High</v>
      </c>
      <c r="V994">
        <v>413.66</v>
      </c>
      <c r="W994" s="29">
        <f t="shared" si="95"/>
        <v>0.219111181736321</v>
      </c>
      <c r="X994">
        <v>5.61</v>
      </c>
      <c r="Y994" t="s">
        <v>80</v>
      </c>
      <c r="Z994" s="34" t="str">
        <f t="shared" si="96"/>
        <v>Medium</v>
      </c>
    </row>
    <row r="995" spans="1:26">
      <c r="A995" t="s">
        <v>1884</v>
      </c>
      <c r="B995" s="44">
        <v>45447</v>
      </c>
      <c r="C995" s="34">
        <f t="shared" si="91"/>
        <v>2024</v>
      </c>
      <c r="D995" s="34">
        <f t="shared" si="92"/>
        <v>6</v>
      </c>
      <c r="E995" s="34" t="str">
        <f t="shared" si="93"/>
        <v>June</v>
      </c>
      <c r="F995" s="44">
        <v>45448</v>
      </c>
      <c r="G995" t="s">
        <v>691</v>
      </c>
      <c r="H995" t="s">
        <v>692</v>
      </c>
      <c r="I995" t="s">
        <v>42</v>
      </c>
      <c r="J995" t="s">
        <v>43</v>
      </c>
      <c r="K995" t="s">
        <v>213</v>
      </c>
      <c r="L995" t="s">
        <v>356</v>
      </c>
      <c r="M995" t="s">
        <v>33</v>
      </c>
      <c r="N995" t="s">
        <v>235</v>
      </c>
      <c r="O995" t="s">
        <v>35</v>
      </c>
      <c r="P995" t="s">
        <v>78</v>
      </c>
      <c r="Q995" t="s">
        <v>236</v>
      </c>
      <c r="R995">
        <v>521.55</v>
      </c>
      <c r="S995">
        <v>1</v>
      </c>
      <c r="T995">
        <v>0.05</v>
      </c>
      <c r="U995" s="34" t="str">
        <f t="shared" si="94"/>
        <v>Low</v>
      </c>
      <c r="V995">
        <v>69.68</v>
      </c>
      <c r="W995" s="29">
        <f t="shared" si="95"/>
        <v>0.133601763972773</v>
      </c>
      <c r="X995">
        <v>28.51</v>
      </c>
      <c r="Y995" t="s">
        <v>38</v>
      </c>
      <c r="Z995" s="34" t="str">
        <f t="shared" si="96"/>
        <v>Medium</v>
      </c>
    </row>
    <row r="996" spans="1:26">
      <c r="A996" t="s">
        <v>1885</v>
      </c>
      <c r="B996" s="44">
        <v>44558</v>
      </c>
      <c r="C996" s="34">
        <f t="shared" si="91"/>
        <v>2021</v>
      </c>
      <c r="D996" s="34">
        <f t="shared" si="92"/>
        <v>12</v>
      </c>
      <c r="E996" s="34" t="str">
        <f t="shared" si="93"/>
        <v>December</v>
      </c>
      <c r="F996" s="44">
        <v>44561</v>
      </c>
      <c r="G996" t="s">
        <v>664</v>
      </c>
      <c r="H996" t="s">
        <v>665</v>
      </c>
      <c r="I996" t="s">
        <v>29</v>
      </c>
      <c r="J996" t="s">
        <v>43</v>
      </c>
      <c r="K996" t="s">
        <v>133</v>
      </c>
      <c r="L996" t="s">
        <v>134</v>
      </c>
      <c r="M996" t="s">
        <v>33</v>
      </c>
      <c r="N996" t="s">
        <v>170</v>
      </c>
      <c r="O996" t="s">
        <v>48</v>
      </c>
      <c r="P996" t="s">
        <v>49</v>
      </c>
      <c r="Q996" t="s">
        <v>171</v>
      </c>
      <c r="R996">
        <v>558.75</v>
      </c>
      <c r="S996">
        <v>5</v>
      </c>
      <c r="T996">
        <v>0.25</v>
      </c>
      <c r="U996" s="34" t="str">
        <f t="shared" si="94"/>
        <v>High</v>
      </c>
      <c r="V996">
        <v>43.92</v>
      </c>
      <c r="W996" s="29">
        <f t="shared" si="95"/>
        <v>0.0786040268456376</v>
      </c>
      <c r="X996">
        <v>39.86</v>
      </c>
      <c r="Y996" t="s">
        <v>137</v>
      </c>
      <c r="Z996" s="34" t="str">
        <f t="shared" si="96"/>
        <v>Medium</v>
      </c>
    </row>
    <row r="997" spans="1:26">
      <c r="A997" t="s">
        <v>1886</v>
      </c>
      <c r="B997" s="44">
        <v>44606</v>
      </c>
      <c r="C997" s="34">
        <f t="shared" si="91"/>
        <v>2022</v>
      </c>
      <c r="D997" s="34">
        <f t="shared" si="92"/>
        <v>2</v>
      </c>
      <c r="E997" s="34" t="str">
        <f t="shared" si="93"/>
        <v>February</v>
      </c>
      <c r="F997" s="44">
        <v>44607</v>
      </c>
      <c r="G997" t="s">
        <v>1454</v>
      </c>
      <c r="H997" t="s">
        <v>1455</v>
      </c>
      <c r="I997" t="s">
        <v>55</v>
      </c>
      <c r="J997" t="s">
        <v>43</v>
      </c>
      <c r="K997" t="s">
        <v>380</v>
      </c>
      <c r="L997" t="s">
        <v>1456</v>
      </c>
      <c r="M997" t="s">
        <v>58</v>
      </c>
      <c r="N997" t="s">
        <v>424</v>
      </c>
      <c r="O997" t="s">
        <v>67</v>
      </c>
      <c r="P997" t="s">
        <v>103</v>
      </c>
      <c r="Q997" t="s">
        <v>425</v>
      </c>
      <c r="R997">
        <v>649</v>
      </c>
      <c r="S997">
        <v>1</v>
      </c>
      <c r="T997">
        <v>0</v>
      </c>
      <c r="U997" s="34" t="str">
        <f t="shared" si="94"/>
        <v>No Discount</v>
      </c>
      <c r="V997">
        <v>153.64</v>
      </c>
      <c r="W997" s="29">
        <f t="shared" si="95"/>
        <v>0.23673343605547</v>
      </c>
      <c r="X997">
        <v>28.69</v>
      </c>
      <c r="Y997" t="s">
        <v>62</v>
      </c>
      <c r="Z997" s="34" t="str">
        <f t="shared" si="96"/>
        <v>Medium</v>
      </c>
    </row>
    <row r="998" spans="1:26">
      <c r="A998" t="s">
        <v>1887</v>
      </c>
      <c r="B998" s="44">
        <v>43831</v>
      </c>
      <c r="C998" s="34">
        <f t="shared" si="91"/>
        <v>2020</v>
      </c>
      <c r="D998" s="34">
        <f t="shared" si="92"/>
        <v>1</v>
      </c>
      <c r="E998" s="34" t="str">
        <f t="shared" si="93"/>
        <v>January</v>
      </c>
      <c r="F998" s="44">
        <v>43836</v>
      </c>
      <c r="G998" t="s">
        <v>1888</v>
      </c>
      <c r="H998" t="s">
        <v>454</v>
      </c>
      <c r="I998" t="s">
        <v>42</v>
      </c>
      <c r="J998" t="s">
        <v>43</v>
      </c>
      <c r="K998" t="s">
        <v>320</v>
      </c>
      <c r="L998" t="s">
        <v>181</v>
      </c>
      <c r="M998" t="s">
        <v>46</v>
      </c>
      <c r="N998" t="s">
        <v>400</v>
      </c>
      <c r="O998" t="s">
        <v>67</v>
      </c>
      <c r="P998" t="s">
        <v>87</v>
      </c>
      <c r="Q998" t="s">
        <v>401</v>
      </c>
      <c r="R998">
        <v>593.3</v>
      </c>
      <c r="S998">
        <v>2</v>
      </c>
      <c r="T998">
        <v>0.15</v>
      </c>
      <c r="U998" s="34" t="str">
        <f t="shared" si="94"/>
        <v>Medium</v>
      </c>
      <c r="V998">
        <v>65.83</v>
      </c>
      <c r="W998" s="29">
        <f t="shared" si="95"/>
        <v>0.110955671666948</v>
      </c>
      <c r="X998">
        <v>17.9</v>
      </c>
      <c r="Y998" t="s">
        <v>80</v>
      </c>
      <c r="Z998" s="34" t="str">
        <f t="shared" si="96"/>
        <v>Medium</v>
      </c>
    </row>
    <row r="999" spans="1:26">
      <c r="A999" t="s">
        <v>1889</v>
      </c>
      <c r="B999" s="44">
        <v>43981</v>
      </c>
      <c r="C999" s="34">
        <f t="shared" si="91"/>
        <v>2020</v>
      </c>
      <c r="D999" s="34">
        <f t="shared" si="92"/>
        <v>5</v>
      </c>
      <c r="E999" s="34" t="str">
        <f t="shared" si="93"/>
        <v>May</v>
      </c>
      <c r="F999" s="44">
        <v>43985</v>
      </c>
      <c r="G999" t="s">
        <v>1305</v>
      </c>
      <c r="H999" t="s">
        <v>1306</v>
      </c>
      <c r="I999" t="s">
        <v>42</v>
      </c>
      <c r="J999" t="s">
        <v>43</v>
      </c>
      <c r="K999" t="s">
        <v>168</v>
      </c>
      <c r="L999" t="s">
        <v>362</v>
      </c>
      <c r="M999" t="s">
        <v>76</v>
      </c>
      <c r="N999" t="s">
        <v>339</v>
      </c>
      <c r="O999" t="s">
        <v>35</v>
      </c>
      <c r="P999" t="s">
        <v>78</v>
      </c>
      <c r="Q999" t="s">
        <v>340</v>
      </c>
      <c r="R999">
        <v>217.55</v>
      </c>
      <c r="S999">
        <v>1</v>
      </c>
      <c r="T999">
        <v>0.05</v>
      </c>
      <c r="U999" s="34" t="str">
        <f t="shared" si="94"/>
        <v>Low</v>
      </c>
      <c r="V999">
        <v>-28.18</v>
      </c>
      <c r="W999" s="29">
        <f t="shared" si="95"/>
        <v>-0.12953344058837</v>
      </c>
      <c r="X999">
        <v>35.93</v>
      </c>
      <c r="Y999" t="s">
        <v>70</v>
      </c>
      <c r="Z999" s="34" t="str">
        <f t="shared" si="96"/>
        <v>Small</v>
      </c>
    </row>
    <row r="1000" spans="1:26">
      <c r="A1000" t="s">
        <v>1890</v>
      </c>
      <c r="B1000" s="44">
        <v>45381</v>
      </c>
      <c r="C1000" s="34">
        <f t="shared" si="91"/>
        <v>2024</v>
      </c>
      <c r="D1000" s="34">
        <f t="shared" si="92"/>
        <v>3</v>
      </c>
      <c r="E1000" s="34" t="str">
        <f t="shared" si="93"/>
        <v>March</v>
      </c>
      <c r="F1000" s="44">
        <v>45383</v>
      </c>
      <c r="G1000" t="s">
        <v>1458</v>
      </c>
      <c r="H1000" t="s">
        <v>1012</v>
      </c>
      <c r="I1000" t="s">
        <v>29</v>
      </c>
      <c r="J1000" t="s">
        <v>43</v>
      </c>
      <c r="K1000" t="s">
        <v>438</v>
      </c>
      <c r="L1000" t="s">
        <v>1227</v>
      </c>
      <c r="M1000" t="s">
        <v>76</v>
      </c>
      <c r="N1000" t="s">
        <v>315</v>
      </c>
      <c r="O1000" t="s">
        <v>67</v>
      </c>
      <c r="P1000" t="s">
        <v>252</v>
      </c>
      <c r="Q1000" t="s">
        <v>316</v>
      </c>
      <c r="R1000">
        <v>1018.5</v>
      </c>
      <c r="S1000">
        <v>2</v>
      </c>
      <c r="T1000">
        <v>0.25</v>
      </c>
      <c r="U1000" s="34" t="str">
        <f t="shared" si="94"/>
        <v>High</v>
      </c>
      <c r="V1000">
        <v>-90.15</v>
      </c>
      <c r="W1000" s="29">
        <f t="shared" si="95"/>
        <v>-0.0885125184094256</v>
      </c>
      <c r="X1000">
        <v>28.91</v>
      </c>
      <c r="Y1000" t="s">
        <v>62</v>
      </c>
      <c r="Z1000" s="34" t="str">
        <f t="shared" si="96"/>
        <v>Medium</v>
      </c>
    </row>
    <row r="1001" spans="1:26">
      <c r="A1001" t="s">
        <v>1891</v>
      </c>
      <c r="B1001" s="44">
        <v>44898</v>
      </c>
      <c r="C1001" s="34">
        <f t="shared" si="91"/>
        <v>2022</v>
      </c>
      <c r="D1001" s="34">
        <f t="shared" si="92"/>
        <v>12</v>
      </c>
      <c r="E1001" s="34" t="str">
        <f t="shared" si="93"/>
        <v>December</v>
      </c>
      <c r="F1001" s="44">
        <v>44900</v>
      </c>
      <c r="G1001" t="s">
        <v>260</v>
      </c>
      <c r="H1001" t="s">
        <v>261</v>
      </c>
      <c r="I1001" t="s">
        <v>42</v>
      </c>
      <c r="J1001" t="s">
        <v>43</v>
      </c>
      <c r="K1001" t="s">
        <v>262</v>
      </c>
      <c r="L1001" t="s">
        <v>263</v>
      </c>
      <c r="M1001" t="s">
        <v>58</v>
      </c>
      <c r="N1001" t="s">
        <v>47</v>
      </c>
      <c r="O1001" t="s">
        <v>48</v>
      </c>
      <c r="P1001" t="s">
        <v>49</v>
      </c>
      <c r="Q1001" t="s">
        <v>50</v>
      </c>
      <c r="R1001">
        <v>316</v>
      </c>
      <c r="S1001">
        <v>4</v>
      </c>
      <c r="T1001">
        <v>0</v>
      </c>
      <c r="U1001" s="34" t="str">
        <f t="shared" si="94"/>
        <v>No Discount</v>
      </c>
      <c r="V1001">
        <v>75.62</v>
      </c>
      <c r="W1001" s="29">
        <f t="shared" si="95"/>
        <v>0.239303797468354</v>
      </c>
      <c r="X1001">
        <v>11.25</v>
      </c>
      <c r="Y1001" t="s">
        <v>96</v>
      </c>
      <c r="Z1001" s="34" t="str">
        <f t="shared" si="96"/>
        <v>Small</v>
      </c>
    </row>
    <row r="1002" spans="1:26">
      <c r="A1002" t="s">
        <v>1892</v>
      </c>
      <c r="B1002" s="44">
        <v>45062</v>
      </c>
      <c r="C1002" s="34">
        <f t="shared" si="91"/>
        <v>2023</v>
      </c>
      <c r="D1002" s="34">
        <f t="shared" si="92"/>
        <v>5</v>
      </c>
      <c r="E1002" s="34" t="str">
        <f t="shared" si="93"/>
        <v>May</v>
      </c>
      <c r="F1002" s="44">
        <v>45069</v>
      </c>
      <c r="G1002" t="s">
        <v>728</v>
      </c>
      <c r="H1002" t="s">
        <v>729</v>
      </c>
      <c r="I1002" t="s">
        <v>42</v>
      </c>
      <c r="J1002" t="s">
        <v>43</v>
      </c>
      <c r="K1002" t="s">
        <v>320</v>
      </c>
      <c r="L1002" t="s">
        <v>631</v>
      </c>
      <c r="M1002" t="s">
        <v>46</v>
      </c>
      <c r="N1002" t="s">
        <v>141</v>
      </c>
      <c r="O1002" t="s">
        <v>35</v>
      </c>
      <c r="P1002" t="s">
        <v>111</v>
      </c>
      <c r="Q1002" t="s">
        <v>142</v>
      </c>
      <c r="R1002">
        <v>596</v>
      </c>
      <c r="S1002">
        <v>4</v>
      </c>
      <c r="T1002">
        <v>0</v>
      </c>
      <c r="U1002" s="34" t="str">
        <f t="shared" si="94"/>
        <v>No Discount</v>
      </c>
      <c r="V1002">
        <v>-43.94</v>
      </c>
      <c r="W1002" s="29">
        <f t="shared" si="95"/>
        <v>-0.0737248322147651</v>
      </c>
      <c r="X1002">
        <v>47.14</v>
      </c>
      <c r="Y1002" t="s">
        <v>38</v>
      </c>
      <c r="Z1002" s="34" t="str">
        <f t="shared" si="96"/>
        <v>Medium</v>
      </c>
    </row>
    <row r="1003" spans="1:26">
      <c r="A1003" t="s">
        <v>1893</v>
      </c>
      <c r="B1003" s="44">
        <v>45468</v>
      </c>
      <c r="C1003" s="34">
        <f t="shared" si="91"/>
        <v>2024</v>
      </c>
      <c r="D1003" s="34">
        <f t="shared" si="92"/>
        <v>6</v>
      </c>
      <c r="E1003" s="34" t="str">
        <f t="shared" si="93"/>
        <v>June</v>
      </c>
      <c r="F1003" s="44">
        <v>45471</v>
      </c>
      <c r="G1003" t="s">
        <v>477</v>
      </c>
      <c r="H1003" t="s">
        <v>478</v>
      </c>
      <c r="I1003" t="s">
        <v>55</v>
      </c>
      <c r="J1003" t="s">
        <v>43</v>
      </c>
      <c r="K1003" t="s">
        <v>84</v>
      </c>
      <c r="L1003" t="s">
        <v>366</v>
      </c>
      <c r="M1003" t="s">
        <v>33</v>
      </c>
      <c r="N1003" t="s">
        <v>344</v>
      </c>
      <c r="O1003" t="s">
        <v>35</v>
      </c>
      <c r="P1003" t="s">
        <v>163</v>
      </c>
      <c r="Q1003" t="s">
        <v>345</v>
      </c>
      <c r="R1003">
        <v>599.25</v>
      </c>
      <c r="S1003">
        <v>1</v>
      </c>
      <c r="T1003">
        <v>0.25</v>
      </c>
      <c r="U1003" s="34" t="str">
        <f t="shared" si="94"/>
        <v>High</v>
      </c>
      <c r="V1003">
        <v>147.76</v>
      </c>
      <c r="W1003" s="29">
        <f t="shared" si="95"/>
        <v>0.246574885273258</v>
      </c>
      <c r="X1003">
        <v>6.84</v>
      </c>
      <c r="Y1003" t="s">
        <v>137</v>
      </c>
      <c r="Z1003" s="34" t="str">
        <f t="shared" si="96"/>
        <v>Medium</v>
      </c>
    </row>
    <row r="1004" spans="1:26">
      <c r="A1004" t="s">
        <v>1894</v>
      </c>
      <c r="B1004" s="44">
        <v>43970</v>
      </c>
      <c r="C1004" s="34">
        <f t="shared" si="91"/>
        <v>2020</v>
      </c>
      <c r="D1004" s="34">
        <f t="shared" si="92"/>
        <v>5</v>
      </c>
      <c r="E1004" s="34" t="str">
        <f t="shared" si="93"/>
        <v>May</v>
      </c>
      <c r="F1004" s="44">
        <v>43977</v>
      </c>
      <c r="G1004" t="s">
        <v>1100</v>
      </c>
      <c r="H1004" t="s">
        <v>261</v>
      </c>
      <c r="I1004" t="s">
        <v>42</v>
      </c>
      <c r="J1004" t="s">
        <v>43</v>
      </c>
      <c r="K1004" t="s">
        <v>175</v>
      </c>
      <c r="L1004" t="s">
        <v>176</v>
      </c>
      <c r="M1004" t="s">
        <v>46</v>
      </c>
      <c r="N1004" t="s">
        <v>162</v>
      </c>
      <c r="O1004" t="s">
        <v>35</v>
      </c>
      <c r="P1004" t="s">
        <v>163</v>
      </c>
      <c r="Q1004" t="s">
        <v>164</v>
      </c>
      <c r="R1004">
        <v>1756.8</v>
      </c>
      <c r="S1004">
        <v>4</v>
      </c>
      <c r="T1004">
        <v>0.2</v>
      </c>
      <c r="U1004" s="34" t="str">
        <f t="shared" si="94"/>
        <v>Medium</v>
      </c>
      <c r="V1004">
        <v>336.87</v>
      </c>
      <c r="W1004" s="29">
        <f t="shared" si="95"/>
        <v>0.191752049180328</v>
      </c>
      <c r="X1004">
        <v>48.31</v>
      </c>
      <c r="Y1004" t="s">
        <v>96</v>
      </c>
      <c r="Z1004" s="34" t="str">
        <f t="shared" si="96"/>
        <v>Medium</v>
      </c>
    </row>
    <row r="1005" spans="1:26">
      <c r="A1005" t="s">
        <v>1895</v>
      </c>
      <c r="B1005" s="44">
        <v>44869</v>
      </c>
      <c r="C1005" s="34">
        <f t="shared" si="91"/>
        <v>2022</v>
      </c>
      <c r="D1005" s="34">
        <f t="shared" si="92"/>
        <v>11</v>
      </c>
      <c r="E1005" s="34" t="str">
        <f t="shared" si="93"/>
        <v>November</v>
      </c>
      <c r="F1005" s="44">
        <v>44873</v>
      </c>
      <c r="G1005" t="s">
        <v>770</v>
      </c>
      <c r="H1005" t="s">
        <v>115</v>
      </c>
      <c r="I1005" t="s">
        <v>55</v>
      </c>
      <c r="J1005" t="s">
        <v>43</v>
      </c>
      <c r="K1005" t="s">
        <v>262</v>
      </c>
      <c r="L1005" t="s">
        <v>771</v>
      </c>
      <c r="M1005" t="s">
        <v>58</v>
      </c>
      <c r="N1005" t="s">
        <v>77</v>
      </c>
      <c r="O1005" t="s">
        <v>35</v>
      </c>
      <c r="P1005" t="s">
        <v>78</v>
      </c>
      <c r="Q1005" t="s">
        <v>79</v>
      </c>
      <c r="R1005">
        <v>976.5</v>
      </c>
      <c r="S1005">
        <v>1</v>
      </c>
      <c r="T1005">
        <v>0.3</v>
      </c>
      <c r="U1005" s="34" t="str">
        <f t="shared" si="94"/>
        <v>High</v>
      </c>
      <c r="V1005">
        <v>212.28</v>
      </c>
      <c r="W1005" s="29">
        <f t="shared" si="95"/>
        <v>0.217388632872504</v>
      </c>
      <c r="X1005">
        <v>8.49</v>
      </c>
      <c r="Y1005" t="s">
        <v>70</v>
      </c>
      <c r="Z1005" s="34" t="str">
        <f t="shared" si="96"/>
        <v>Medium</v>
      </c>
    </row>
    <row r="1006" spans="1:26">
      <c r="A1006" t="s">
        <v>1896</v>
      </c>
      <c r="B1006" s="44">
        <v>44434</v>
      </c>
      <c r="C1006" s="34">
        <f t="shared" si="91"/>
        <v>2021</v>
      </c>
      <c r="D1006" s="34">
        <f t="shared" si="92"/>
        <v>8</v>
      </c>
      <c r="E1006" s="34" t="str">
        <f t="shared" si="93"/>
        <v>August</v>
      </c>
      <c r="F1006" s="44">
        <v>44438</v>
      </c>
      <c r="G1006" t="s">
        <v>1665</v>
      </c>
      <c r="H1006" t="s">
        <v>1666</v>
      </c>
      <c r="I1006" t="s">
        <v>29</v>
      </c>
      <c r="J1006" t="s">
        <v>43</v>
      </c>
      <c r="K1006" t="s">
        <v>175</v>
      </c>
      <c r="L1006" t="s">
        <v>738</v>
      </c>
      <c r="M1006" t="s">
        <v>46</v>
      </c>
      <c r="N1006" t="s">
        <v>375</v>
      </c>
      <c r="O1006" t="s">
        <v>35</v>
      </c>
      <c r="P1006" t="s">
        <v>163</v>
      </c>
      <c r="Q1006" t="s">
        <v>376</v>
      </c>
      <c r="R1006">
        <v>908.6</v>
      </c>
      <c r="S1006">
        <v>2</v>
      </c>
      <c r="T1006">
        <v>0.3</v>
      </c>
      <c r="U1006" s="34" t="str">
        <f t="shared" si="94"/>
        <v>High</v>
      </c>
      <c r="V1006">
        <v>-87.31</v>
      </c>
      <c r="W1006" s="29">
        <f t="shared" si="95"/>
        <v>-0.0960928901606868</v>
      </c>
      <c r="X1006">
        <v>48.73</v>
      </c>
      <c r="Y1006" t="s">
        <v>121</v>
      </c>
      <c r="Z1006" s="34" t="str">
        <f t="shared" si="96"/>
        <v>Medium</v>
      </c>
    </row>
    <row r="1007" spans="1:26">
      <c r="A1007" t="s">
        <v>1897</v>
      </c>
      <c r="B1007" s="44">
        <v>45147</v>
      </c>
      <c r="C1007" s="34">
        <f t="shared" si="91"/>
        <v>2023</v>
      </c>
      <c r="D1007" s="34">
        <f t="shared" si="92"/>
        <v>8</v>
      </c>
      <c r="E1007" s="34" t="str">
        <f t="shared" si="93"/>
        <v>August</v>
      </c>
      <c r="F1007" s="44">
        <v>45150</v>
      </c>
      <c r="G1007" t="s">
        <v>861</v>
      </c>
      <c r="H1007" t="s">
        <v>862</v>
      </c>
      <c r="I1007" t="s">
        <v>42</v>
      </c>
      <c r="J1007" t="s">
        <v>43</v>
      </c>
      <c r="K1007" t="s">
        <v>640</v>
      </c>
      <c r="L1007" t="s">
        <v>863</v>
      </c>
      <c r="M1007" t="s">
        <v>76</v>
      </c>
      <c r="N1007" t="s">
        <v>141</v>
      </c>
      <c r="O1007" t="s">
        <v>35</v>
      </c>
      <c r="P1007" t="s">
        <v>111</v>
      </c>
      <c r="Q1007" t="s">
        <v>142</v>
      </c>
      <c r="R1007">
        <v>447</v>
      </c>
      <c r="S1007">
        <v>3</v>
      </c>
      <c r="T1007">
        <v>0</v>
      </c>
      <c r="U1007" s="34" t="str">
        <f t="shared" si="94"/>
        <v>No Discount</v>
      </c>
      <c r="V1007">
        <v>68.03</v>
      </c>
      <c r="W1007" s="29">
        <f t="shared" si="95"/>
        <v>0.152192393736018</v>
      </c>
      <c r="X1007">
        <v>41.44</v>
      </c>
      <c r="Y1007" t="s">
        <v>137</v>
      </c>
      <c r="Z1007" s="34" t="str">
        <f t="shared" si="96"/>
        <v>Small</v>
      </c>
    </row>
    <row r="1008" spans="1:26">
      <c r="A1008" t="s">
        <v>1898</v>
      </c>
      <c r="B1008" s="44">
        <v>44963</v>
      </c>
      <c r="C1008" s="34">
        <f t="shared" si="91"/>
        <v>2023</v>
      </c>
      <c r="D1008" s="34">
        <f t="shared" si="92"/>
        <v>2</v>
      </c>
      <c r="E1008" s="34" t="str">
        <f t="shared" si="93"/>
        <v>February</v>
      </c>
      <c r="F1008" s="44">
        <v>44967</v>
      </c>
      <c r="G1008" t="s">
        <v>1401</v>
      </c>
      <c r="H1008" t="s">
        <v>1398</v>
      </c>
      <c r="I1008" t="s">
        <v>55</v>
      </c>
      <c r="J1008" t="s">
        <v>43</v>
      </c>
      <c r="K1008" t="s">
        <v>273</v>
      </c>
      <c r="L1008" t="s">
        <v>468</v>
      </c>
      <c r="M1008" t="s">
        <v>46</v>
      </c>
      <c r="N1008" t="s">
        <v>344</v>
      </c>
      <c r="O1008" t="s">
        <v>35</v>
      </c>
      <c r="P1008" t="s">
        <v>163</v>
      </c>
      <c r="Q1008" t="s">
        <v>345</v>
      </c>
      <c r="R1008">
        <v>679.15</v>
      </c>
      <c r="S1008">
        <v>1</v>
      </c>
      <c r="T1008">
        <v>0.15</v>
      </c>
      <c r="U1008" s="34" t="str">
        <f t="shared" si="94"/>
        <v>Medium</v>
      </c>
      <c r="V1008">
        <v>165.58</v>
      </c>
      <c r="W1008" s="29">
        <f t="shared" si="95"/>
        <v>0.243804755944931</v>
      </c>
      <c r="X1008">
        <v>14.03</v>
      </c>
      <c r="Y1008" t="s">
        <v>121</v>
      </c>
      <c r="Z1008" s="34" t="str">
        <f t="shared" si="96"/>
        <v>Medium</v>
      </c>
    </row>
    <row r="1009" spans="1:26">
      <c r="A1009" t="s">
        <v>1899</v>
      </c>
      <c r="B1009" s="44">
        <v>44085</v>
      </c>
      <c r="C1009" s="34">
        <f t="shared" si="91"/>
        <v>2020</v>
      </c>
      <c r="D1009" s="34">
        <f t="shared" si="92"/>
        <v>9</v>
      </c>
      <c r="E1009" s="34" t="str">
        <f t="shared" si="93"/>
        <v>September</v>
      </c>
      <c r="F1009" s="44">
        <v>44089</v>
      </c>
      <c r="G1009" t="s">
        <v>1403</v>
      </c>
      <c r="H1009" t="s">
        <v>1404</v>
      </c>
      <c r="I1009" t="s">
        <v>55</v>
      </c>
      <c r="J1009" t="s">
        <v>43</v>
      </c>
      <c r="K1009" t="s">
        <v>273</v>
      </c>
      <c r="L1009" t="s">
        <v>541</v>
      </c>
      <c r="M1009" t="s">
        <v>46</v>
      </c>
      <c r="N1009" t="s">
        <v>546</v>
      </c>
      <c r="O1009" t="s">
        <v>35</v>
      </c>
      <c r="P1009" t="s">
        <v>36</v>
      </c>
      <c r="Q1009" t="s">
        <v>547</v>
      </c>
      <c r="R1009">
        <v>3561.5</v>
      </c>
      <c r="S1009">
        <v>2</v>
      </c>
      <c r="T1009">
        <v>0.15</v>
      </c>
      <c r="U1009" s="34" t="str">
        <f t="shared" si="94"/>
        <v>Medium</v>
      </c>
      <c r="V1009">
        <v>774.05</v>
      </c>
      <c r="W1009" s="29">
        <f t="shared" si="95"/>
        <v>0.217338200196546</v>
      </c>
      <c r="X1009">
        <v>31.6</v>
      </c>
      <c r="Y1009" t="s">
        <v>80</v>
      </c>
      <c r="Z1009" s="34" t="str">
        <f t="shared" si="96"/>
        <v>Large</v>
      </c>
    </row>
    <row r="1010" spans="1:26">
      <c r="A1010" t="s">
        <v>1900</v>
      </c>
      <c r="B1010" s="44">
        <v>44270</v>
      </c>
      <c r="C1010" s="34">
        <f t="shared" si="91"/>
        <v>2021</v>
      </c>
      <c r="D1010" s="34">
        <f t="shared" si="92"/>
        <v>3</v>
      </c>
      <c r="E1010" s="34" t="str">
        <f t="shared" si="93"/>
        <v>March</v>
      </c>
      <c r="F1010" s="44">
        <v>44274</v>
      </c>
      <c r="G1010" t="s">
        <v>691</v>
      </c>
      <c r="H1010" t="s">
        <v>692</v>
      </c>
      <c r="I1010" t="s">
        <v>42</v>
      </c>
      <c r="J1010" t="s">
        <v>43</v>
      </c>
      <c r="K1010" t="s">
        <v>213</v>
      </c>
      <c r="L1010" t="s">
        <v>356</v>
      </c>
      <c r="M1010" t="s">
        <v>33</v>
      </c>
      <c r="N1010" t="s">
        <v>278</v>
      </c>
      <c r="O1010" t="s">
        <v>35</v>
      </c>
      <c r="P1010" t="s">
        <v>202</v>
      </c>
      <c r="Q1010" t="s">
        <v>279</v>
      </c>
      <c r="R1010">
        <v>764.15</v>
      </c>
      <c r="S1010">
        <v>1</v>
      </c>
      <c r="T1010">
        <v>0.15</v>
      </c>
      <c r="U1010" s="34" t="str">
        <f t="shared" si="94"/>
        <v>Medium</v>
      </c>
      <c r="V1010">
        <v>-71.77</v>
      </c>
      <c r="W1010" s="29">
        <f t="shared" si="95"/>
        <v>-0.0939213505201858</v>
      </c>
      <c r="X1010">
        <v>35.46</v>
      </c>
      <c r="Y1010" t="s">
        <v>38</v>
      </c>
      <c r="Z1010" s="34" t="str">
        <f t="shared" si="96"/>
        <v>Medium</v>
      </c>
    </row>
    <row r="1011" spans="1:26">
      <c r="A1011" t="s">
        <v>1901</v>
      </c>
      <c r="B1011" s="44">
        <v>45322</v>
      </c>
      <c r="C1011" s="34">
        <f t="shared" si="91"/>
        <v>2024</v>
      </c>
      <c r="D1011" s="34">
        <f t="shared" si="92"/>
        <v>1</v>
      </c>
      <c r="E1011" s="34" t="str">
        <f t="shared" si="93"/>
        <v>January</v>
      </c>
      <c r="F1011" s="44">
        <v>45324</v>
      </c>
      <c r="G1011" t="s">
        <v>1888</v>
      </c>
      <c r="H1011" t="s">
        <v>454</v>
      </c>
      <c r="I1011" t="s">
        <v>42</v>
      </c>
      <c r="J1011" t="s">
        <v>43</v>
      </c>
      <c r="K1011" t="s">
        <v>320</v>
      </c>
      <c r="L1011" t="s">
        <v>181</v>
      </c>
      <c r="M1011" t="s">
        <v>46</v>
      </c>
      <c r="N1011" t="s">
        <v>623</v>
      </c>
      <c r="O1011" t="s">
        <v>67</v>
      </c>
      <c r="P1011" t="s">
        <v>87</v>
      </c>
      <c r="Q1011" t="s">
        <v>624</v>
      </c>
      <c r="R1011">
        <v>747</v>
      </c>
      <c r="S1011">
        <v>3</v>
      </c>
      <c r="T1011">
        <v>0</v>
      </c>
      <c r="U1011" s="34" t="str">
        <f t="shared" si="94"/>
        <v>No Discount</v>
      </c>
      <c r="V1011">
        <v>-65.42</v>
      </c>
      <c r="W1011" s="29">
        <f t="shared" si="95"/>
        <v>-0.0875769745649264</v>
      </c>
      <c r="X1011">
        <v>18.88</v>
      </c>
      <c r="Y1011" t="s">
        <v>121</v>
      </c>
      <c r="Z1011" s="34" t="str">
        <f t="shared" si="96"/>
        <v>Medium</v>
      </c>
    </row>
    <row r="1012" spans="1:26">
      <c r="A1012" t="s">
        <v>1902</v>
      </c>
      <c r="B1012" s="44">
        <v>44136</v>
      </c>
      <c r="C1012" s="34">
        <f t="shared" si="91"/>
        <v>2020</v>
      </c>
      <c r="D1012" s="34">
        <f t="shared" si="92"/>
        <v>11</v>
      </c>
      <c r="E1012" s="34" t="str">
        <f t="shared" si="93"/>
        <v>November</v>
      </c>
      <c r="F1012" s="44">
        <v>44137</v>
      </c>
      <c r="G1012" t="s">
        <v>789</v>
      </c>
      <c r="H1012" t="s">
        <v>790</v>
      </c>
      <c r="I1012" t="s">
        <v>55</v>
      </c>
      <c r="J1012" t="s">
        <v>43</v>
      </c>
      <c r="K1012" t="s">
        <v>100</v>
      </c>
      <c r="L1012" t="s">
        <v>420</v>
      </c>
      <c r="M1012" t="s">
        <v>33</v>
      </c>
      <c r="N1012" t="s">
        <v>421</v>
      </c>
      <c r="O1012" t="s">
        <v>67</v>
      </c>
      <c r="P1012" t="s">
        <v>252</v>
      </c>
      <c r="Q1012" t="s">
        <v>422</v>
      </c>
      <c r="R1012">
        <v>4280</v>
      </c>
      <c r="S1012">
        <v>5</v>
      </c>
      <c r="T1012">
        <v>0</v>
      </c>
      <c r="U1012" s="34" t="str">
        <f t="shared" si="94"/>
        <v>No Discount</v>
      </c>
      <c r="V1012">
        <v>759.13</v>
      </c>
      <c r="W1012" s="29">
        <f t="shared" si="95"/>
        <v>0.177366822429907</v>
      </c>
      <c r="X1012">
        <v>37.56</v>
      </c>
      <c r="Y1012" t="s">
        <v>96</v>
      </c>
      <c r="Z1012" s="34" t="str">
        <f t="shared" si="96"/>
        <v>Large</v>
      </c>
    </row>
    <row r="1013" spans="1:26">
      <c r="A1013" t="s">
        <v>1903</v>
      </c>
      <c r="B1013" s="44">
        <v>44451</v>
      </c>
      <c r="C1013" s="34">
        <f t="shared" si="91"/>
        <v>2021</v>
      </c>
      <c r="D1013" s="34">
        <f t="shared" si="92"/>
        <v>9</v>
      </c>
      <c r="E1013" s="34" t="str">
        <f t="shared" si="93"/>
        <v>September</v>
      </c>
      <c r="F1013" s="44">
        <v>44456</v>
      </c>
      <c r="G1013" t="s">
        <v>687</v>
      </c>
      <c r="H1013" t="s">
        <v>688</v>
      </c>
      <c r="I1013" t="s">
        <v>42</v>
      </c>
      <c r="J1013" t="s">
        <v>30</v>
      </c>
      <c r="K1013" t="s">
        <v>213</v>
      </c>
      <c r="L1013" t="s">
        <v>408</v>
      </c>
      <c r="M1013" t="s">
        <v>33</v>
      </c>
      <c r="N1013" t="s">
        <v>208</v>
      </c>
      <c r="O1013" t="s">
        <v>48</v>
      </c>
      <c r="P1013" t="s">
        <v>128</v>
      </c>
      <c r="Q1013" t="s">
        <v>209</v>
      </c>
      <c r="R1013">
        <v>175</v>
      </c>
      <c r="S1013">
        <v>5</v>
      </c>
      <c r="T1013">
        <v>0</v>
      </c>
      <c r="U1013" s="34" t="str">
        <f t="shared" si="94"/>
        <v>No Discount</v>
      </c>
      <c r="V1013">
        <v>9.24</v>
      </c>
      <c r="W1013" s="29">
        <f t="shared" si="95"/>
        <v>0.0528</v>
      </c>
      <c r="X1013">
        <v>39.21</v>
      </c>
      <c r="Y1013" t="s">
        <v>62</v>
      </c>
      <c r="Z1013" s="34" t="str">
        <f t="shared" si="96"/>
        <v>Small</v>
      </c>
    </row>
    <row r="1014" spans="1:26">
      <c r="A1014" t="s">
        <v>1904</v>
      </c>
      <c r="B1014" s="44">
        <v>45457</v>
      </c>
      <c r="C1014" s="34">
        <f t="shared" si="91"/>
        <v>2024</v>
      </c>
      <c r="D1014" s="34">
        <f t="shared" si="92"/>
        <v>6</v>
      </c>
      <c r="E1014" s="34" t="str">
        <f t="shared" si="93"/>
        <v>June</v>
      </c>
      <c r="F1014" s="44">
        <v>45459</v>
      </c>
      <c r="G1014" t="s">
        <v>82</v>
      </c>
      <c r="H1014" t="s">
        <v>83</v>
      </c>
      <c r="I1014" t="s">
        <v>55</v>
      </c>
      <c r="J1014" t="s">
        <v>30</v>
      </c>
      <c r="K1014" t="s">
        <v>84</v>
      </c>
      <c r="L1014" t="s">
        <v>85</v>
      </c>
      <c r="M1014" t="s">
        <v>33</v>
      </c>
      <c r="N1014" t="s">
        <v>208</v>
      </c>
      <c r="O1014" t="s">
        <v>48</v>
      </c>
      <c r="P1014" t="s">
        <v>128</v>
      </c>
      <c r="Q1014" t="s">
        <v>209</v>
      </c>
      <c r="R1014">
        <v>112</v>
      </c>
      <c r="S1014">
        <v>4</v>
      </c>
      <c r="T1014">
        <v>0.2</v>
      </c>
      <c r="U1014" s="34" t="str">
        <f t="shared" si="94"/>
        <v>Medium</v>
      </c>
      <c r="V1014">
        <v>-22.38</v>
      </c>
      <c r="W1014" s="29">
        <f t="shared" si="95"/>
        <v>-0.199821428571429</v>
      </c>
      <c r="X1014">
        <v>44.73</v>
      </c>
      <c r="Y1014" t="s">
        <v>96</v>
      </c>
      <c r="Z1014" s="34" t="str">
        <f t="shared" si="96"/>
        <v>Small</v>
      </c>
    </row>
    <row r="1015" spans="1:26">
      <c r="A1015" t="s">
        <v>1905</v>
      </c>
      <c r="B1015" s="44">
        <v>44247</v>
      </c>
      <c r="C1015" s="34">
        <f t="shared" si="91"/>
        <v>2021</v>
      </c>
      <c r="D1015" s="34">
        <f t="shared" si="92"/>
        <v>2</v>
      </c>
      <c r="E1015" s="34" t="str">
        <f t="shared" si="93"/>
        <v>February</v>
      </c>
      <c r="F1015" s="44">
        <v>44250</v>
      </c>
      <c r="G1015" t="s">
        <v>1248</v>
      </c>
      <c r="H1015" t="s">
        <v>392</v>
      </c>
      <c r="I1015" t="s">
        <v>42</v>
      </c>
      <c r="J1015" t="s">
        <v>43</v>
      </c>
      <c r="K1015" t="s">
        <v>133</v>
      </c>
      <c r="L1015" t="s">
        <v>134</v>
      </c>
      <c r="M1015" t="s">
        <v>33</v>
      </c>
      <c r="N1015" t="s">
        <v>228</v>
      </c>
      <c r="O1015" t="s">
        <v>67</v>
      </c>
      <c r="P1015" t="s">
        <v>103</v>
      </c>
      <c r="Q1015" t="s">
        <v>229</v>
      </c>
      <c r="R1015">
        <v>357.6</v>
      </c>
      <c r="S1015">
        <v>3</v>
      </c>
      <c r="T1015">
        <v>0.2</v>
      </c>
      <c r="U1015" s="34" t="str">
        <f t="shared" si="94"/>
        <v>Medium</v>
      </c>
      <c r="V1015">
        <v>76.55</v>
      </c>
      <c r="W1015" s="29">
        <f t="shared" si="95"/>
        <v>0.214065995525727</v>
      </c>
      <c r="X1015">
        <v>7.06</v>
      </c>
      <c r="Y1015" t="s">
        <v>51</v>
      </c>
      <c r="Z1015" s="34" t="str">
        <f t="shared" si="96"/>
        <v>Small</v>
      </c>
    </row>
    <row r="1016" spans="1:26">
      <c r="A1016" t="s">
        <v>1906</v>
      </c>
      <c r="B1016" s="44">
        <v>45168</v>
      </c>
      <c r="C1016" s="34">
        <f t="shared" si="91"/>
        <v>2023</v>
      </c>
      <c r="D1016" s="34">
        <f t="shared" si="92"/>
        <v>8</v>
      </c>
      <c r="E1016" s="34" t="str">
        <f t="shared" si="93"/>
        <v>August</v>
      </c>
      <c r="F1016" s="44">
        <v>45170</v>
      </c>
      <c r="G1016" t="s">
        <v>1707</v>
      </c>
      <c r="H1016" t="s">
        <v>1708</v>
      </c>
      <c r="I1016" t="s">
        <v>55</v>
      </c>
      <c r="J1016" t="s">
        <v>43</v>
      </c>
      <c r="K1016" t="s">
        <v>257</v>
      </c>
      <c r="L1016" t="s">
        <v>258</v>
      </c>
      <c r="M1016" t="s">
        <v>76</v>
      </c>
      <c r="N1016" t="s">
        <v>228</v>
      </c>
      <c r="O1016" t="s">
        <v>67</v>
      </c>
      <c r="P1016" t="s">
        <v>103</v>
      </c>
      <c r="Q1016" t="s">
        <v>229</v>
      </c>
      <c r="R1016">
        <v>149</v>
      </c>
      <c r="S1016">
        <v>1</v>
      </c>
      <c r="T1016">
        <v>0</v>
      </c>
      <c r="U1016" s="34" t="str">
        <f t="shared" si="94"/>
        <v>No Discount</v>
      </c>
      <c r="V1016">
        <v>0.8</v>
      </c>
      <c r="W1016" s="29">
        <f t="shared" si="95"/>
        <v>0.00536912751677852</v>
      </c>
      <c r="X1016">
        <v>47.01</v>
      </c>
      <c r="Y1016" t="s">
        <v>96</v>
      </c>
      <c r="Z1016" s="34" t="str">
        <f t="shared" si="96"/>
        <v>Small</v>
      </c>
    </row>
    <row r="1017" spans="1:26">
      <c r="A1017" t="s">
        <v>1907</v>
      </c>
      <c r="B1017" s="44">
        <v>45107</v>
      </c>
      <c r="C1017" s="34">
        <f t="shared" si="91"/>
        <v>2023</v>
      </c>
      <c r="D1017" s="34">
        <f t="shared" si="92"/>
        <v>6</v>
      </c>
      <c r="E1017" s="34" t="str">
        <f t="shared" si="93"/>
        <v>June</v>
      </c>
      <c r="F1017" s="44">
        <v>45114</v>
      </c>
      <c r="G1017" t="s">
        <v>865</v>
      </c>
      <c r="H1017" t="s">
        <v>866</v>
      </c>
      <c r="I1017" t="s">
        <v>42</v>
      </c>
      <c r="J1017" t="s">
        <v>43</v>
      </c>
      <c r="K1017" t="s">
        <v>44</v>
      </c>
      <c r="L1017" t="s">
        <v>45</v>
      </c>
      <c r="M1017" t="s">
        <v>46</v>
      </c>
      <c r="N1017" t="s">
        <v>872</v>
      </c>
      <c r="O1017" t="s">
        <v>35</v>
      </c>
      <c r="P1017" t="s">
        <v>163</v>
      </c>
      <c r="Q1017" t="s">
        <v>873</v>
      </c>
      <c r="R1017">
        <v>5996</v>
      </c>
      <c r="S1017">
        <v>4</v>
      </c>
      <c r="T1017">
        <v>0</v>
      </c>
      <c r="U1017" s="34" t="str">
        <f t="shared" si="94"/>
        <v>No Discount</v>
      </c>
      <c r="V1017">
        <v>-493.2</v>
      </c>
      <c r="W1017" s="29">
        <f t="shared" si="95"/>
        <v>-0.0822548365577051</v>
      </c>
      <c r="X1017">
        <v>45.08</v>
      </c>
      <c r="Y1017" t="s">
        <v>121</v>
      </c>
      <c r="Z1017" s="34" t="str">
        <f t="shared" si="96"/>
        <v>Large</v>
      </c>
    </row>
    <row r="1018" spans="1:26">
      <c r="A1018" t="s">
        <v>1908</v>
      </c>
      <c r="B1018" s="44">
        <v>43966</v>
      </c>
      <c r="C1018" s="34">
        <f t="shared" si="91"/>
        <v>2020</v>
      </c>
      <c r="D1018" s="34">
        <f t="shared" si="92"/>
        <v>5</v>
      </c>
      <c r="E1018" s="34" t="str">
        <f t="shared" si="93"/>
        <v>May</v>
      </c>
      <c r="F1018" s="44">
        <v>43968</v>
      </c>
      <c r="G1018" t="s">
        <v>248</v>
      </c>
      <c r="H1018" t="s">
        <v>249</v>
      </c>
      <c r="I1018" t="s">
        <v>55</v>
      </c>
      <c r="J1018" t="s">
        <v>30</v>
      </c>
      <c r="K1018" t="s">
        <v>31</v>
      </c>
      <c r="L1018" t="s">
        <v>250</v>
      </c>
      <c r="M1018" t="s">
        <v>33</v>
      </c>
      <c r="N1018" t="s">
        <v>118</v>
      </c>
      <c r="O1018" t="s">
        <v>67</v>
      </c>
      <c r="P1018" t="s">
        <v>119</v>
      </c>
      <c r="Q1018" t="s">
        <v>120</v>
      </c>
      <c r="R1018">
        <v>3597</v>
      </c>
      <c r="S1018">
        <v>4</v>
      </c>
      <c r="T1018">
        <v>0.25</v>
      </c>
      <c r="U1018" s="34" t="str">
        <f t="shared" si="94"/>
        <v>High</v>
      </c>
      <c r="V1018">
        <v>348.92</v>
      </c>
      <c r="W1018" s="29">
        <f t="shared" si="95"/>
        <v>0.0970030581039755</v>
      </c>
      <c r="X1018">
        <v>35.95</v>
      </c>
      <c r="Y1018" t="s">
        <v>121</v>
      </c>
      <c r="Z1018" s="34" t="str">
        <f t="shared" si="96"/>
        <v>Large</v>
      </c>
    </row>
    <row r="1019" spans="1:26">
      <c r="A1019" t="s">
        <v>1909</v>
      </c>
      <c r="B1019" s="44">
        <v>44615</v>
      </c>
      <c r="C1019" s="34">
        <f t="shared" si="91"/>
        <v>2022</v>
      </c>
      <c r="D1019" s="34">
        <f t="shared" si="92"/>
        <v>2</v>
      </c>
      <c r="E1019" s="34" t="str">
        <f t="shared" si="93"/>
        <v>February</v>
      </c>
      <c r="F1019" s="44">
        <v>44619</v>
      </c>
      <c r="G1019" t="s">
        <v>849</v>
      </c>
      <c r="H1019" t="s">
        <v>850</v>
      </c>
      <c r="I1019" t="s">
        <v>55</v>
      </c>
      <c r="J1019" t="s">
        <v>43</v>
      </c>
      <c r="K1019" t="s">
        <v>199</v>
      </c>
      <c r="L1019" t="s">
        <v>851</v>
      </c>
      <c r="M1019" t="s">
        <v>46</v>
      </c>
      <c r="N1019" t="s">
        <v>868</v>
      </c>
      <c r="O1019" t="s">
        <v>48</v>
      </c>
      <c r="P1019" t="s">
        <v>190</v>
      </c>
      <c r="Q1019" t="s">
        <v>869</v>
      </c>
      <c r="R1019">
        <v>253.3</v>
      </c>
      <c r="S1019">
        <v>2</v>
      </c>
      <c r="T1019">
        <v>0.15</v>
      </c>
      <c r="U1019" s="34" t="str">
        <f t="shared" si="94"/>
        <v>Medium</v>
      </c>
      <c r="V1019">
        <v>39.05</v>
      </c>
      <c r="W1019" s="29">
        <f t="shared" si="95"/>
        <v>0.154165021713383</v>
      </c>
      <c r="X1019">
        <v>21.83</v>
      </c>
      <c r="Y1019" t="s">
        <v>62</v>
      </c>
      <c r="Z1019" s="34" t="str">
        <f t="shared" si="96"/>
        <v>Small</v>
      </c>
    </row>
    <row r="1020" spans="1:26">
      <c r="A1020" t="s">
        <v>1910</v>
      </c>
      <c r="B1020" s="44">
        <v>44249</v>
      </c>
      <c r="C1020" s="34">
        <f t="shared" si="91"/>
        <v>2021</v>
      </c>
      <c r="D1020" s="34">
        <f t="shared" si="92"/>
        <v>2</v>
      </c>
      <c r="E1020" s="34" t="str">
        <f t="shared" si="93"/>
        <v>February</v>
      </c>
      <c r="F1020" s="44">
        <v>44253</v>
      </c>
      <c r="G1020" t="s">
        <v>1092</v>
      </c>
      <c r="H1020" t="s">
        <v>713</v>
      </c>
      <c r="I1020" t="s">
        <v>42</v>
      </c>
      <c r="J1020" t="s">
        <v>43</v>
      </c>
      <c r="K1020" t="s">
        <v>199</v>
      </c>
      <c r="L1020" t="s">
        <v>851</v>
      </c>
      <c r="M1020" t="s">
        <v>46</v>
      </c>
      <c r="N1020" t="s">
        <v>148</v>
      </c>
      <c r="O1020" t="s">
        <v>48</v>
      </c>
      <c r="P1020" t="s">
        <v>60</v>
      </c>
      <c r="Q1020" t="s">
        <v>149</v>
      </c>
      <c r="R1020">
        <v>38.5</v>
      </c>
      <c r="S1020">
        <v>1</v>
      </c>
      <c r="T1020">
        <v>0.3</v>
      </c>
      <c r="U1020" s="34" t="str">
        <f t="shared" si="94"/>
        <v>High</v>
      </c>
      <c r="V1020">
        <v>-2.87</v>
      </c>
      <c r="W1020" s="29">
        <f t="shared" si="95"/>
        <v>-0.0745454545454546</v>
      </c>
      <c r="X1020">
        <v>22.39</v>
      </c>
      <c r="Y1020" t="s">
        <v>137</v>
      </c>
      <c r="Z1020" s="34" t="str">
        <f t="shared" si="96"/>
        <v>Small</v>
      </c>
    </row>
    <row r="1021" spans="1:26">
      <c r="A1021" t="s">
        <v>1911</v>
      </c>
      <c r="B1021" s="44">
        <v>45118</v>
      </c>
      <c r="C1021" s="34">
        <f t="shared" si="91"/>
        <v>2023</v>
      </c>
      <c r="D1021" s="34">
        <f t="shared" si="92"/>
        <v>7</v>
      </c>
      <c r="E1021" s="34" t="str">
        <f t="shared" si="93"/>
        <v>July</v>
      </c>
      <c r="F1021" s="44">
        <v>45124</v>
      </c>
      <c r="G1021" t="s">
        <v>1665</v>
      </c>
      <c r="H1021" t="s">
        <v>1666</v>
      </c>
      <c r="I1021" t="s">
        <v>29</v>
      </c>
      <c r="J1021" t="s">
        <v>43</v>
      </c>
      <c r="K1021" t="s">
        <v>175</v>
      </c>
      <c r="L1021" t="s">
        <v>738</v>
      </c>
      <c r="M1021" t="s">
        <v>46</v>
      </c>
      <c r="N1021" t="s">
        <v>1074</v>
      </c>
      <c r="O1021" t="s">
        <v>35</v>
      </c>
      <c r="P1021" t="s">
        <v>111</v>
      </c>
      <c r="Q1021" t="s">
        <v>1075</v>
      </c>
      <c r="R1021">
        <v>1156</v>
      </c>
      <c r="S1021">
        <v>5</v>
      </c>
      <c r="T1021">
        <v>0.2</v>
      </c>
      <c r="U1021" s="34" t="str">
        <f t="shared" si="94"/>
        <v>Medium</v>
      </c>
      <c r="V1021">
        <v>-99.7</v>
      </c>
      <c r="W1021" s="29">
        <f t="shared" si="95"/>
        <v>-0.0862456747404844</v>
      </c>
      <c r="X1021">
        <v>24.06</v>
      </c>
      <c r="Y1021" t="s">
        <v>137</v>
      </c>
      <c r="Z1021" s="34" t="str">
        <f t="shared" si="96"/>
        <v>Medium</v>
      </c>
    </row>
    <row r="1022" spans="1:26">
      <c r="A1022" t="s">
        <v>1912</v>
      </c>
      <c r="B1022" s="44">
        <v>45377</v>
      </c>
      <c r="C1022" s="34">
        <f t="shared" si="91"/>
        <v>2024</v>
      </c>
      <c r="D1022" s="34">
        <f t="shared" si="92"/>
        <v>3</v>
      </c>
      <c r="E1022" s="34" t="str">
        <f t="shared" si="93"/>
        <v>March</v>
      </c>
      <c r="F1022" s="44">
        <v>45379</v>
      </c>
      <c r="G1022" t="s">
        <v>491</v>
      </c>
      <c r="H1022" t="s">
        <v>492</v>
      </c>
      <c r="I1022" t="s">
        <v>29</v>
      </c>
      <c r="J1022" t="s">
        <v>43</v>
      </c>
      <c r="K1022" t="s">
        <v>56</v>
      </c>
      <c r="L1022" t="s">
        <v>493</v>
      </c>
      <c r="M1022" t="s">
        <v>58</v>
      </c>
      <c r="N1022" t="s">
        <v>59</v>
      </c>
      <c r="O1022" t="s">
        <v>48</v>
      </c>
      <c r="P1022" t="s">
        <v>60</v>
      </c>
      <c r="Q1022" t="s">
        <v>61</v>
      </c>
      <c r="R1022">
        <v>348</v>
      </c>
      <c r="S1022">
        <v>2</v>
      </c>
      <c r="T1022">
        <v>0</v>
      </c>
      <c r="U1022" s="34" t="str">
        <f t="shared" si="94"/>
        <v>No Discount</v>
      </c>
      <c r="V1022">
        <v>74.27</v>
      </c>
      <c r="W1022" s="29">
        <f t="shared" si="95"/>
        <v>0.213419540229885</v>
      </c>
      <c r="X1022">
        <v>42.45</v>
      </c>
      <c r="Y1022" t="s">
        <v>62</v>
      </c>
      <c r="Z1022" s="34" t="str">
        <f t="shared" si="96"/>
        <v>Small</v>
      </c>
    </row>
    <row r="1023" spans="1:26">
      <c r="A1023" t="s">
        <v>1913</v>
      </c>
      <c r="B1023" s="44">
        <v>44749</v>
      </c>
      <c r="C1023" s="34">
        <f t="shared" si="91"/>
        <v>2022</v>
      </c>
      <c r="D1023" s="34">
        <f t="shared" si="92"/>
        <v>7</v>
      </c>
      <c r="E1023" s="34" t="str">
        <f t="shared" si="93"/>
        <v>July</v>
      </c>
      <c r="F1023" s="44">
        <v>44751</v>
      </c>
      <c r="G1023" t="s">
        <v>1650</v>
      </c>
      <c r="H1023" t="s">
        <v>1197</v>
      </c>
      <c r="I1023" t="s">
        <v>42</v>
      </c>
      <c r="J1023" t="s">
        <v>43</v>
      </c>
      <c r="K1023" t="s">
        <v>100</v>
      </c>
      <c r="L1023" t="s">
        <v>590</v>
      </c>
      <c r="M1023" t="s">
        <v>33</v>
      </c>
      <c r="N1023" t="s">
        <v>868</v>
      </c>
      <c r="O1023" t="s">
        <v>48</v>
      </c>
      <c r="P1023" t="s">
        <v>190</v>
      </c>
      <c r="Q1023" t="s">
        <v>869</v>
      </c>
      <c r="R1023">
        <v>707.75</v>
      </c>
      <c r="S1023">
        <v>5</v>
      </c>
      <c r="T1023">
        <v>0.05</v>
      </c>
      <c r="U1023" s="34" t="str">
        <f t="shared" si="94"/>
        <v>Low</v>
      </c>
      <c r="V1023">
        <v>-39.25</v>
      </c>
      <c r="W1023" s="29">
        <f t="shared" si="95"/>
        <v>-0.0554574355351466</v>
      </c>
      <c r="X1023">
        <v>12.87</v>
      </c>
      <c r="Y1023" t="s">
        <v>51</v>
      </c>
      <c r="Z1023" s="34" t="str">
        <f t="shared" si="96"/>
        <v>Medium</v>
      </c>
    </row>
    <row r="1024" spans="1:26">
      <c r="A1024" t="s">
        <v>1914</v>
      </c>
      <c r="B1024" s="44">
        <v>45451</v>
      </c>
      <c r="C1024" s="34">
        <f t="shared" si="91"/>
        <v>2024</v>
      </c>
      <c r="D1024" s="34">
        <f t="shared" si="92"/>
        <v>6</v>
      </c>
      <c r="E1024" s="34" t="str">
        <f t="shared" si="93"/>
        <v>June</v>
      </c>
      <c r="F1024" s="44">
        <v>45453</v>
      </c>
      <c r="G1024" t="s">
        <v>185</v>
      </c>
      <c r="H1024" t="s">
        <v>186</v>
      </c>
      <c r="I1024" t="s">
        <v>42</v>
      </c>
      <c r="J1024" t="s">
        <v>43</v>
      </c>
      <c r="K1024" t="s">
        <v>187</v>
      </c>
      <c r="L1024" t="s">
        <v>188</v>
      </c>
      <c r="M1024" t="s">
        <v>33</v>
      </c>
      <c r="N1024" t="s">
        <v>235</v>
      </c>
      <c r="O1024" t="s">
        <v>35</v>
      </c>
      <c r="P1024" t="s">
        <v>78</v>
      </c>
      <c r="Q1024" t="s">
        <v>236</v>
      </c>
      <c r="R1024">
        <v>494.1</v>
      </c>
      <c r="S1024">
        <v>1</v>
      </c>
      <c r="T1024">
        <v>0.1</v>
      </c>
      <c r="U1024" s="34" t="str">
        <f t="shared" si="94"/>
        <v>Low</v>
      </c>
      <c r="V1024">
        <v>-50.61</v>
      </c>
      <c r="W1024" s="29">
        <f t="shared" si="95"/>
        <v>-0.102428658166363</v>
      </c>
      <c r="X1024">
        <v>36.93</v>
      </c>
      <c r="Y1024" t="s">
        <v>51</v>
      </c>
      <c r="Z1024" s="34" t="str">
        <f t="shared" si="96"/>
        <v>Small</v>
      </c>
    </row>
    <row r="1025" spans="1:26">
      <c r="A1025" t="s">
        <v>1915</v>
      </c>
      <c r="B1025" s="44">
        <v>44450</v>
      </c>
      <c r="C1025" s="34">
        <f t="shared" si="91"/>
        <v>2021</v>
      </c>
      <c r="D1025" s="34">
        <f t="shared" si="92"/>
        <v>9</v>
      </c>
      <c r="E1025" s="34" t="str">
        <f t="shared" si="93"/>
        <v>September</v>
      </c>
      <c r="F1025" s="44">
        <v>44456</v>
      </c>
      <c r="G1025" t="s">
        <v>1646</v>
      </c>
      <c r="H1025" t="s">
        <v>1647</v>
      </c>
      <c r="I1025" t="s">
        <v>55</v>
      </c>
      <c r="J1025" t="s">
        <v>43</v>
      </c>
      <c r="K1025" t="s">
        <v>199</v>
      </c>
      <c r="L1025" t="s">
        <v>851</v>
      </c>
      <c r="M1025" t="s">
        <v>46</v>
      </c>
      <c r="N1025" t="s">
        <v>86</v>
      </c>
      <c r="O1025" t="s">
        <v>67</v>
      </c>
      <c r="P1025" t="s">
        <v>87</v>
      </c>
      <c r="Q1025" t="s">
        <v>88</v>
      </c>
      <c r="R1025">
        <v>139.65</v>
      </c>
      <c r="S1025">
        <v>3</v>
      </c>
      <c r="T1025">
        <v>0.05</v>
      </c>
      <c r="U1025" s="34" t="str">
        <f t="shared" si="94"/>
        <v>Low</v>
      </c>
      <c r="V1025">
        <v>16.91</v>
      </c>
      <c r="W1025" s="29">
        <f t="shared" si="95"/>
        <v>0.12108843537415</v>
      </c>
      <c r="X1025">
        <v>36.75</v>
      </c>
      <c r="Y1025" t="s">
        <v>96</v>
      </c>
      <c r="Z1025" s="34" t="str">
        <f t="shared" si="96"/>
        <v>Small</v>
      </c>
    </row>
    <row r="1026" spans="1:26">
      <c r="A1026" t="s">
        <v>1916</v>
      </c>
      <c r="B1026" s="44">
        <v>45347</v>
      </c>
      <c r="C1026" s="34">
        <f t="shared" ref="C1026:C1051" si="97">YEAR(B1026)</f>
        <v>2024</v>
      </c>
      <c r="D1026" s="34">
        <f t="shared" ref="D1026:D1051" si="98">MONTH(B1026)</f>
        <v>2</v>
      </c>
      <c r="E1026" s="34" t="str">
        <f t="shared" ref="E1026:E1051" si="99">TEXT(B1026,"mmmm")</f>
        <v>February</v>
      </c>
      <c r="F1026" s="44">
        <v>45354</v>
      </c>
      <c r="G1026" t="s">
        <v>629</v>
      </c>
      <c r="H1026" t="s">
        <v>630</v>
      </c>
      <c r="I1026" t="s">
        <v>42</v>
      </c>
      <c r="J1026" t="s">
        <v>43</v>
      </c>
      <c r="K1026" t="s">
        <v>125</v>
      </c>
      <c r="L1026" t="s">
        <v>631</v>
      </c>
      <c r="M1026" t="s">
        <v>58</v>
      </c>
      <c r="N1026" t="s">
        <v>94</v>
      </c>
      <c r="O1026" t="s">
        <v>35</v>
      </c>
      <c r="P1026" t="s">
        <v>36</v>
      </c>
      <c r="Q1026" t="s">
        <v>95</v>
      </c>
      <c r="R1026">
        <v>6102</v>
      </c>
      <c r="S1026">
        <v>4</v>
      </c>
      <c r="T1026">
        <v>0.1</v>
      </c>
      <c r="U1026" s="34" t="str">
        <f t="shared" ref="U1026:U1051" si="100">IF(T1026=0,"No Discount",IF(T1026&lt;=0.1,"Low",IF(T1026&lt;=0.2,"Medium","High")))</f>
        <v>Low</v>
      </c>
      <c r="V1026">
        <v>1208.67</v>
      </c>
      <c r="W1026" s="29">
        <f t="shared" ref="W1026:W1051" si="101">V1026/R1026</f>
        <v>0.198077679449361</v>
      </c>
      <c r="X1026">
        <v>39.09</v>
      </c>
      <c r="Y1026" t="s">
        <v>51</v>
      </c>
      <c r="Z1026" s="34" t="str">
        <f t="shared" ref="Z1026:Z1051" si="102">IF(R1026&lt;500,"Small",IF(R1026&lt;=2000,"Medium","Large"))</f>
        <v>Large</v>
      </c>
    </row>
    <row r="1027" spans="1:26">
      <c r="A1027" t="s">
        <v>1917</v>
      </c>
      <c r="B1027" s="44">
        <v>45445</v>
      </c>
      <c r="C1027" s="34">
        <f t="shared" si="97"/>
        <v>2024</v>
      </c>
      <c r="D1027" s="34">
        <f t="shared" si="98"/>
        <v>6</v>
      </c>
      <c r="E1027" s="34" t="str">
        <f t="shared" si="99"/>
        <v>June</v>
      </c>
      <c r="F1027" s="44">
        <v>45446</v>
      </c>
      <c r="G1027" t="s">
        <v>1092</v>
      </c>
      <c r="H1027" t="s">
        <v>713</v>
      </c>
      <c r="I1027" t="s">
        <v>42</v>
      </c>
      <c r="J1027" t="s">
        <v>43</v>
      </c>
      <c r="K1027" t="s">
        <v>199</v>
      </c>
      <c r="L1027" t="s">
        <v>851</v>
      </c>
      <c r="M1027" t="s">
        <v>46</v>
      </c>
      <c r="N1027" t="s">
        <v>533</v>
      </c>
      <c r="O1027" t="s">
        <v>67</v>
      </c>
      <c r="P1027" t="s">
        <v>119</v>
      </c>
      <c r="Q1027" t="s">
        <v>534</v>
      </c>
      <c r="R1027">
        <v>989.1</v>
      </c>
      <c r="S1027">
        <v>1</v>
      </c>
      <c r="T1027">
        <v>0.1</v>
      </c>
      <c r="U1027" s="34" t="str">
        <f t="shared" si="100"/>
        <v>Low</v>
      </c>
      <c r="V1027">
        <v>185.62</v>
      </c>
      <c r="W1027" s="29">
        <f t="shared" si="101"/>
        <v>0.187665554544535</v>
      </c>
      <c r="X1027">
        <v>40.68</v>
      </c>
      <c r="Y1027" t="s">
        <v>70</v>
      </c>
      <c r="Z1027" s="34" t="str">
        <f t="shared" si="102"/>
        <v>Medium</v>
      </c>
    </row>
    <row r="1028" spans="1:26">
      <c r="A1028" t="s">
        <v>1918</v>
      </c>
      <c r="B1028" s="44">
        <v>44382</v>
      </c>
      <c r="C1028" s="34">
        <f t="shared" si="97"/>
        <v>2021</v>
      </c>
      <c r="D1028" s="34">
        <f t="shared" si="98"/>
        <v>7</v>
      </c>
      <c r="E1028" s="34" t="str">
        <f t="shared" si="99"/>
        <v>July</v>
      </c>
      <c r="F1028" s="44">
        <v>44386</v>
      </c>
      <c r="G1028" t="s">
        <v>876</v>
      </c>
      <c r="H1028" t="s">
        <v>877</v>
      </c>
      <c r="I1028" t="s">
        <v>42</v>
      </c>
      <c r="J1028" t="s">
        <v>30</v>
      </c>
      <c r="K1028" t="s">
        <v>56</v>
      </c>
      <c r="L1028" t="s">
        <v>493</v>
      </c>
      <c r="M1028" t="s">
        <v>58</v>
      </c>
      <c r="N1028" t="s">
        <v>673</v>
      </c>
      <c r="O1028" t="s">
        <v>35</v>
      </c>
      <c r="P1028" t="s">
        <v>202</v>
      </c>
      <c r="Q1028" t="s">
        <v>674</v>
      </c>
      <c r="R1028">
        <v>2970.75</v>
      </c>
      <c r="S1028">
        <v>5</v>
      </c>
      <c r="T1028">
        <v>0.15</v>
      </c>
      <c r="U1028" s="34" t="str">
        <f t="shared" si="100"/>
        <v>Medium</v>
      </c>
      <c r="V1028">
        <v>443.66</v>
      </c>
      <c r="W1028" s="29">
        <f t="shared" si="101"/>
        <v>0.149342758562653</v>
      </c>
      <c r="X1028">
        <v>6.51</v>
      </c>
      <c r="Y1028" t="s">
        <v>62</v>
      </c>
      <c r="Z1028" s="34" t="str">
        <f t="shared" si="102"/>
        <v>Large</v>
      </c>
    </row>
    <row r="1029" spans="1:26">
      <c r="A1029" t="s">
        <v>1919</v>
      </c>
      <c r="B1029" s="44">
        <v>45638</v>
      </c>
      <c r="C1029" s="34">
        <f t="shared" si="97"/>
        <v>2024</v>
      </c>
      <c r="D1029" s="34">
        <f t="shared" si="98"/>
        <v>12</v>
      </c>
      <c r="E1029" s="34" t="str">
        <f t="shared" si="99"/>
        <v>December</v>
      </c>
      <c r="F1029" s="44">
        <v>45641</v>
      </c>
      <c r="G1029" t="s">
        <v>98</v>
      </c>
      <c r="H1029" t="s">
        <v>99</v>
      </c>
      <c r="I1029" t="s">
        <v>55</v>
      </c>
      <c r="J1029" t="s">
        <v>43</v>
      </c>
      <c r="K1029" t="s">
        <v>100</v>
      </c>
      <c r="L1029" t="s">
        <v>101</v>
      </c>
      <c r="M1029" t="s">
        <v>33</v>
      </c>
      <c r="N1029" t="s">
        <v>424</v>
      </c>
      <c r="O1029" t="s">
        <v>67</v>
      </c>
      <c r="P1029" t="s">
        <v>103</v>
      </c>
      <c r="Q1029" t="s">
        <v>425</v>
      </c>
      <c r="R1029">
        <v>1557.6</v>
      </c>
      <c r="S1029">
        <v>3</v>
      </c>
      <c r="T1029">
        <v>0.2</v>
      </c>
      <c r="U1029" s="34" t="str">
        <f t="shared" si="100"/>
        <v>Medium</v>
      </c>
      <c r="V1029">
        <v>-131.05</v>
      </c>
      <c r="W1029" s="29">
        <f t="shared" si="101"/>
        <v>-0.0841358500256806</v>
      </c>
      <c r="X1029">
        <v>21.47</v>
      </c>
      <c r="Y1029" t="s">
        <v>80</v>
      </c>
      <c r="Z1029" s="34" t="str">
        <f t="shared" si="102"/>
        <v>Medium</v>
      </c>
    </row>
    <row r="1030" spans="1:26">
      <c r="A1030" t="s">
        <v>1920</v>
      </c>
      <c r="B1030" s="44">
        <v>45545</v>
      </c>
      <c r="C1030" s="34">
        <f t="shared" si="97"/>
        <v>2024</v>
      </c>
      <c r="D1030" s="34">
        <f t="shared" si="98"/>
        <v>9</v>
      </c>
      <c r="E1030" s="34" t="str">
        <f t="shared" si="99"/>
        <v>September</v>
      </c>
      <c r="F1030" s="44">
        <v>45548</v>
      </c>
      <c r="G1030" t="s">
        <v>593</v>
      </c>
      <c r="H1030" t="s">
        <v>594</v>
      </c>
      <c r="I1030" t="s">
        <v>29</v>
      </c>
      <c r="J1030" t="s">
        <v>43</v>
      </c>
      <c r="K1030" t="s">
        <v>146</v>
      </c>
      <c r="L1030" t="s">
        <v>595</v>
      </c>
      <c r="M1030" t="s">
        <v>33</v>
      </c>
      <c r="N1030" t="s">
        <v>375</v>
      </c>
      <c r="O1030" t="s">
        <v>35</v>
      </c>
      <c r="P1030" t="s">
        <v>163</v>
      </c>
      <c r="Q1030" t="s">
        <v>376</v>
      </c>
      <c r="R1030">
        <v>3245</v>
      </c>
      <c r="S1030">
        <v>5</v>
      </c>
      <c r="T1030">
        <v>0</v>
      </c>
      <c r="U1030" s="34" t="str">
        <f t="shared" si="100"/>
        <v>No Discount</v>
      </c>
      <c r="V1030">
        <v>580.56</v>
      </c>
      <c r="W1030" s="29">
        <f t="shared" si="101"/>
        <v>0.178909090909091</v>
      </c>
      <c r="X1030">
        <v>11.8</v>
      </c>
      <c r="Y1030" t="s">
        <v>137</v>
      </c>
      <c r="Z1030" s="34" t="str">
        <f t="shared" si="102"/>
        <v>Large</v>
      </c>
    </row>
    <row r="1031" spans="1:26">
      <c r="A1031" t="s">
        <v>1921</v>
      </c>
      <c r="B1031" s="44">
        <v>44768</v>
      </c>
      <c r="C1031" s="34">
        <f t="shared" si="97"/>
        <v>2022</v>
      </c>
      <c r="D1031" s="34">
        <f t="shared" si="98"/>
        <v>7</v>
      </c>
      <c r="E1031" s="34" t="str">
        <f t="shared" si="99"/>
        <v>July</v>
      </c>
      <c r="F1031" s="44">
        <v>44769</v>
      </c>
      <c r="G1031" t="s">
        <v>238</v>
      </c>
      <c r="H1031" t="s">
        <v>239</v>
      </c>
      <c r="I1031" t="s">
        <v>55</v>
      </c>
      <c r="J1031" t="s">
        <v>43</v>
      </c>
      <c r="K1031" t="s">
        <v>240</v>
      </c>
      <c r="L1031" t="s">
        <v>241</v>
      </c>
      <c r="M1031" t="s">
        <v>46</v>
      </c>
      <c r="N1031" t="s">
        <v>424</v>
      </c>
      <c r="O1031" t="s">
        <v>67</v>
      </c>
      <c r="P1031" t="s">
        <v>103</v>
      </c>
      <c r="Q1031" t="s">
        <v>425</v>
      </c>
      <c r="R1031">
        <v>1168.2</v>
      </c>
      <c r="S1031">
        <v>2</v>
      </c>
      <c r="T1031">
        <v>0.1</v>
      </c>
      <c r="U1031" s="34" t="str">
        <f t="shared" si="100"/>
        <v>Low</v>
      </c>
      <c r="V1031">
        <v>-95.05</v>
      </c>
      <c r="W1031" s="29">
        <f t="shared" si="101"/>
        <v>-0.0813644923814415</v>
      </c>
      <c r="X1031">
        <v>5.3</v>
      </c>
      <c r="Y1031" t="s">
        <v>70</v>
      </c>
      <c r="Z1031" s="34" t="str">
        <f t="shared" si="102"/>
        <v>Medium</v>
      </c>
    </row>
    <row r="1032" spans="1:26">
      <c r="A1032" t="s">
        <v>1922</v>
      </c>
      <c r="B1032" s="44">
        <v>45178</v>
      </c>
      <c r="C1032" s="34">
        <f t="shared" si="97"/>
        <v>2023</v>
      </c>
      <c r="D1032" s="34">
        <f t="shared" si="98"/>
        <v>9</v>
      </c>
      <c r="E1032" s="34" t="str">
        <f t="shared" si="99"/>
        <v>September</v>
      </c>
      <c r="F1032" s="44">
        <v>45179</v>
      </c>
      <c r="G1032" t="s">
        <v>1338</v>
      </c>
      <c r="H1032" t="s">
        <v>1339</v>
      </c>
      <c r="I1032" t="s">
        <v>29</v>
      </c>
      <c r="J1032" t="s">
        <v>30</v>
      </c>
      <c r="K1032" t="s">
        <v>125</v>
      </c>
      <c r="L1032" t="s">
        <v>808</v>
      </c>
      <c r="M1032" t="s">
        <v>58</v>
      </c>
      <c r="N1032" t="s">
        <v>670</v>
      </c>
      <c r="O1032" t="s">
        <v>48</v>
      </c>
      <c r="P1032" t="s">
        <v>49</v>
      </c>
      <c r="Q1032" t="s">
        <v>671</v>
      </c>
      <c r="R1032">
        <v>176.4</v>
      </c>
      <c r="S1032">
        <v>2</v>
      </c>
      <c r="T1032">
        <v>0.1</v>
      </c>
      <c r="U1032" s="34" t="str">
        <f t="shared" si="100"/>
        <v>Low</v>
      </c>
      <c r="V1032">
        <v>19.04</v>
      </c>
      <c r="W1032" s="29">
        <f t="shared" si="101"/>
        <v>0.107936507936508</v>
      </c>
      <c r="X1032">
        <v>7.08</v>
      </c>
      <c r="Y1032" t="s">
        <v>96</v>
      </c>
      <c r="Z1032" s="34" t="str">
        <f t="shared" si="102"/>
        <v>Small</v>
      </c>
    </row>
    <row r="1033" spans="1:26">
      <c r="A1033" t="s">
        <v>1923</v>
      </c>
      <c r="B1033" s="44">
        <v>45286</v>
      </c>
      <c r="C1033" s="34">
        <f t="shared" si="97"/>
        <v>2023</v>
      </c>
      <c r="D1033" s="34">
        <f t="shared" si="98"/>
        <v>12</v>
      </c>
      <c r="E1033" s="34" t="str">
        <f t="shared" si="99"/>
        <v>December</v>
      </c>
      <c r="F1033" s="44">
        <v>45293</v>
      </c>
      <c r="G1033" t="s">
        <v>1296</v>
      </c>
      <c r="H1033" t="s">
        <v>1297</v>
      </c>
      <c r="I1033" t="s">
        <v>42</v>
      </c>
      <c r="J1033" t="s">
        <v>30</v>
      </c>
      <c r="K1033" t="s">
        <v>273</v>
      </c>
      <c r="L1033" t="s">
        <v>468</v>
      </c>
      <c r="M1033" t="s">
        <v>46</v>
      </c>
      <c r="N1033" t="s">
        <v>66</v>
      </c>
      <c r="O1033" t="s">
        <v>67</v>
      </c>
      <c r="P1033" t="s">
        <v>68</v>
      </c>
      <c r="Q1033" t="s">
        <v>69</v>
      </c>
      <c r="R1033">
        <v>2876.4</v>
      </c>
      <c r="S1033">
        <v>4</v>
      </c>
      <c r="T1033">
        <v>0.1</v>
      </c>
      <c r="U1033" s="34" t="str">
        <f t="shared" si="100"/>
        <v>Low</v>
      </c>
      <c r="V1033">
        <v>704.29</v>
      </c>
      <c r="W1033" s="29">
        <f t="shared" si="101"/>
        <v>0.244851202892505</v>
      </c>
      <c r="X1033">
        <v>49.38</v>
      </c>
      <c r="Y1033" t="s">
        <v>62</v>
      </c>
      <c r="Z1033" s="34" t="str">
        <f t="shared" si="102"/>
        <v>Large</v>
      </c>
    </row>
    <row r="1034" spans="1:26">
      <c r="A1034" t="s">
        <v>1924</v>
      </c>
      <c r="B1034" s="44">
        <v>44220</v>
      </c>
      <c r="C1034" s="34">
        <f t="shared" si="97"/>
        <v>2021</v>
      </c>
      <c r="D1034" s="34">
        <f t="shared" si="98"/>
        <v>1</v>
      </c>
      <c r="E1034" s="34" t="str">
        <f t="shared" si="99"/>
        <v>January</v>
      </c>
      <c r="F1034" s="44">
        <v>44227</v>
      </c>
      <c r="G1034" t="s">
        <v>1787</v>
      </c>
      <c r="H1034" t="s">
        <v>481</v>
      </c>
      <c r="I1034" t="s">
        <v>55</v>
      </c>
      <c r="J1034" t="s">
        <v>43</v>
      </c>
      <c r="K1034" t="s">
        <v>240</v>
      </c>
      <c r="L1034" t="s">
        <v>765</v>
      </c>
      <c r="M1034" t="s">
        <v>46</v>
      </c>
      <c r="N1034" t="s">
        <v>421</v>
      </c>
      <c r="O1034" t="s">
        <v>67</v>
      </c>
      <c r="P1034" t="s">
        <v>252</v>
      </c>
      <c r="Q1034" t="s">
        <v>422</v>
      </c>
      <c r="R1034">
        <v>1284</v>
      </c>
      <c r="S1034">
        <v>2</v>
      </c>
      <c r="T1034">
        <v>0.25</v>
      </c>
      <c r="U1034" s="34" t="str">
        <f t="shared" si="100"/>
        <v>High</v>
      </c>
      <c r="V1034">
        <v>-72.46</v>
      </c>
      <c r="W1034" s="29">
        <f t="shared" si="101"/>
        <v>-0.0564330218068536</v>
      </c>
      <c r="X1034">
        <v>27.54</v>
      </c>
      <c r="Y1034" t="s">
        <v>51</v>
      </c>
      <c r="Z1034" s="34" t="str">
        <f t="shared" si="102"/>
        <v>Medium</v>
      </c>
    </row>
    <row r="1035" spans="1:26">
      <c r="A1035" t="s">
        <v>1925</v>
      </c>
      <c r="B1035" s="44">
        <v>44835</v>
      </c>
      <c r="C1035" s="34">
        <f t="shared" si="97"/>
        <v>2022</v>
      </c>
      <c r="D1035" s="34">
        <f t="shared" si="98"/>
        <v>10</v>
      </c>
      <c r="E1035" s="34" t="str">
        <f t="shared" si="99"/>
        <v>October</v>
      </c>
      <c r="F1035" s="44">
        <v>44840</v>
      </c>
      <c r="G1035" t="s">
        <v>1248</v>
      </c>
      <c r="H1035" t="s">
        <v>392</v>
      </c>
      <c r="I1035" t="s">
        <v>42</v>
      </c>
      <c r="J1035" t="s">
        <v>43</v>
      </c>
      <c r="K1035" t="s">
        <v>133</v>
      </c>
      <c r="L1035" t="s">
        <v>134</v>
      </c>
      <c r="M1035" t="s">
        <v>33</v>
      </c>
      <c r="N1035" t="s">
        <v>623</v>
      </c>
      <c r="O1035" t="s">
        <v>67</v>
      </c>
      <c r="P1035" t="s">
        <v>87</v>
      </c>
      <c r="Q1035" t="s">
        <v>624</v>
      </c>
      <c r="R1035">
        <v>522.9</v>
      </c>
      <c r="S1035">
        <v>3</v>
      </c>
      <c r="T1035">
        <v>0.3</v>
      </c>
      <c r="U1035" s="34" t="str">
        <f t="shared" si="100"/>
        <v>High</v>
      </c>
      <c r="V1035">
        <v>56.61</v>
      </c>
      <c r="W1035" s="29">
        <f t="shared" si="101"/>
        <v>0.108261617900172</v>
      </c>
      <c r="X1035">
        <v>20.46</v>
      </c>
      <c r="Y1035" t="s">
        <v>80</v>
      </c>
      <c r="Z1035" s="34" t="str">
        <f t="shared" si="102"/>
        <v>Medium</v>
      </c>
    </row>
    <row r="1036" spans="1:26">
      <c r="A1036" t="s">
        <v>1926</v>
      </c>
      <c r="B1036" s="44">
        <v>43923</v>
      </c>
      <c r="C1036" s="34">
        <f t="shared" si="97"/>
        <v>2020</v>
      </c>
      <c r="D1036" s="34">
        <f t="shared" si="98"/>
        <v>4</v>
      </c>
      <c r="E1036" s="34" t="str">
        <f t="shared" si="99"/>
        <v>April</v>
      </c>
      <c r="F1036" s="44">
        <v>43924</v>
      </c>
      <c r="G1036" t="s">
        <v>898</v>
      </c>
      <c r="H1036" t="s">
        <v>899</v>
      </c>
      <c r="I1036" t="s">
        <v>29</v>
      </c>
      <c r="J1036" t="s">
        <v>43</v>
      </c>
      <c r="K1036" t="s">
        <v>349</v>
      </c>
      <c r="L1036" t="s">
        <v>892</v>
      </c>
      <c r="M1036" t="s">
        <v>33</v>
      </c>
      <c r="N1036" t="s">
        <v>382</v>
      </c>
      <c r="O1036" t="s">
        <v>67</v>
      </c>
      <c r="P1036" t="s">
        <v>119</v>
      </c>
      <c r="Q1036" t="s">
        <v>383</v>
      </c>
      <c r="R1036">
        <v>4136.4</v>
      </c>
      <c r="S1036">
        <v>4</v>
      </c>
      <c r="T1036">
        <v>0.1</v>
      </c>
      <c r="U1036" s="34" t="str">
        <f t="shared" si="100"/>
        <v>Low</v>
      </c>
      <c r="V1036">
        <v>407.9</v>
      </c>
      <c r="W1036" s="29">
        <f t="shared" si="101"/>
        <v>0.0986123198916933</v>
      </c>
      <c r="X1036">
        <v>19.13</v>
      </c>
      <c r="Y1036" t="s">
        <v>62</v>
      </c>
      <c r="Z1036" s="34" t="str">
        <f t="shared" si="102"/>
        <v>Large</v>
      </c>
    </row>
    <row r="1037" spans="1:26">
      <c r="A1037" t="s">
        <v>1927</v>
      </c>
      <c r="B1037" s="44">
        <v>44277</v>
      </c>
      <c r="C1037" s="34">
        <f t="shared" si="97"/>
        <v>2021</v>
      </c>
      <c r="D1037" s="34">
        <f t="shared" si="98"/>
        <v>3</v>
      </c>
      <c r="E1037" s="34" t="str">
        <f t="shared" si="99"/>
        <v>March</v>
      </c>
      <c r="F1037" s="44">
        <v>44281</v>
      </c>
      <c r="G1037" t="s">
        <v>488</v>
      </c>
      <c r="H1037" t="s">
        <v>489</v>
      </c>
      <c r="I1037" t="s">
        <v>55</v>
      </c>
      <c r="J1037" t="s">
        <v>43</v>
      </c>
      <c r="K1037" t="s">
        <v>380</v>
      </c>
      <c r="L1037" t="s">
        <v>381</v>
      </c>
      <c r="M1037" t="s">
        <v>58</v>
      </c>
      <c r="N1037" t="s">
        <v>170</v>
      </c>
      <c r="O1037" t="s">
        <v>48</v>
      </c>
      <c r="P1037" t="s">
        <v>49</v>
      </c>
      <c r="Q1037" t="s">
        <v>171</v>
      </c>
      <c r="R1037">
        <v>447</v>
      </c>
      <c r="S1037">
        <v>3</v>
      </c>
      <c r="T1037">
        <v>0</v>
      </c>
      <c r="U1037" s="34" t="str">
        <f t="shared" si="100"/>
        <v>No Discount</v>
      </c>
      <c r="V1037">
        <v>39.69</v>
      </c>
      <c r="W1037" s="29">
        <f t="shared" si="101"/>
        <v>0.0887919463087248</v>
      </c>
      <c r="X1037">
        <v>46.49</v>
      </c>
      <c r="Y1037" t="s">
        <v>51</v>
      </c>
      <c r="Z1037" s="34" t="str">
        <f t="shared" si="102"/>
        <v>Small</v>
      </c>
    </row>
    <row r="1038" spans="1:26">
      <c r="A1038" t="s">
        <v>1928</v>
      </c>
      <c r="B1038" s="44">
        <v>44069</v>
      </c>
      <c r="C1038" s="34">
        <f t="shared" si="97"/>
        <v>2020</v>
      </c>
      <c r="D1038" s="34">
        <f t="shared" si="98"/>
        <v>8</v>
      </c>
      <c r="E1038" s="34" t="str">
        <f t="shared" si="99"/>
        <v>August</v>
      </c>
      <c r="F1038" s="44">
        <v>44070</v>
      </c>
      <c r="G1038" t="s">
        <v>72</v>
      </c>
      <c r="H1038" t="s">
        <v>73</v>
      </c>
      <c r="I1038" t="s">
        <v>55</v>
      </c>
      <c r="J1038" t="s">
        <v>30</v>
      </c>
      <c r="K1038" t="s">
        <v>74</v>
      </c>
      <c r="L1038" t="s">
        <v>75</v>
      </c>
      <c r="M1038" t="s">
        <v>76</v>
      </c>
      <c r="N1038" t="s">
        <v>351</v>
      </c>
      <c r="O1038" t="s">
        <v>67</v>
      </c>
      <c r="P1038" t="s">
        <v>68</v>
      </c>
      <c r="Q1038" t="s">
        <v>352</v>
      </c>
      <c r="R1038">
        <v>898.5</v>
      </c>
      <c r="S1038">
        <v>2</v>
      </c>
      <c r="T1038">
        <v>0.25</v>
      </c>
      <c r="U1038" s="34" t="str">
        <f t="shared" si="100"/>
        <v>High</v>
      </c>
      <c r="V1038">
        <v>-79.59</v>
      </c>
      <c r="W1038" s="29">
        <f t="shared" si="101"/>
        <v>-0.0885809682804675</v>
      </c>
      <c r="X1038">
        <v>25.71</v>
      </c>
      <c r="Y1038" t="s">
        <v>62</v>
      </c>
      <c r="Z1038" s="34" t="str">
        <f t="shared" si="102"/>
        <v>Medium</v>
      </c>
    </row>
    <row r="1039" spans="1:26">
      <c r="A1039" t="s">
        <v>1929</v>
      </c>
      <c r="B1039" s="44">
        <v>44019</v>
      </c>
      <c r="C1039" s="34">
        <f t="shared" si="97"/>
        <v>2020</v>
      </c>
      <c r="D1039" s="34">
        <f t="shared" si="98"/>
        <v>7</v>
      </c>
      <c r="E1039" s="34" t="str">
        <f t="shared" si="99"/>
        <v>July</v>
      </c>
      <c r="F1039" s="44">
        <v>44020</v>
      </c>
      <c r="G1039" t="s">
        <v>1439</v>
      </c>
      <c r="H1039" t="s">
        <v>283</v>
      </c>
      <c r="I1039" t="s">
        <v>29</v>
      </c>
      <c r="J1039" t="s">
        <v>30</v>
      </c>
      <c r="K1039" t="s">
        <v>297</v>
      </c>
      <c r="L1039" t="s">
        <v>298</v>
      </c>
      <c r="M1039" t="s">
        <v>46</v>
      </c>
      <c r="N1039" t="s">
        <v>500</v>
      </c>
      <c r="O1039" t="s">
        <v>67</v>
      </c>
      <c r="P1039" t="s">
        <v>68</v>
      </c>
      <c r="Q1039" t="s">
        <v>501</v>
      </c>
      <c r="R1039">
        <v>2607.75</v>
      </c>
      <c r="S1039">
        <v>5</v>
      </c>
      <c r="T1039">
        <v>0.05</v>
      </c>
      <c r="U1039" s="34" t="str">
        <f t="shared" si="100"/>
        <v>Low</v>
      </c>
      <c r="V1039">
        <v>455.06</v>
      </c>
      <c r="W1039" s="29">
        <f t="shared" si="101"/>
        <v>0.174502923976608</v>
      </c>
      <c r="X1039">
        <v>47.77</v>
      </c>
      <c r="Y1039" t="s">
        <v>137</v>
      </c>
      <c r="Z1039" s="34" t="str">
        <f t="shared" si="102"/>
        <v>Large</v>
      </c>
    </row>
    <row r="1040" spans="1:26">
      <c r="A1040" t="s">
        <v>1930</v>
      </c>
      <c r="B1040" s="44">
        <v>45620</v>
      </c>
      <c r="C1040" s="34">
        <f t="shared" si="97"/>
        <v>2024</v>
      </c>
      <c r="D1040" s="34">
        <f t="shared" si="98"/>
        <v>11</v>
      </c>
      <c r="E1040" s="34" t="str">
        <f t="shared" si="99"/>
        <v>November</v>
      </c>
      <c r="F1040" s="44">
        <v>45621</v>
      </c>
      <c r="G1040" t="s">
        <v>924</v>
      </c>
      <c r="H1040" t="s">
        <v>925</v>
      </c>
      <c r="I1040" t="s">
        <v>42</v>
      </c>
      <c r="J1040" t="s">
        <v>43</v>
      </c>
      <c r="K1040" t="s">
        <v>438</v>
      </c>
      <c r="L1040" t="s">
        <v>439</v>
      </c>
      <c r="M1040" t="s">
        <v>76</v>
      </c>
      <c r="N1040" t="s">
        <v>94</v>
      </c>
      <c r="O1040" t="s">
        <v>35</v>
      </c>
      <c r="P1040" t="s">
        <v>36</v>
      </c>
      <c r="Q1040" t="s">
        <v>95</v>
      </c>
      <c r="R1040">
        <v>8475</v>
      </c>
      <c r="S1040">
        <v>5</v>
      </c>
      <c r="T1040">
        <v>0</v>
      </c>
      <c r="U1040" s="34" t="str">
        <f t="shared" si="100"/>
        <v>No Discount</v>
      </c>
      <c r="V1040">
        <v>1013.78</v>
      </c>
      <c r="W1040" s="29">
        <f t="shared" si="101"/>
        <v>0.11962005899705</v>
      </c>
      <c r="X1040">
        <v>10.72</v>
      </c>
      <c r="Y1040" t="s">
        <v>96</v>
      </c>
      <c r="Z1040" s="34" t="str">
        <f t="shared" si="102"/>
        <v>Large</v>
      </c>
    </row>
    <row r="1041" spans="1:26">
      <c r="A1041" t="s">
        <v>1931</v>
      </c>
      <c r="B1041" s="44">
        <v>45044</v>
      </c>
      <c r="C1041" s="34">
        <f t="shared" si="97"/>
        <v>2023</v>
      </c>
      <c r="D1041" s="34">
        <f t="shared" si="98"/>
        <v>4</v>
      </c>
      <c r="E1041" s="34" t="str">
        <f t="shared" si="99"/>
        <v>April</v>
      </c>
      <c r="F1041" s="44">
        <v>45046</v>
      </c>
      <c r="G1041" t="s">
        <v>600</v>
      </c>
      <c r="H1041" t="s">
        <v>601</v>
      </c>
      <c r="I1041" t="s">
        <v>55</v>
      </c>
      <c r="J1041" t="s">
        <v>43</v>
      </c>
      <c r="K1041" t="s">
        <v>602</v>
      </c>
      <c r="L1041" t="s">
        <v>603</v>
      </c>
      <c r="M1041" t="s">
        <v>46</v>
      </c>
      <c r="N1041" t="s">
        <v>357</v>
      </c>
      <c r="O1041" t="s">
        <v>48</v>
      </c>
      <c r="P1041" t="s">
        <v>49</v>
      </c>
      <c r="Q1041" t="s">
        <v>358</v>
      </c>
      <c r="R1041">
        <v>65.55</v>
      </c>
      <c r="S1041">
        <v>1</v>
      </c>
      <c r="T1041">
        <v>0.05</v>
      </c>
      <c r="U1041" s="34" t="str">
        <f t="shared" si="100"/>
        <v>Low</v>
      </c>
      <c r="V1041">
        <v>11.11</v>
      </c>
      <c r="W1041" s="29">
        <f t="shared" si="101"/>
        <v>0.169488939740656</v>
      </c>
      <c r="X1041">
        <v>17.6</v>
      </c>
      <c r="Y1041" t="s">
        <v>137</v>
      </c>
      <c r="Z1041" s="34" t="str">
        <f t="shared" si="102"/>
        <v>Small</v>
      </c>
    </row>
    <row r="1042" spans="1:26">
      <c r="A1042" t="s">
        <v>1932</v>
      </c>
      <c r="B1042" s="44">
        <v>45303</v>
      </c>
      <c r="C1042" s="34">
        <f t="shared" si="97"/>
        <v>2024</v>
      </c>
      <c r="D1042" s="34">
        <f t="shared" si="98"/>
        <v>1</v>
      </c>
      <c r="E1042" s="34" t="str">
        <f t="shared" si="99"/>
        <v>January</v>
      </c>
      <c r="F1042" s="44">
        <v>45306</v>
      </c>
      <c r="G1042" t="s">
        <v>708</v>
      </c>
      <c r="H1042" t="s">
        <v>709</v>
      </c>
      <c r="I1042" t="s">
        <v>29</v>
      </c>
      <c r="J1042" t="s">
        <v>30</v>
      </c>
      <c r="K1042" t="s">
        <v>100</v>
      </c>
      <c r="L1042" t="s">
        <v>590</v>
      </c>
      <c r="M1042" t="s">
        <v>33</v>
      </c>
      <c r="N1042" t="s">
        <v>375</v>
      </c>
      <c r="O1042" t="s">
        <v>35</v>
      </c>
      <c r="P1042" t="s">
        <v>163</v>
      </c>
      <c r="Q1042" t="s">
        <v>376</v>
      </c>
      <c r="R1042">
        <v>2596</v>
      </c>
      <c r="S1042">
        <v>4</v>
      </c>
      <c r="T1042">
        <v>0</v>
      </c>
      <c r="U1042" s="34" t="str">
        <f t="shared" si="100"/>
        <v>No Discount</v>
      </c>
      <c r="V1042">
        <v>301.03</v>
      </c>
      <c r="W1042" s="29">
        <f t="shared" si="101"/>
        <v>0.115959167950693</v>
      </c>
      <c r="X1042">
        <v>34.95</v>
      </c>
      <c r="Y1042" t="s">
        <v>62</v>
      </c>
      <c r="Z1042" s="34" t="str">
        <f t="shared" si="102"/>
        <v>Large</v>
      </c>
    </row>
    <row r="1043" spans="1:26">
      <c r="A1043" t="s">
        <v>1933</v>
      </c>
      <c r="B1043" s="44">
        <v>45087</v>
      </c>
      <c r="C1043" s="34">
        <f t="shared" si="97"/>
        <v>2023</v>
      </c>
      <c r="D1043" s="34">
        <f t="shared" si="98"/>
        <v>6</v>
      </c>
      <c r="E1043" s="34" t="str">
        <f t="shared" si="99"/>
        <v>June</v>
      </c>
      <c r="F1043" s="44">
        <v>45091</v>
      </c>
      <c r="G1043" t="s">
        <v>980</v>
      </c>
      <c r="H1043" t="s">
        <v>981</v>
      </c>
      <c r="I1043" t="s">
        <v>29</v>
      </c>
      <c r="J1043" t="s">
        <v>43</v>
      </c>
      <c r="K1043" t="s">
        <v>257</v>
      </c>
      <c r="L1043" t="s">
        <v>258</v>
      </c>
      <c r="M1043" t="s">
        <v>76</v>
      </c>
      <c r="N1043" t="s">
        <v>264</v>
      </c>
      <c r="O1043" t="s">
        <v>67</v>
      </c>
      <c r="P1043" t="s">
        <v>87</v>
      </c>
      <c r="Q1043" t="s">
        <v>265</v>
      </c>
      <c r="R1043">
        <v>223.2</v>
      </c>
      <c r="S1043">
        <v>1</v>
      </c>
      <c r="T1043">
        <v>0.2</v>
      </c>
      <c r="U1043" s="34" t="str">
        <f t="shared" si="100"/>
        <v>Medium</v>
      </c>
      <c r="V1043">
        <v>30.42</v>
      </c>
      <c r="W1043" s="29">
        <f t="shared" si="101"/>
        <v>0.136290322580645</v>
      </c>
      <c r="X1043">
        <v>47.41</v>
      </c>
      <c r="Y1043" t="s">
        <v>38</v>
      </c>
      <c r="Z1043" s="34" t="str">
        <f t="shared" si="102"/>
        <v>Small</v>
      </c>
    </row>
    <row r="1044" spans="1:26">
      <c r="A1044" t="s">
        <v>1934</v>
      </c>
      <c r="B1044" s="44">
        <v>44593</v>
      </c>
      <c r="C1044" s="34">
        <f t="shared" si="97"/>
        <v>2022</v>
      </c>
      <c r="D1044" s="34">
        <f t="shared" si="98"/>
        <v>2</v>
      </c>
      <c r="E1044" s="34" t="str">
        <f t="shared" si="99"/>
        <v>February</v>
      </c>
      <c r="F1044" s="44">
        <v>44598</v>
      </c>
      <c r="G1044" t="s">
        <v>144</v>
      </c>
      <c r="H1044" t="s">
        <v>145</v>
      </c>
      <c r="I1044" t="s">
        <v>55</v>
      </c>
      <c r="J1044" t="s">
        <v>30</v>
      </c>
      <c r="K1044" t="s">
        <v>146</v>
      </c>
      <c r="L1044" t="s">
        <v>147</v>
      </c>
      <c r="M1044" t="s">
        <v>33</v>
      </c>
      <c r="N1044" t="s">
        <v>228</v>
      </c>
      <c r="O1044" t="s">
        <v>67</v>
      </c>
      <c r="P1044" t="s">
        <v>103</v>
      </c>
      <c r="Q1044" t="s">
        <v>229</v>
      </c>
      <c r="R1044">
        <v>596</v>
      </c>
      <c r="S1044">
        <v>4</v>
      </c>
      <c r="T1044">
        <v>0</v>
      </c>
      <c r="U1044" s="34" t="str">
        <f t="shared" si="100"/>
        <v>No Discount</v>
      </c>
      <c r="V1044">
        <v>101.43</v>
      </c>
      <c r="W1044" s="29">
        <f t="shared" si="101"/>
        <v>0.170184563758389</v>
      </c>
      <c r="X1044">
        <v>19.51</v>
      </c>
      <c r="Y1044" t="s">
        <v>70</v>
      </c>
      <c r="Z1044" s="34" t="str">
        <f t="shared" si="102"/>
        <v>Medium</v>
      </c>
    </row>
    <row r="1045" spans="1:26">
      <c r="A1045" t="s">
        <v>1935</v>
      </c>
      <c r="B1045" s="44">
        <v>45460</v>
      </c>
      <c r="C1045" s="34">
        <f t="shared" si="97"/>
        <v>2024</v>
      </c>
      <c r="D1045" s="34">
        <f t="shared" si="98"/>
        <v>6</v>
      </c>
      <c r="E1045" s="34" t="str">
        <f t="shared" si="99"/>
        <v>June</v>
      </c>
      <c r="F1045" s="44">
        <v>45467</v>
      </c>
      <c r="G1045" t="s">
        <v>901</v>
      </c>
      <c r="H1045" t="s">
        <v>902</v>
      </c>
      <c r="I1045" t="s">
        <v>42</v>
      </c>
      <c r="J1045" t="s">
        <v>43</v>
      </c>
      <c r="K1045" t="s">
        <v>262</v>
      </c>
      <c r="L1045" t="s">
        <v>568</v>
      </c>
      <c r="M1045" t="s">
        <v>58</v>
      </c>
      <c r="N1045" t="s">
        <v>315</v>
      </c>
      <c r="O1045" t="s">
        <v>67</v>
      </c>
      <c r="P1045" t="s">
        <v>252</v>
      </c>
      <c r="Q1045" t="s">
        <v>316</v>
      </c>
      <c r="R1045">
        <v>1222.2</v>
      </c>
      <c r="S1045">
        <v>2</v>
      </c>
      <c r="T1045">
        <v>0.1</v>
      </c>
      <c r="U1045" s="34" t="str">
        <f t="shared" si="100"/>
        <v>Low</v>
      </c>
      <c r="V1045">
        <v>266.94</v>
      </c>
      <c r="W1045" s="29">
        <f t="shared" si="101"/>
        <v>0.21840942562592</v>
      </c>
      <c r="X1045">
        <v>6.47</v>
      </c>
      <c r="Y1045" t="s">
        <v>96</v>
      </c>
      <c r="Z1045" s="34" t="str">
        <f t="shared" si="102"/>
        <v>Medium</v>
      </c>
    </row>
    <row r="1046" spans="1:26">
      <c r="A1046" t="s">
        <v>1936</v>
      </c>
      <c r="B1046" s="44">
        <v>44342</v>
      </c>
      <c r="C1046" s="34">
        <f t="shared" si="97"/>
        <v>2021</v>
      </c>
      <c r="D1046" s="34">
        <f t="shared" si="98"/>
        <v>5</v>
      </c>
      <c r="E1046" s="34" t="str">
        <f t="shared" si="99"/>
        <v>May</v>
      </c>
      <c r="F1046" s="44">
        <v>44344</v>
      </c>
      <c r="G1046" t="s">
        <v>373</v>
      </c>
      <c r="H1046" t="s">
        <v>374</v>
      </c>
      <c r="I1046" t="s">
        <v>42</v>
      </c>
      <c r="J1046" t="s">
        <v>43</v>
      </c>
      <c r="K1046" t="s">
        <v>74</v>
      </c>
      <c r="L1046" t="s">
        <v>75</v>
      </c>
      <c r="M1046" t="s">
        <v>76</v>
      </c>
      <c r="N1046" t="s">
        <v>312</v>
      </c>
      <c r="O1046" t="s">
        <v>48</v>
      </c>
      <c r="P1046" t="s">
        <v>49</v>
      </c>
      <c r="Q1046" t="s">
        <v>313</v>
      </c>
      <c r="R1046">
        <v>111.15</v>
      </c>
      <c r="S1046">
        <v>3</v>
      </c>
      <c r="T1046">
        <v>0.05</v>
      </c>
      <c r="U1046" s="34" t="str">
        <f t="shared" si="100"/>
        <v>Low</v>
      </c>
      <c r="V1046">
        <v>-20.67</v>
      </c>
      <c r="W1046" s="29">
        <f t="shared" si="101"/>
        <v>-0.185964912280702</v>
      </c>
      <c r="X1046">
        <v>39.27</v>
      </c>
      <c r="Y1046" t="s">
        <v>62</v>
      </c>
      <c r="Z1046" s="34" t="str">
        <f t="shared" si="102"/>
        <v>Small</v>
      </c>
    </row>
    <row r="1047" spans="1:26">
      <c r="A1047" t="s">
        <v>1937</v>
      </c>
      <c r="B1047" s="44">
        <v>45510</v>
      </c>
      <c r="C1047" s="34">
        <f t="shared" si="97"/>
        <v>2024</v>
      </c>
      <c r="D1047" s="34">
        <f t="shared" si="98"/>
        <v>8</v>
      </c>
      <c r="E1047" s="34" t="str">
        <f t="shared" si="99"/>
        <v>August</v>
      </c>
      <c r="F1047" s="44">
        <v>45512</v>
      </c>
      <c r="G1047" t="s">
        <v>921</v>
      </c>
      <c r="H1047" t="s">
        <v>922</v>
      </c>
      <c r="I1047" t="s">
        <v>55</v>
      </c>
      <c r="J1047" t="s">
        <v>43</v>
      </c>
      <c r="K1047" t="s">
        <v>199</v>
      </c>
      <c r="L1047" t="s">
        <v>851</v>
      </c>
      <c r="M1047" t="s">
        <v>46</v>
      </c>
      <c r="N1047" t="s">
        <v>698</v>
      </c>
      <c r="O1047" t="s">
        <v>35</v>
      </c>
      <c r="P1047" t="s">
        <v>36</v>
      </c>
      <c r="Q1047" t="s">
        <v>699</v>
      </c>
      <c r="R1047">
        <v>2677.5</v>
      </c>
      <c r="S1047">
        <v>5</v>
      </c>
      <c r="T1047">
        <v>0.1</v>
      </c>
      <c r="U1047" s="34" t="str">
        <f t="shared" si="100"/>
        <v>Low</v>
      </c>
      <c r="V1047">
        <v>255.16</v>
      </c>
      <c r="W1047" s="29">
        <f t="shared" si="101"/>
        <v>0.0952978524743231</v>
      </c>
      <c r="X1047">
        <v>41.98</v>
      </c>
      <c r="Y1047" t="s">
        <v>137</v>
      </c>
      <c r="Z1047" s="34" t="str">
        <f t="shared" si="102"/>
        <v>Large</v>
      </c>
    </row>
    <row r="1048" spans="1:26">
      <c r="A1048" t="s">
        <v>1938</v>
      </c>
      <c r="B1048" s="44">
        <v>45524</v>
      </c>
      <c r="C1048" s="34">
        <f t="shared" si="97"/>
        <v>2024</v>
      </c>
      <c r="D1048" s="34">
        <f t="shared" si="98"/>
        <v>8</v>
      </c>
      <c r="E1048" s="34" t="str">
        <f t="shared" si="99"/>
        <v>August</v>
      </c>
      <c r="F1048" s="44">
        <v>45525</v>
      </c>
      <c r="G1048" t="s">
        <v>1268</v>
      </c>
      <c r="H1048" t="s">
        <v>518</v>
      </c>
      <c r="I1048" t="s">
        <v>29</v>
      </c>
      <c r="J1048" t="s">
        <v>43</v>
      </c>
      <c r="K1048" t="s">
        <v>297</v>
      </c>
      <c r="L1048" t="s">
        <v>887</v>
      </c>
      <c r="M1048" t="s">
        <v>46</v>
      </c>
      <c r="N1048" t="s">
        <v>102</v>
      </c>
      <c r="O1048" t="s">
        <v>67</v>
      </c>
      <c r="P1048" t="s">
        <v>103</v>
      </c>
      <c r="Q1048" t="s">
        <v>104</v>
      </c>
      <c r="R1048">
        <v>558.6</v>
      </c>
      <c r="S1048">
        <v>2</v>
      </c>
      <c r="T1048">
        <v>0.3</v>
      </c>
      <c r="U1048" s="34" t="str">
        <f t="shared" si="100"/>
        <v>High</v>
      </c>
      <c r="V1048">
        <v>75.03</v>
      </c>
      <c r="W1048" s="29">
        <f t="shared" si="101"/>
        <v>0.134317937701396</v>
      </c>
      <c r="X1048">
        <v>29.2</v>
      </c>
      <c r="Y1048" t="s">
        <v>38</v>
      </c>
      <c r="Z1048" s="34" t="str">
        <f t="shared" si="102"/>
        <v>Medium</v>
      </c>
    </row>
    <row r="1049" spans="1:26">
      <c r="A1049" t="s">
        <v>1939</v>
      </c>
      <c r="B1049" s="44">
        <v>44309</v>
      </c>
      <c r="C1049" s="34">
        <f t="shared" si="97"/>
        <v>2021</v>
      </c>
      <c r="D1049" s="34">
        <f t="shared" si="98"/>
        <v>4</v>
      </c>
      <c r="E1049" s="34" t="str">
        <f t="shared" si="99"/>
        <v>April</v>
      </c>
      <c r="F1049" s="44">
        <v>44314</v>
      </c>
      <c r="G1049" t="s">
        <v>759</v>
      </c>
      <c r="H1049" t="s">
        <v>644</v>
      </c>
      <c r="I1049" t="s">
        <v>42</v>
      </c>
      <c r="J1049" t="s">
        <v>43</v>
      </c>
      <c r="K1049" t="s">
        <v>645</v>
      </c>
      <c r="L1049" t="s">
        <v>311</v>
      </c>
      <c r="M1049" t="s">
        <v>58</v>
      </c>
      <c r="N1049" t="s">
        <v>623</v>
      </c>
      <c r="O1049" t="s">
        <v>67</v>
      </c>
      <c r="P1049" t="s">
        <v>87</v>
      </c>
      <c r="Q1049" t="s">
        <v>624</v>
      </c>
      <c r="R1049">
        <v>796.8</v>
      </c>
      <c r="S1049">
        <v>4</v>
      </c>
      <c r="T1049">
        <v>0.2</v>
      </c>
      <c r="U1049" s="34" t="str">
        <f t="shared" si="100"/>
        <v>Medium</v>
      </c>
      <c r="V1049">
        <v>131.95</v>
      </c>
      <c r="W1049" s="29">
        <f t="shared" si="101"/>
        <v>0.165599899598394</v>
      </c>
      <c r="X1049">
        <v>38.26</v>
      </c>
      <c r="Y1049" t="s">
        <v>70</v>
      </c>
      <c r="Z1049" s="34" t="str">
        <f t="shared" si="102"/>
        <v>Medium</v>
      </c>
    </row>
    <row r="1050" spans="1:26">
      <c r="A1050" t="s">
        <v>1940</v>
      </c>
      <c r="B1050" s="44">
        <v>44332</v>
      </c>
      <c r="C1050" s="34">
        <f t="shared" si="97"/>
        <v>2021</v>
      </c>
      <c r="D1050" s="34">
        <f t="shared" si="98"/>
        <v>5</v>
      </c>
      <c r="E1050" s="34" t="str">
        <f t="shared" si="99"/>
        <v>May</v>
      </c>
      <c r="F1050" s="44">
        <v>44338</v>
      </c>
      <c r="G1050" t="s">
        <v>1941</v>
      </c>
      <c r="H1050" t="s">
        <v>1942</v>
      </c>
      <c r="I1050" t="s">
        <v>55</v>
      </c>
      <c r="J1050" t="s">
        <v>30</v>
      </c>
      <c r="K1050" t="s">
        <v>640</v>
      </c>
      <c r="L1050" t="s">
        <v>641</v>
      </c>
      <c r="M1050" t="s">
        <v>76</v>
      </c>
      <c r="N1050" t="s">
        <v>141</v>
      </c>
      <c r="O1050" t="s">
        <v>35</v>
      </c>
      <c r="P1050" t="s">
        <v>111</v>
      </c>
      <c r="Q1050" t="s">
        <v>142</v>
      </c>
      <c r="R1050">
        <v>119.2</v>
      </c>
      <c r="S1050">
        <v>1</v>
      </c>
      <c r="T1050">
        <v>0.2</v>
      </c>
      <c r="U1050" s="34" t="str">
        <f t="shared" si="100"/>
        <v>Medium</v>
      </c>
      <c r="V1050">
        <v>6.88</v>
      </c>
      <c r="W1050" s="29">
        <f t="shared" si="101"/>
        <v>0.0577181208053691</v>
      </c>
      <c r="X1050">
        <v>24.75</v>
      </c>
      <c r="Y1050" t="s">
        <v>121</v>
      </c>
      <c r="Z1050" s="34" t="str">
        <f t="shared" si="102"/>
        <v>Small</v>
      </c>
    </row>
    <row r="1051" spans="1:26">
      <c r="A1051" t="s">
        <v>1943</v>
      </c>
      <c r="B1051" s="44">
        <v>44590</v>
      </c>
      <c r="C1051" s="34">
        <f t="shared" si="97"/>
        <v>2022</v>
      </c>
      <c r="D1051" s="34">
        <f t="shared" si="98"/>
        <v>1</v>
      </c>
      <c r="E1051" s="34" t="str">
        <f t="shared" si="99"/>
        <v>January</v>
      </c>
      <c r="F1051" s="44">
        <v>44591</v>
      </c>
      <c r="G1051" t="s">
        <v>789</v>
      </c>
      <c r="H1051" t="s">
        <v>790</v>
      </c>
      <c r="I1051" t="s">
        <v>55</v>
      </c>
      <c r="J1051" t="s">
        <v>43</v>
      </c>
      <c r="K1051" t="s">
        <v>100</v>
      </c>
      <c r="L1051" t="s">
        <v>420</v>
      </c>
      <c r="M1051" t="s">
        <v>33</v>
      </c>
      <c r="N1051" t="s">
        <v>430</v>
      </c>
      <c r="O1051" t="s">
        <v>67</v>
      </c>
      <c r="P1051" t="s">
        <v>87</v>
      </c>
      <c r="Q1051" t="s">
        <v>431</v>
      </c>
      <c r="R1051">
        <v>895</v>
      </c>
      <c r="S1051">
        <v>5</v>
      </c>
      <c r="T1051">
        <v>0</v>
      </c>
      <c r="U1051" s="34" t="str">
        <f t="shared" si="100"/>
        <v>No Discount</v>
      </c>
      <c r="V1051">
        <v>-82.88</v>
      </c>
      <c r="W1051" s="29">
        <f t="shared" si="101"/>
        <v>-0.0926033519553073</v>
      </c>
      <c r="X1051">
        <v>37.6</v>
      </c>
      <c r="Y1051" t="s">
        <v>96</v>
      </c>
      <c r="Z1051" s="34" t="str">
        <f t="shared" si="102"/>
        <v>Medium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9"/>
  <sheetViews>
    <sheetView topLeftCell="E1" workbookViewId="0">
      <selection activeCell="I5" sqref="I5"/>
    </sheetView>
  </sheetViews>
  <sheetFormatPr defaultColWidth="8.72727272727273" defaultRowHeight="14.5"/>
  <cols>
    <col min="1" max="1" width="23.0909090909091" customWidth="1"/>
    <col min="2" max="3" width="11.7272727272727" customWidth="1"/>
    <col min="5" max="5" width="11.6363636363636"/>
    <col min="6" max="6" width="12.2727272727273"/>
    <col min="8" max="8" width="11.6363636363636"/>
    <col min="9" max="9" width="12.2727272727273"/>
    <col min="10" max="10" width="9.54545454545454"/>
    <col min="11" max="11" width="11.6363636363636"/>
    <col min="12" max="12" width="12.9090909090909"/>
    <col min="14" max="14" width="19.6363636363636"/>
    <col min="15" max="15" width="17.9090909090909"/>
    <col min="17" max="17" width="12.1818181818182"/>
    <col min="18" max="18" width="12.2727272727273"/>
    <col min="21" max="21" width="13.3636363636364"/>
    <col min="22" max="22" width="12.2727272727273"/>
    <col min="24" max="24" width="13.3636363636364"/>
    <col min="25" max="25" width="12.9090909090909"/>
    <col min="27" max="27" width="15.6363636363636"/>
    <col min="28" max="28" width="12.2727272727273"/>
    <col min="30" max="30" width="12.7272727272727"/>
    <col min="31" max="31" width="17.9090909090909"/>
    <col min="34" max="34" width="15.6363636363636"/>
    <col min="35" max="35" width="12.2727272727273"/>
    <col min="37" max="37" width="28.3636363636364"/>
    <col min="38" max="38" width="12.2727272727273"/>
    <col min="40" max="40" width="18.3636363636364"/>
    <col min="41" max="41" width="12.2727272727273"/>
    <col min="43" max="43" width="11.6363636363636"/>
    <col min="44" max="45" width="12.7272727272727"/>
    <col min="46" max="46" width="12.8181818181818"/>
  </cols>
  <sheetData>
    <row r="1" spans="1:46">
      <c r="A1" s="31" t="s">
        <v>1944</v>
      </c>
      <c r="B1" s="31"/>
      <c r="C1" s="31"/>
    </row>
    <row r="2" ht="18.5" spans="1:46">
      <c r="A2" s="31"/>
      <c r="B2" s="31"/>
      <c r="C2" s="31"/>
      <c r="H2" s="32" t="s">
        <v>1945</v>
      </c>
      <c r="I2" s="32"/>
      <c r="K2" s="32" t="s">
        <v>1946</v>
      </c>
      <c r="L2" s="33"/>
    </row>
    <row r="3" spans="1:46">
      <c r="A3" s="31" t="s">
        <v>1947</v>
      </c>
      <c r="B3" s="31">
        <f>SUM(Cleaned_Data!$R$2:$R$1051)</f>
        <v>1299184.1</v>
      </c>
      <c r="C3" s="31"/>
      <c r="E3" t="s">
        <v>14</v>
      </c>
      <c r="F3" t="s">
        <v>1948</v>
      </c>
      <c r="H3" t="s">
        <v>12</v>
      </c>
      <c r="I3" t="s">
        <v>1948</v>
      </c>
      <c r="K3" t="s">
        <v>14</v>
      </c>
      <c r="L3" t="s">
        <v>1949</v>
      </c>
      <c r="N3" t="s">
        <v>24</v>
      </c>
      <c r="O3" t="s">
        <v>1950</v>
      </c>
      <c r="Q3" t="s">
        <v>8</v>
      </c>
      <c r="R3" t="s">
        <v>1948</v>
      </c>
      <c r="U3" t="s">
        <v>2</v>
      </c>
      <c r="V3" t="s">
        <v>1948</v>
      </c>
      <c r="X3" t="s">
        <v>2</v>
      </c>
      <c r="Y3" t="s">
        <v>1949</v>
      </c>
      <c r="AA3" t="s">
        <v>4</v>
      </c>
      <c r="AB3" t="s">
        <v>1948</v>
      </c>
      <c r="AD3" t="s">
        <v>25</v>
      </c>
      <c r="AE3" t="s">
        <v>1950</v>
      </c>
    </row>
    <row r="4" spans="1:46">
      <c r="A4" s="31" t="s">
        <v>1951</v>
      </c>
      <c r="B4" s="31">
        <f>SUM(Cleaned_Data!$V$2:$V$1051)</f>
        <v>152783.3</v>
      </c>
      <c r="C4" s="31"/>
      <c r="E4" t="s">
        <v>35</v>
      </c>
      <c r="F4">
        <v>672504.7</v>
      </c>
      <c r="H4" t="s">
        <v>46</v>
      </c>
      <c r="I4">
        <v>386682.7</v>
      </c>
      <c r="K4" t="s">
        <v>35</v>
      </c>
      <c r="L4">
        <v>80616.2899999999</v>
      </c>
      <c r="N4" t="s">
        <v>137</v>
      </c>
      <c r="O4">
        <v>141</v>
      </c>
      <c r="Q4" t="s">
        <v>42</v>
      </c>
      <c r="R4">
        <v>466807.6</v>
      </c>
      <c r="U4">
        <v>2024</v>
      </c>
      <c r="V4">
        <v>305861.9</v>
      </c>
      <c r="X4">
        <v>2024</v>
      </c>
      <c r="Y4" s="34">
        <v>36162.8</v>
      </c>
      <c r="AA4" t="s">
        <v>1952</v>
      </c>
      <c r="AB4">
        <v>145740.45</v>
      </c>
      <c r="AD4" t="s">
        <v>1953</v>
      </c>
      <c r="AE4" s="29">
        <v>0.227619047619048</v>
      </c>
    </row>
    <row r="5" ht="18.5" spans="1:46">
      <c r="A5" s="31" t="s">
        <v>1954</v>
      </c>
      <c r="B5" s="31">
        <f>COUNTA(Cleaned_Data!$A$2:$A$1051)</f>
        <v>1050</v>
      </c>
      <c r="C5" s="31"/>
      <c r="E5" t="s">
        <v>67</v>
      </c>
      <c r="F5">
        <v>549586.25</v>
      </c>
      <c r="H5" t="s">
        <v>33</v>
      </c>
      <c r="I5">
        <v>335343.75</v>
      </c>
      <c r="K5" t="s">
        <v>67</v>
      </c>
      <c r="L5">
        <v>66372.1</v>
      </c>
      <c r="N5" t="s">
        <v>96</v>
      </c>
      <c r="O5">
        <v>137</v>
      </c>
      <c r="Q5" t="s">
        <v>55</v>
      </c>
      <c r="R5">
        <v>446090.75</v>
      </c>
      <c r="U5">
        <v>2022</v>
      </c>
      <c r="V5">
        <v>270474.85</v>
      </c>
      <c r="X5">
        <v>2022</v>
      </c>
      <c r="Y5" s="34">
        <v>35084.72</v>
      </c>
      <c r="AA5" t="s">
        <v>1955</v>
      </c>
      <c r="AB5">
        <v>122712.15</v>
      </c>
      <c r="AD5" t="s">
        <v>1956</v>
      </c>
      <c r="AE5" s="29">
        <v>0.330476190476191</v>
      </c>
      <c r="AH5" s="32" t="s">
        <v>1957</v>
      </c>
      <c r="AI5" s="33"/>
      <c r="AK5" s="32" t="s">
        <v>1958</v>
      </c>
      <c r="AL5" s="33"/>
      <c r="AN5" s="35" t="s">
        <v>1959</v>
      </c>
      <c r="AO5" s="35"/>
      <c r="AP5" s="36"/>
      <c r="AQ5" s="32" t="s">
        <v>1960</v>
      </c>
      <c r="AR5" s="33"/>
      <c r="AS5" s="33"/>
      <c r="AT5" s="33"/>
    </row>
    <row r="6" spans="1:46">
      <c r="A6" s="31" t="s">
        <v>1961</v>
      </c>
      <c r="B6" s="31">
        <f>SUM(Cleaned_Data!$S$2:$S$1051)</f>
        <v>3054</v>
      </c>
      <c r="C6" s="31"/>
      <c r="E6" t="s">
        <v>48</v>
      </c>
      <c r="F6">
        <v>77093.15</v>
      </c>
      <c r="H6" t="s">
        <v>58</v>
      </c>
      <c r="I6">
        <v>294541.75</v>
      </c>
      <c r="K6" t="s">
        <v>48</v>
      </c>
      <c r="L6">
        <v>5794.91</v>
      </c>
      <c r="N6" t="s">
        <v>121</v>
      </c>
      <c r="O6">
        <v>134</v>
      </c>
      <c r="Q6" t="s">
        <v>29</v>
      </c>
      <c r="R6">
        <v>386285.75</v>
      </c>
      <c r="U6">
        <v>2020</v>
      </c>
      <c r="V6">
        <v>269233.6</v>
      </c>
      <c r="X6">
        <v>2020</v>
      </c>
      <c r="Y6" s="34">
        <v>31986.27</v>
      </c>
      <c r="AA6" t="s">
        <v>1962</v>
      </c>
      <c r="AB6">
        <v>120664.6</v>
      </c>
      <c r="AD6" t="s">
        <v>1963</v>
      </c>
      <c r="AE6" s="29">
        <v>0.441904761904762</v>
      </c>
      <c r="AH6" t="s">
        <v>4</v>
      </c>
      <c r="AI6" t="s">
        <v>1948</v>
      </c>
      <c r="AK6" t="s">
        <v>16</v>
      </c>
      <c r="AL6" t="s">
        <v>1948</v>
      </c>
      <c r="AN6" t="s">
        <v>7</v>
      </c>
      <c r="AO6" t="s">
        <v>1948</v>
      </c>
      <c r="AQ6" t="s">
        <v>14</v>
      </c>
      <c r="AR6" t="s">
        <v>1949</v>
      </c>
      <c r="AS6" t="s">
        <v>1948</v>
      </c>
      <c r="AT6" s="37" t="s">
        <v>1964</v>
      </c>
    </row>
    <row r="7" spans="1:46">
      <c r="A7" s="31" t="s">
        <v>1965</v>
      </c>
      <c r="B7" s="31">
        <f>AVERAGE(Cleaned_Data!$R$2:$R$1051)</f>
        <v>1237.31819047619</v>
      </c>
      <c r="C7" s="31" cm="1">
        <f t="array" ref="C7">SUM(Cleaned_Data!$R$2:$R$1051/COUNTA(Cleaned_Data!$A$2:$A$1051))</f>
        <v>1237.31819047619</v>
      </c>
      <c r="E7" t="s">
        <v>1966</v>
      </c>
      <c r="F7">
        <v>1299184.1</v>
      </c>
      <c r="H7" t="s">
        <v>76</v>
      </c>
      <c r="I7">
        <v>282615.9</v>
      </c>
      <c r="K7" t="s">
        <v>1966</v>
      </c>
      <c r="L7">
        <v>152783.3</v>
      </c>
      <c r="N7" t="s">
        <v>62</v>
      </c>
      <c r="O7">
        <v>133</v>
      </c>
      <c r="Q7" t="s">
        <v>1966</v>
      </c>
      <c r="R7">
        <v>1299184.1</v>
      </c>
      <c r="U7">
        <v>2023</v>
      </c>
      <c r="V7">
        <v>231057.45</v>
      </c>
      <c r="X7">
        <v>2021</v>
      </c>
      <c r="Y7" s="34">
        <v>25514.08</v>
      </c>
      <c r="AA7" t="s">
        <v>1967</v>
      </c>
      <c r="AB7">
        <v>118114.85</v>
      </c>
      <c r="AD7" t="s">
        <v>1966</v>
      </c>
      <c r="AE7" s="29">
        <v>1</v>
      </c>
      <c r="AH7" t="s">
        <v>1968</v>
      </c>
      <c r="AI7">
        <v>104978.9</v>
      </c>
      <c r="AK7" t="s">
        <v>95</v>
      </c>
      <c r="AL7">
        <v>83733</v>
      </c>
      <c r="AN7" t="s">
        <v>115</v>
      </c>
      <c r="AO7">
        <v>20179.1</v>
      </c>
      <c r="AQ7" t="s">
        <v>48</v>
      </c>
      <c r="AR7">
        <v>5794.91</v>
      </c>
      <c r="AS7">
        <v>77093.15</v>
      </c>
      <c r="AT7" s="38">
        <f>GETPIVOTDATA("Sum of Profit",$AQ$6,"Category","Clothing")/GETPIVOTDATA("Sum of Sales",$AQ$6,"Category","Clothing")</f>
        <v>0.0751676381105195</v>
      </c>
    </row>
    <row r="8" spans="1:46">
      <c r="A8" s="31" t="s">
        <v>1969</v>
      </c>
      <c r="B8" s="39">
        <f>AVERAGE(Cleaned_Data!W2:W1051)</f>
        <v>0.0834514124818184</v>
      </c>
      <c r="C8" s="31"/>
      <c r="H8" t="s">
        <v>1966</v>
      </c>
      <c r="I8">
        <v>1299184.1</v>
      </c>
      <c r="N8" t="s">
        <v>38</v>
      </c>
      <c r="O8">
        <v>131</v>
      </c>
      <c r="U8">
        <v>2021</v>
      </c>
      <c r="V8">
        <v>222556.3</v>
      </c>
      <c r="X8">
        <v>2023</v>
      </c>
      <c r="Y8" s="34">
        <v>24035.43</v>
      </c>
      <c r="AA8" t="s">
        <v>1970</v>
      </c>
      <c r="AB8">
        <v>113241.1</v>
      </c>
      <c r="AH8" t="s">
        <v>1971</v>
      </c>
      <c r="AI8">
        <v>90883.95</v>
      </c>
      <c r="AK8" t="s">
        <v>293</v>
      </c>
      <c r="AL8">
        <v>70795.5</v>
      </c>
      <c r="AN8" t="s">
        <v>41</v>
      </c>
      <c r="AO8">
        <v>18706.35</v>
      </c>
      <c r="AQ8" t="s">
        <v>67</v>
      </c>
      <c r="AR8">
        <v>66372.1</v>
      </c>
      <c r="AS8">
        <v>549586.25</v>
      </c>
      <c r="AT8" s="38">
        <f>GETPIVOTDATA("Sum of Profit",$AQ$6,"Category","Electronics")/GETPIVOTDATA("Sum of Sales",$AQ$6,"Category","Electronics")</f>
        <v>0.120767395472503</v>
      </c>
    </row>
    <row r="9" spans="1:46">
      <c r="A9" s="31"/>
      <c r="B9" s="40"/>
      <c r="C9" s="31"/>
      <c r="N9" t="s">
        <v>51</v>
      </c>
      <c r="O9">
        <v>131</v>
      </c>
      <c r="U9" t="s">
        <v>1966</v>
      </c>
      <c r="V9">
        <v>1299184.1</v>
      </c>
      <c r="X9" t="s">
        <v>1966</v>
      </c>
      <c r="Y9" s="34">
        <v>152783.3</v>
      </c>
      <c r="AA9" t="s">
        <v>1972</v>
      </c>
      <c r="AB9">
        <v>111851.7</v>
      </c>
      <c r="AH9" t="s">
        <v>1973</v>
      </c>
      <c r="AI9">
        <v>87649.1</v>
      </c>
      <c r="AK9" t="s">
        <v>120</v>
      </c>
      <c r="AL9">
        <v>70681.05</v>
      </c>
      <c r="AN9" t="s">
        <v>261</v>
      </c>
      <c r="AO9">
        <v>17842.2</v>
      </c>
      <c r="AQ9" t="s">
        <v>35</v>
      </c>
      <c r="AR9">
        <v>80616.2899999999</v>
      </c>
      <c r="AS9">
        <v>672504.7</v>
      </c>
      <c r="AT9" s="41">
        <f>GETPIVOTDATA("Sum of Profit",$AQ$6,"Category","Furniture")/GETPIVOTDATA("Sum of Sales",$AQ$6,"Category","Furniture")</f>
        <v>0.119874686377656</v>
      </c>
    </row>
    <row r="10" spans="1:46">
      <c r="A10" s="31" t="s">
        <v>1974</v>
      </c>
      <c r="B10" s="40">
        <f>MIN(Cleaned_Data!$B$2:$B$1051)</f>
        <v>43831</v>
      </c>
      <c r="C10" s="31"/>
      <c r="N10" t="s">
        <v>70</v>
      </c>
      <c r="O10">
        <v>123</v>
      </c>
      <c r="AA10" t="s">
        <v>1968</v>
      </c>
      <c r="AB10">
        <v>104978.9</v>
      </c>
      <c r="AH10" t="s">
        <v>1955</v>
      </c>
      <c r="AI10">
        <v>122712.15</v>
      </c>
      <c r="AK10" t="s">
        <v>547</v>
      </c>
      <c r="AL10">
        <v>69344.5</v>
      </c>
      <c r="AN10" t="s">
        <v>348</v>
      </c>
      <c r="AO10">
        <v>17202.55</v>
      </c>
      <c r="AQ10" t="s">
        <v>1966</v>
      </c>
      <c r="AR10">
        <v>152783.3</v>
      </c>
      <c r="AS10">
        <v>1299184.1</v>
      </c>
      <c r="AT10" s="42"/>
    </row>
    <row r="11" spans="1:46">
      <c r="A11" s="43" t="s">
        <v>1975</v>
      </c>
      <c r="B11" s="40">
        <f>MAX(Cleaned_Data!$B$2:$B$1051)</f>
        <v>45656</v>
      </c>
      <c r="C11" s="31"/>
      <c r="N11" t="s">
        <v>80</v>
      </c>
      <c r="O11">
        <v>115</v>
      </c>
      <c r="AA11" t="s">
        <v>1976</v>
      </c>
      <c r="AB11">
        <v>97147.65</v>
      </c>
      <c r="AH11" t="s">
        <v>1967</v>
      </c>
      <c r="AI11">
        <v>118114.85</v>
      </c>
      <c r="AK11" t="s">
        <v>475</v>
      </c>
      <c r="AL11">
        <v>46880.9</v>
      </c>
      <c r="AN11" t="s">
        <v>186</v>
      </c>
      <c r="AO11">
        <v>16770.3</v>
      </c>
    </row>
    <row r="12" spans="1:46">
      <c r="N12" t="s">
        <v>689</v>
      </c>
      <c r="O12">
        <v>5</v>
      </c>
      <c r="AA12" t="s">
        <v>1977</v>
      </c>
      <c r="AB12">
        <v>94743.95</v>
      </c>
      <c r="AH12" t="s">
        <v>1972</v>
      </c>
      <c r="AI12">
        <v>111851.7</v>
      </c>
      <c r="AK12" t="s">
        <v>156</v>
      </c>
      <c r="AL12">
        <v>45251.7</v>
      </c>
      <c r="AN12" t="s">
        <v>866</v>
      </c>
      <c r="AO12">
        <v>16087.4</v>
      </c>
    </row>
    <row r="13" spans="1:46">
      <c r="N13" t="s">
        <v>1966</v>
      </c>
      <c r="O13">
        <v>1050</v>
      </c>
      <c r="AA13" t="s">
        <v>1978</v>
      </c>
      <c r="AB13">
        <v>91455.7</v>
      </c>
      <c r="AH13" t="s">
        <v>1976</v>
      </c>
      <c r="AI13">
        <v>97147.65</v>
      </c>
      <c r="AK13" t="s">
        <v>422</v>
      </c>
      <c r="AL13">
        <v>44683.2</v>
      </c>
      <c r="AN13" t="s">
        <v>392</v>
      </c>
      <c r="AO13">
        <v>15205.95</v>
      </c>
    </row>
    <row r="14" spans="1:46">
      <c r="AA14" t="s">
        <v>1971</v>
      </c>
      <c r="AB14">
        <v>90883.95</v>
      </c>
      <c r="AH14" t="s">
        <v>1962</v>
      </c>
      <c r="AI14">
        <v>120664.6</v>
      </c>
      <c r="AK14" t="s">
        <v>79</v>
      </c>
      <c r="AL14">
        <v>44012.25</v>
      </c>
      <c r="AN14" t="s">
        <v>107</v>
      </c>
      <c r="AO14">
        <v>14706</v>
      </c>
    </row>
    <row r="15" spans="1:46">
      <c r="AA15" t="s">
        <v>1973</v>
      </c>
      <c r="AB15">
        <v>87649.1</v>
      </c>
      <c r="AH15" t="s">
        <v>1978</v>
      </c>
      <c r="AI15">
        <v>91455.7</v>
      </c>
      <c r="AK15" t="s">
        <v>216</v>
      </c>
      <c r="AL15">
        <v>40398.9</v>
      </c>
      <c r="AN15" t="s">
        <v>99</v>
      </c>
      <c r="AO15">
        <v>14654.45</v>
      </c>
    </row>
    <row r="16" spans="1:46">
      <c r="AA16" t="s">
        <v>1966</v>
      </c>
      <c r="AB16">
        <v>1299184.1</v>
      </c>
      <c r="AH16" t="s">
        <v>1952</v>
      </c>
      <c r="AI16">
        <v>145740.45</v>
      </c>
      <c r="AK16" t="s">
        <v>873</v>
      </c>
      <c r="AL16">
        <v>34926.7</v>
      </c>
      <c r="AN16" t="s">
        <v>902</v>
      </c>
      <c r="AO16">
        <v>14343.15</v>
      </c>
    </row>
    <row r="17" spans="34:41">
      <c r="AH17" t="s">
        <v>1977</v>
      </c>
      <c r="AI17">
        <v>94743.95</v>
      </c>
      <c r="AK17" t="s">
        <v>1966</v>
      </c>
      <c r="AL17">
        <v>550707.7</v>
      </c>
      <c r="AN17" t="s">
        <v>1966</v>
      </c>
      <c r="AO17">
        <v>165697.45</v>
      </c>
    </row>
    <row r="18" spans="34:41">
      <c r="AH18" t="s">
        <v>1970</v>
      </c>
      <c r="AI18">
        <v>113241.1</v>
      </c>
    </row>
    <row r="19" spans="34:41">
      <c r="AH19" t="s">
        <v>1966</v>
      </c>
      <c r="AI19">
        <v>1299184.1</v>
      </c>
    </row>
  </sheetData>
  <mergeCells count="5">
    <mergeCell ref="H2:I2"/>
    <mergeCell ref="K2:L2"/>
    <mergeCell ref="AH5:AI5"/>
    <mergeCell ref="AK5:AL5"/>
    <mergeCell ref="AQ5:AT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K2" sqref="K2:L2"/>
    </sheetView>
  </sheetViews>
  <sheetFormatPr defaultColWidth="8.72727272727273" defaultRowHeight="14.5" outlineLevelCol="2"/>
  <cols>
    <col min="1" max="1" width="18.3636363636364" customWidth="1"/>
    <col min="2" max="2" width="13.9090909090909" customWidth="1"/>
    <col min="3" max="3" width="14.9090909090909" customWidth="1"/>
  </cols>
  <sheetData>
    <row r="1" spans="1:3">
      <c r="A1" s="21" t="s">
        <v>1979</v>
      </c>
      <c r="B1" s="22" t="s">
        <v>1980</v>
      </c>
    </row>
    <row r="2" spans="1:3">
      <c r="A2" s="23" t="s">
        <v>1947</v>
      </c>
      <c r="B2" s="24">
        <f>SUM(Cleaned_Data!$R$2:$R$1051)</f>
        <v>1299184.1</v>
      </c>
    </row>
    <row r="3" spans="1:3">
      <c r="A3" s="23" t="s">
        <v>1981</v>
      </c>
      <c r="B3" s="24">
        <f>SUM(Cleaned_Data!$V$2:$V$1051)</f>
        <v>152783.3</v>
      </c>
    </row>
    <row r="4" spans="1:3">
      <c r="A4" s="23" t="s">
        <v>1954</v>
      </c>
      <c r="B4" s="25">
        <f>COUNTA(Cleaned_Data!$A$2:$A$1051)</f>
        <v>1050</v>
      </c>
    </row>
    <row r="5" spans="1:3">
      <c r="A5" s="23" t="s">
        <v>1982</v>
      </c>
      <c r="B5" s="25">
        <f>SUM(Cleaned_Data!$S$2:$S$1051)</f>
        <v>3054</v>
      </c>
    </row>
    <row r="6" spans="1:3">
      <c r="A6" s="23" t="s">
        <v>1983</v>
      </c>
      <c r="B6" s="24">
        <f>AVERAGE(Cleaned_Data!$R$2:$R$1051)</f>
        <v>1237.31819047619</v>
      </c>
    </row>
    <row r="7" spans="1:3">
      <c r="A7" s="26" t="s">
        <v>1984</v>
      </c>
      <c r="B7" s="27" cm="1">
        <f t="array" ref="B7">SUM(Cleaned_Data!V1032:V1051/SUM(Cleaned_Data!R1032:R1051))</f>
        <v>0.115731383977587</v>
      </c>
    </row>
    <row r="10" spans="1:3">
      <c r="A10" t="s">
        <v>1985</v>
      </c>
      <c r="B10" t="s">
        <v>17</v>
      </c>
      <c r="C10" t="s">
        <v>1986</v>
      </c>
    </row>
    <row r="11" spans="1:3">
      <c r="A11">
        <v>2020</v>
      </c>
      <c r="B11">
        <v>269233.6</v>
      </c>
      <c r="C11" s="28" t="s">
        <v>1987</v>
      </c>
    </row>
    <row r="12" spans="1:3">
      <c r="A12">
        <v>2021</v>
      </c>
      <c r="B12">
        <v>222556.3</v>
      </c>
      <c r="C12" s="29">
        <f>(B12-B11)/B11</f>
        <v>-0.17337100569914</v>
      </c>
    </row>
    <row r="13" spans="1:3">
      <c r="A13">
        <v>2022</v>
      </c>
      <c r="B13">
        <v>270474.85</v>
      </c>
      <c r="C13" s="29">
        <f>(B13-B12)/B12</f>
        <v>0.215309789028664</v>
      </c>
    </row>
    <row r="14" spans="1:3">
      <c r="A14">
        <v>2023</v>
      </c>
      <c r="B14">
        <v>231057.45</v>
      </c>
      <c r="C14" s="29">
        <f>(B14-B13)/B13</f>
        <v>-0.145734067326408</v>
      </c>
    </row>
    <row r="15" spans="1:3">
      <c r="A15" s="30">
        <v>2024</v>
      </c>
      <c r="B15">
        <v>305861.9</v>
      </c>
      <c r="C15" s="29">
        <f>(B15-B14)/B14</f>
        <v>0.323748271263273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97"/>
  <sheetViews>
    <sheetView showGridLines="0" tabSelected="1" zoomScale="23" zoomScaleNormal="23" topLeftCell="A3" workbookViewId="0">
      <selection activeCell="AN48" sqref="AN48"/>
    </sheetView>
  </sheetViews>
  <sheetFormatPr defaultColWidth="8.72727272727273" defaultRowHeight="14.5"/>
  <cols>
    <col min="2" max="31" width="15.6363636363636" customWidth="1"/>
  </cols>
  <sheetData>
    <row r="1" spans="1:36">
      <c r="A1" s="1" t="s">
        <v>1988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8" customHeight="1" spans="1:3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8" customHeight="1" spans="1:3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31" spans="1:36">
      <c r="A5" s="2"/>
      <c r="B5" s="3" t="s">
        <v>1947</v>
      </c>
      <c r="C5" s="3"/>
      <c r="D5" s="3"/>
      <c r="E5" s="3"/>
      <c r="F5" s="3"/>
      <c r="G5" s="3" t="s">
        <v>1981</v>
      </c>
      <c r="H5" s="3"/>
      <c r="I5" s="3"/>
      <c r="J5" s="3"/>
      <c r="K5" s="3"/>
      <c r="L5" s="3" t="s">
        <v>1954</v>
      </c>
      <c r="M5" s="3"/>
      <c r="N5" s="3"/>
      <c r="O5" s="3"/>
      <c r="P5" s="3"/>
      <c r="Q5" s="3" t="s">
        <v>1989</v>
      </c>
      <c r="R5" s="3"/>
      <c r="S5" s="3"/>
      <c r="T5" s="3"/>
      <c r="U5" s="3"/>
      <c r="V5" s="4" t="s">
        <v>1983</v>
      </c>
      <c r="W5" s="5"/>
      <c r="X5" s="5"/>
      <c r="Y5" s="5"/>
      <c r="Z5" s="5"/>
      <c r="AA5" s="4" t="s">
        <v>1984</v>
      </c>
      <c r="AB5" s="5"/>
      <c r="AC5" s="5"/>
      <c r="AD5" s="5"/>
      <c r="AE5" s="5"/>
      <c r="AF5" s="2"/>
      <c r="AG5" s="2"/>
      <c r="AH5" s="2"/>
      <c r="AI5" s="2"/>
      <c r="AJ5" s="2"/>
    </row>
    <row r="6" ht="36" spans="1:36">
      <c r="A6" s="2"/>
      <c r="B6" s="6">
        <f>Dashboard_KPI!B2</f>
        <v>1299184.1</v>
      </c>
      <c r="C6" s="6"/>
      <c r="D6" s="6"/>
      <c r="E6" s="6"/>
      <c r="F6" s="6"/>
      <c r="G6" s="7">
        <f>Dashboard_KPI!B3</f>
        <v>152783.3</v>
      </c>
      <c r="H6" s="7"/>
      <c r="I6" s="7"/>
      <c r="J6" s="7"/>
      <c r="K6" s="7"/>
      <c r="L6" s="8">
        <f>Dashboard_KPI!B4</f>
        <v>1050</v>
      </c>
      <c r="M6" s="8"/>
      <c r="N6" s="8"/>
      <c r="O6" s="8"/>
      <c r="P6" s="8"/>
      <c r="Q6" s="9">
        <f>Dashboard_KPI!B5</f>
        <v>3054</v>
      </c>
      <c r="R6" s="9"/>
      <c r="S6" s="9"/>
      <c r="T6" s="9"/>
      <c r="U6" s="9"/>
      <c r="V6" s="10">
        <f>Dashboard_KPI!B6</f>
        <v>1237.31819047619</v>
      </c>
      <c r="W6" s="10"/>
      <c r="X6" s="10"/>
      <c r="Y6" s="10"/>
      <c r="Z6" s="10"/>
      <c r="AA6" s="11">
        <f>Dashboard_KPI!B7</f>
        <v>0.115731383977587</v>
      </c>
      <c r="AB6" s="11"/>
      <c r="AC6" s="11"/>
      <c r="AD6" s="11"/>
      <c r="AE6" s="11"/>
      <c r="AF6" s="2"/>
      <c r="AG6" s="2"/>
      <c r="AH6" s="2"/>
      <c r="AI6" s="2"/>
      <c r="AJ6" s="2"/>
    </row>
    <row r="7" spans="1:36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1:36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1:36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1:36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1:36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1:36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1:36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1:36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1:36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1:36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1:3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1:36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1:36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1:3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1:3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1:3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1:3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1:3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1:3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1:3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1: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1:3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1:3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1:3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1:3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1:3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1:3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1:3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1:3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1:3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1:3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1:3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1:3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1:6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1:6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</row>
    <row r="51" spans="1:6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</row>
    <row r="52" spans="1:6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</row>
    <row r="53" ht="18.5" spans="1:6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V53" s="13"/>
      <c r="AW53" s="13"/>
      <c r="AX53" s="14"/>
      <c r="AY53" s="15"/>
      <c r="AZ53" s="14"/>
      <c r="BA53" s="14"/>
      <c r="BB53" s="14"/>
      <c r="BC53" s="15"/>
      <c r="BD53" s="14"/>
      <c r="BE53" s="15"/>
      <c r="BF53" s="15"/>
      <c r="BG53" s="14"/>
      <c r="BH53" s="14"/>
      <c r="BI53" s="14"/>
      <c r="BJ53" s="14"/>
      <c r="BK53" s="14"/>
      <c r="BL53" s="14"/>
      <c r="BM53" s="13"/>
    </row>
    <row r="54" ht="31" spans="1:6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V54" s="13"/>
      <c r="AW54" s="13"/>
      <c r="AX54" s="16"/>
      <c r="AY54" s="16"/>
      <c r="AZ54" s="17"/>
      <c r="BA54" s="17"/>
      <c r="BB54" s="18"/>
      <c r="BC54" s="18"/>
      <c r="BD54" s="18"/>
      <c r="BE54" s="18"/>
      <c r="BF54" s="18"/>
      <c r="BG54" s="17"/>
      <c r="BH54" s="17"/>
      <c r="BI54" s="17"/>
      <c r="BJ54" s="19"/>
      <c r="BK54" s="19"/>
      <c r="BL54" s="19"/>
      <c r="BM54" s="13"/>
    </row>
    <row r="55" spans="1:6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</row>
    <row r="56" spans="1:6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</row>
    <row r="57" spans="1:6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1:6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1:6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1:6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1:6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1:6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1:6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1:6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1:3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1:3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1:3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1:3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1:3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1:3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1:3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1:3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1:3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1:3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</row>
    <row r="75" spans="1:3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</row>
    <row r="76" spans="1:3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</row>
    <row r="77" spans="1:36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</row>
    <row r="78" spans="1:36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</row>
    <row r="79" spans="1:36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</row>
    <row r="80" spans="1:36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</row>
    <row r="81" spans="1:3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</row>
    <row r="82" spans="1:3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</row>
    <row r="83" spans="1:3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</row>
    <row r="93" spans="1:32">
      <c r="B93" t="s">
        <v>1990</v>
      </c>
    </row>
    <row r="94" spans="1:32">
      <c r="B94" t="s">
        <v>1991</v>
      </c>
    </row>
    <row r="95" spans="1:32">
      <c r="B95" t="s">
        <v>1992</v>
      </c>
    </row>
    <row r="96" spans="1:32">
      <c r="B96" t="s">
        <v>1993</v>
      </c>
    </row>
    <row r="97" spans="2:2">
      <c r="B97" t="s">
        <v>1994</v>
      </c>
    </row>
  </sheetData>
  <mergeCells count="26">
    <mergeCell ref="B5:F5"/>
    <mergeCell ref="G5:K5"/>
    <mergeCell ref="L5:P5"/>
    <mergeCell ref="Q5:U5"/>
    <mergeCell ref="V5:Z5"/>
    <mergeCell ref="AA5:AE5"/>
    <mergeCell ref="B6:F6"/>
    <mergeCell ref="G6:K6"/>
    <mergeCell ref="L6:P6"/>
    <mergeCell ref="Q6:U6"/>
    <mergeCell ref="V6:Z6"/>
    <mergeCell ref="AA6:AE6"/>
    <mergeCell ref="AX53:AY53"/>
    <mergeCell ref="AZ53:BA53"/>
    <mergeCell ref="BB53:BC53"/>
    <mergeCell ref="BD53:BF53"/>
    <mergeCell ref="BG53:BI53"/>
    <mergeCell ref="BJ53:BL53"/>
    <mergeCell ref="AX54:AY54"/>
    <mergeCell ref="AZ54:BA54"/>
    <mergeCell ref="BB54:BC54"/>
    <mergeCell ref="BD54:BF54"/>
    <mergeCell ref="BG54:BI54"/>
    <mergeCell ref="BJ54:BL54"/>
    <mergeCell ref="A1:AF3"/>
    <mergeCell ref="AG1:AJ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Cleaned_Data</vt:lpstr>
      <vt:lpstr>Analysis</vt:lpstr>
      <vt:lpstr>Dashboard_KPI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2026-06-10T12:36:00Z</dcterms:created>
  <dcterms:modified xsi:type="dcterms:W3CDTF">2026-06-15T14:59:58Z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0BA00B9309994165BE7278F9EE8CEF99_13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